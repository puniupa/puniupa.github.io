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irofumi48/Desktop/Mentalism/3-BayesianDataAnalysis/Cocosiru/資料/"/>
    </mc:Choice>
  </mc:AlternateContent>
  <xr:revisionPtr revIDLastSave="0" documentId="13_ncr:1_{CF2751B0-63AE-B043-ADF5-152E30629EEB}" xr6:coauthVersionLast="47" xr6:coauthVersionMax="47" xr10:uidLastSave="{00000000-0000-0000-0000-000000000000}"/>
  <bookViews>
    <workbookView xWindow="1280" yWindow="520" windowWidth="39920" windowHeight="21100" firstSheet="1" activeTab="2" xr2:uid="{00000000-000D-0000-FFFF-FFFF00000000}"/>
  </bookViews>
  <sheets>
    <sheet name="PMC検査結果" sheetId="2" r:id="rId1"/>
    <sheet name="PMCストレスチェックとの相関" sheetId="23" r:id="rId2"/>
    <sheet name="PMCストレスチェック小項目との相関解析" sheetId="22" r:id="rId3"/>
    <sheet name="Sheet1" sheetId="24" r:id="rId4"/>
  </sheets>
  <definedNames>
    <definedName name="_xlnm._FilterDatabase" localSheetId="0" hidden="1">PMC検査結果!$A$1:$DX$38</definedName>
    <definedName name="_xlnm._FilterDatabase" localSheetId="3" hidden="1">Sheet1!$AE$1:$AF$1</definedName>
    <definedName name="_xlchart.v1.0" hidden="1">PMCストレスチェックとの相関!$A$3:$A$36</definedName>
    <definedName name="_xlchart.v1.1" hidden="1">PMCストレスチェックとの相関!$B$3:$B$36</definedName>
    <definedName name="_xlchart.v1.2" hidden="1">PMCストレスチェックとの相関!$D$3:$D$36</definedName>
    <definedName name="_xlchart.v1.3" hidden="1">PMCストレスチェックとの相関!$E$3:$E$36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PMCストレスチェックとの相関!$X$2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" i="22" l="1"/>
  <c r="AQ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36" i="22"/>
  <c r="AQ37" i="22"/>
  <c r="AQ38" i="22"/>
  <c r="AQ39" i="22"/>
  <c r="AQ3" i="22"/>
  <c r="AP4" i="22"/>
  <c r="AP5" i="22"/>
  <c r="AP6" i="22"/>
  <c r="AP7" i="22"/>
  <c r="AP8" i="22"/>
  <c r="AP9" i="22"/>
  <c r="AP10" i="22"/>
  <c r="AP11" i="22"/>
  <c r="AP12" i="22"/>
  <c r="AP13" i="22"/>
  <c r="AP14" i="22"/>
  <c r="AP15" i="22"/>
  <c r="AP16" i="22"/>
  <c r="AP17" i="22"/>
  <c r="AP18" i="22"/>
  <c r="AP19" i="22"/>
  <c r="AP20" i="22"/>
  <c r="AP21" i="22"/>
  <c r="AP22" i="22"/>
  <c r="AP23" i="22"/>
  <c r="AP24" i="22"/>
  <c r="AP25" i="22"/>
  <c r="AP26" i="22"/>
  <c r="AP27" i="22"/>
  <c r="AP28" i="22"/>
  <c r="AP29" i="22"/>
  <c r="AP30" i="22"/>
  <c r="AP31" i="22"/>
  <c r="AP32" i="22"/>
  <c r="AP33" i="22"/>
  <c r="AP34" i="22"/>
  <c r="AP35" i="22"/>
  <c r="AP36" i="22"/>
  <c r="AP37" i="22"/>
  <c r="AP38" i="22"/>
  <c r="AP39" i="22"/>
  <c r="AP3" i="22"/>
  <c r="AO4" i="22"/>
  <c r="AO5" i="22"/>
  <c r="AO6" i="22"/>
  <c r="AO7" i="22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O35" i="22"/>
  <c r="AO36" i="22"/>
  <c r="AO37" i="22"/>
  <c r="AO38" i="22"/>
  <c r="AO39" i="22"/>
  <c r="AO3" i="22"/>
  <c r="AN4" i="22"/>
  <c r="AN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36" i="22"/>
  <c r="AN37" i="22"/>
  <c r="AN38" i="22"/>
  <c r="AN39" i="22"/>
  <c r="AN3" i="22"/>
  <c r="DS3" i="2"/>
  <c r="DS4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2" i="2"/>
  <c r="CJ2" i="2"/>
  <c r="CK2" i="2"/>
  <c r="BG3" i="2"/>
  <c r="BH3" i="2"/>
  <c r="BI3" i="2"/>
  <c r="BG4" i="2"/>
  <c r="BH4" i="2"/>
  <c r="BI4" i="2"/>
  <c r="BG5" i="2"/>
  <c r="BH5" i="2"/>
  <c r="BI5" i="2"/>
  <c r="BG6" i="2"/>
  <c r="BH6" i="2"/>
  <c r="BI6" i="2"/>
  <c r="BG7" i="2"/>
  <c r="BH7" i="2"/>
  <c r="BI7" i="2"/>
  <c r="BG8" i="2"/>
  <c r="BH8" i="2"/>
  <c r="BI8" i="2"/>
  <c r="BG9" i="2"/>
  <c r="BH9" i="2"/>
  <c r="BI9" i="2"/>
  <c r="BG10" i="2"/>
  <c r="BH10" i="2"/>
  <c r="BI10" i="2"/>
  <c r="BG11" i="2"/>
  <c r="BH11" i="2"/>
  <c r="BI11" i="2"/>
  <c r="BG12" i="2"/>
  <c r="BH12" i="2"/>
  <c r="BI12" i="2"/>
  <c r="BG13" i="2"/>
  <c r="BH13" i="2"/>
  <c r="BI13" i="2"/>
  <c r="BG14" i="2"/>
  <c r="BH14" i="2"/>
  <c r="BI14" i="2"/>
  <c r="BG15" i="2"/>
  <c r="BH15" i="2"/>
  <c r="BI15" i="2"/>
  <c r="BG16" i="2"/>
  <c r="BH16" i="2"/>
  <c r="BI16" i="2"/>
  <c r="BG17" i="2"/>
  <c r="BH17" i="2"/>
  <c r="BI17" i="2"/>
  <c r="BG18" i="2"/>
  <c r="BH18" i="2"/>
  <c r="BI18" i="2"/>
  <c r="BG19" i="2"/>
  <c r="BH19" i="2"/>
  <c r="BI19" i="2"/>
  <c r="BG20" i="2"/>
  <c r="BH20" i="2"/>
  <c r="BI20" i="2"/>
  <c r="BG21" i="2"/>
  <c r="BH21" i="2"/>
  <c r="BI21" i="2"/>
  <c r="BG22" i="2"/>
  <c r="BH22" i="2"/>
  <c r="BI22" i="2"/>
  <c r="BG23" i="2"/>
  <c r="BH23" i="2"/>
  <c r="BI23" i="2"/>
  <c r="BG24" i="2"/>
  <c r="BH24" i="2"/>
  <c r="BI24" i="2"/>
  <c r="BG25" i="2"/>
  <c r="BH25" i="2"/>
  <c r="BI25" i="2"/>
  <c r="BG26" i="2"/>
  <c r="BH26" i="2"/>
  <c r="BI26" i="2"/>
  <c r="BG27" i="2"/>
  <c r="BH27" i="2"/>
  <c r="BI27" i="2"/>
  <c r="BG28" i="2"/>
  <c r="BH28" i="2"/>
  <c r="BI28" i="2"/>
  <c r="BG29" i="2"/>
  <c r="BH29" i="2"/>
  <c r="BI29" i="2"/>
  <c r="BG30" i="2"/>
  <c r="BH30" i="2"/>
  <c r="BI30" i="2"/>
  <c r="BG31" i="2"/>
  <c r="BH31" i="2"/>
  <c r="BI31" i="2"/>
  <c r="BG32" i="2"/>
  <c r="BH32" i="2"/>
  <c r="BI32" i="2"/>
  <c r="BG33" i="2"/>
  <c r="BH33" i="2"/>
  <c r="BI33" i="2"/>
  <c r="BG34" i="2"/>
  <c r="BH34" i="2"/>
  <c r="BI34" i="2"/>
  <c r="BG35" i="2"/>
  <c r="BH35" i="2"/>
  <c r="BI35" i="2"/>
  <c r="BG36" i="2"/>
  <c r="BH36" i="2"/>
  <c r="BI36" i="2"/>
  <c r="BG37" i="2"/>
  <c r="BH37" i="2"/>
  <c r="BI37" i="2"/>
  <c r="BG38" i="2"/>
  <c r="BH38" i="2"/>
  <c r="BI38" i="2"/>
  <c r="BH2" i="2"/>
  <c r="BI2" i="2"/>
  <c r="BG2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K2" i="2"/>
  <c r="AJ2" i="2"/>
  <c r="AI2" i="2"/>
  <c r="AH2" i="2"/>
  <c r="AF2" i="2"/>
  <c r="AG2" i="2"/>
  <c r="AE2" i="2"/>
  <c r="AD2" i="2"/>
  <c r="AC2" i="2"/>
  <c r="V2" i="2"/>
  <c r="W2" i="2"/>
  <c r="X2" i="2"/>
  <c r="Y2" i="2"/>
  <c r="Z2" i="2"/>
  <c r="AA2" i="2"/>
  <c r="AB2" i="2"/>
  <c r="U2" i="2"/>
  <c r="G40" i="22" l="1"/>
  <c r="H40" i="22"/>
  <c r="I40" i="22"/>
  <c r="J40" i="22"/>
  <c r="K40" i="22"/>
  <c r="L40" i="22"/>
  <c r="M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AA40" i="22"/>
  <c r="AB40" i="22"/>
  <c r="AC40" i="22"/>
  <c r="AD40" i="22"/>
  <c r="AE40" i="22"/>
  <c r="AF40" i="22"/>
  <c r="AG40" i="22"/>
  <c r="AH40" i="22"/>
  <c r="AI40" i="22"/>
  <c r="AJ40" i="22"/>
  <c r="AK40" i="22"/>
  <c r="AL40" i="22"/>
  <c r="AM40" i="22"/>
  <c r="C40" i="22"/>
  <c r="D40" i="22"/>
  <c r="E40" i="22"/>
  <c r="F40" i="22"/>
  <c r="B40" i="22"/>
  <c r="BB38" i="2" l="1"/>
  <c r="BC38" i="2" s="1"/>
  <c r="AZ38" i="2"/>
  <c r="BA38" i="2" s="1"/>
  <c r="AX38" i="2"/>
  <c r="AY38" i="2" s="1"/>
  <c r="AV38" i="2"/>
  <c r="AW38" i="2" s="1"/>
  <c r="AT38" i="2"/>
  <c r="AU38" i="2" s="1"/>
  <c r="AR38" i="2"/>
  <c r="AS38" i="2" s="1"/>
  <c r="AP38" i="2"/>
  <c r="AQ38" i="2" s="1"/>
  <c r="AN38" i="2"/>
  <c r="AO38" i="2" s="1"/>
  <c r="AL38" i="2"/>
  <c r="AM38" i="2" s="1"/>
  <c r="BB37" i="2"/>
  <c r="BC37" i="2" s="1"/>
  <c r="AZ37" i="2"/>
  <c r="BA37" i="2" s="1"/>
  <c r="AX37" i="2"/>
  <c r="AY37" i="2" s="1"/>
  <c r="AV37" i="2"/>
  <c r="AW37" i="2" s="1"/>
  <c r="AT37" i="2"/>
  <c r="AU37" i="2" s="1"/>
  <c r="AR37" i="2"/>
  <c r="AS37" i="2" s="1"/>
  <c r="AP37" i="2"/>
  <c r="AQ37" i="2" s="1"/>
  <c r="AN37" i="2"/>
  <c r="AO37" i="2" s="1"/>
  <c r="AL37" i="2"/>
  <c r="AM37" i="2" s="1"/>
  <c r="BB36" i="2"/>
  <c r="BC36" i="2" s="1"/>
  <c r="AZ36" i="2"/>
  <c r="BA36" i="2" s="1"/>
  <c r="AX36" i="2"/>
  <c r="AY36" i="2" s="1"/>
  <c r="AV36" i="2"/>
  <c r="AW36" i="2" s="1"/>
  <c r="AT36" i="2"/>
  <c r="AU36" i="2" s="1"/>
  <c r="AR36" i="2"/>
  <c r="AS36" i="2" s="1"/>
  <c r="AP36" i="2"/>
  <c r="AQ36" i="2" s="1"/>
  <c r="AN36" i="2"/>
  <c r="AO36" i="2" s="1"/>
  <c r="AL36" i="2"/>
  <c r="AM36" i="2" s="1"/>
  <c r="BB35" i="2"/>
  <c r="BC35" i="2" s="1"/>
  <c r="AZ35" i="2"/>
  <c r="BA35" i="2" s="1"/>
  <c r="AX35" i="2"/>
  <c r="AY35" i="2" s="1"/>
  <c r="AV35" i="2"/>
  <c r="AW35" i="2" s="1"/>
  <c r="AT35" i="2"/>
  <c r="AU35" i="2" s="1"/>
  <c r="AR35" i="2"/>
  <c r="AS35" i="2" s="1"/>
  <c r="AP35" i="2"/>
  <c r="AQ35" i="2" s="1"/>
  <c r="AN35" i="2"/>
  <c r="AO35" i="2" s="1"/>
  <c r="AL35" i="2"/>
  <c r="AM35" i="2" s="1"/>
  <c r="BB34" i="2"/>
  <c r="BC34" i="2" s="1"/>
  <c r="AZ34" i="2"/>
  <c r="BA34" i="2" s="1"/>
  <c r="AX34" i="2"/>
  <c r="AY34" i="2" s="1"/>
  <c r="AV34" i="2"/>
  <c r="AW34" i="2" s="1"/>
  <c r="AT34" i="2"/>
  <c r="AU34" i="2" s="1"/>
  <c r="AR34" i="2"/>
  <c r="AS34" i="2" s="1"/>
  <c r="AP34" i="2"/>
  <c r="AQ34" i="2" s="1"/>
  <c r="AN34" i="2"/>
  <c r="AO34" i="2" s="1"/>
  <c r="AL34" i="2"/>
  <c r="AM34" i="2" s="1"/>
  <c r="BB33" i="2"/>
  <c r="BC33" i="2" s="1"/>
  <c r="AZ33" i="2"/>
  <c r="BA33" i="2" s="1"/>
  <c r="AX33" i="2"/>
  <c r="AY33" i="2" s="1"/>
  <c r="AV33" i="2"/>
  <c r="AW33" i="2" s="1"/>
  <c r="AT33" i="2"/>
  <c r="AU33" i="2" s="1"/>
  <c r="AR33" i="2"/>
  <c r="AS33" i="2" s="1"/>
  <c r="AP33" i="2"/>
  <c r="AQ33" i="2" s="1"/>
  <c r="AN33" i="2"/>
  <c r="AO33" i="2" s="1"/>
  <c r="AL33" i="2"/>
  <c r="AM33" i="2" s="1"/>
  <c r="BB32" i="2"/>
  <c r="BC32" i="2" s="1"/>
  <c r="AZ32" i="2"/>
  <c r="BA32" i="2" s="1"/>
  <c r="AX32" i="2"/>
  <c r="AY32" i="2" s="1"/>
  <c r="AV32" i="2"/>
  <c r="AW32" i="2" s="1"/>
  <c r="AT32" i="2"/>
  <c r="AU32" i="2" s="1"/>
  <c r="AR32" i="2"/>
  <c r="AS32" i="2" s="1"/>
  <c r="AP32" i="2"/>
  <c r="AQ32" i="2" s="1"/>
  <c r="AN32" i="2"/>
  <c r="AO32" i="2" s="1"/>
  <c r="AL32" i="2"/>
  <c r="AM32" i="2" s="1"/>
  <c r="BB31" i="2"/>
  <c r="BC31" i="2" s="1"/>
  <c r="AZ31" i="2"/>
  <c r="BA31" i="2" s="1"/>
  <c r="AX31" i="2"/>
  <c r="AY31" i="2" s="1"/>
  <c r="AV31" i="2"/>
  <c r="AW31" i="2" s="1"/>
  <c r="AT31" i="2"/>
  <c r="AU31" i="2" s="1"/>
  <c r="AR31" i="2"/>
  <c r="AS31" i="2" s="1"/>
  <c r="AP31" i="2"/>
  <c r="AQ31" i="2" s="1"/>
  <c r="AN31" i="2"/>
  <c r="AO31" i="2" s="1"/>
  <c r="AL31" i="2"/>
  <c r="AM31" i="2" s="1"/>
  <c r="BB30" i="2"/>
  <c r="BC30" i="2" s="1"/>
  <c r="AZ30" i="2"/>
  <c r="BA30" i="2" s="1"/>
  <c r="AX30" i="2"/>
  <c r="AY30" i="2" s="1"/>
  <c r="AV30" i="2"/>
  <c r="DJ30" i="2" s="1"/>
  <c r="AT30" i="2"/>
  <c r="AU30" i="2" s="1"/>
  <c r="AR30" i="2"/>
  <c r="AS30" i="2" s="1"/>
  <c r="AP30" i="2"/>
  <c r="AQ30" i="2" s="1"/>
  <c r="AN30" i="2"/>
  <c r="AO30" i="2" s="1"/>
  <c r="AL30" i="2"/>
  <c r="AM30" i="2" s="1"/>
  <c r="CT38" i="2"/>
  <c r="CU38" i="2" s="1"/>
  <c r="CR38" i="2"/>
  <c r="CS38" i="2" s="1"/>
  <c r="CP38" i="2"/>
  <c r="CQ38" i="2" s="1"/>
  <c r="CN38" i="2"/>
  <c r="CO38" i="2" s="1"/>
  <c r="CL38" i="2"/>
  <c r="CM38" i="2" s="1"/>
  <c r="CJ38" i="2"/>
  <c r="CK38" i="2" s="1"/>
  <c r="CT37" i="2"/>
  <c r="CU37" i="2" s="1"/>
  <c r="CR37" i="2"/>
  <c r="CS37" i="2" s="1"/>
  <c r="CP37" i="2"/>
  <c r="CQ37" i="2" s="1"/>
  <c r="CN37" i="2"/>
  <c r="CO37" i="2" s="1"/>
  <c r="CL37" i="2"/>
  <c r="CM37" i="2" s="1"/>
  <c r="CJ37" i="2"/>
  <c r="CK37" i="2" s="1"/>
  <c r="CT36" i="2"/>
  <c r="CU36" i="2" s="1"/>
  <c r="CR36" i="2"/>
  <c r="CS36" i="2" s="1"/>
  <c r="CP36" i="2"/>
  <c r="CQ36" i="2" s="1"/>
  <c r="CN36" i="2"/>
  <c r="CO36" i="2" s="1"/>
  <c r="CL36" i="2"/>
  <c r="CM36" i="2" s="1"/>
  <c r="CJ36" i="2"/>
  <c r="CK36" i="2" s="1"/>
  <c r="CT35" i="2"/>
  <c r="CU35" i="2" s="1"/>
  <c r="CR35" i="2"/>
  <c r="CS35" i="2" s="1"/>
  <c r="CP35" i="2"/>
  <c r="CQ35" i="2" s="1"/>
  <c r="CN35" i="2"/>
  <c r="CO35" i="2" s="1"/>
  <c r="CL35" i="2"/>
  <c r="CM35" i="2" s="1"/>
  <c r="CJ35" i="2"/>
  <c r="CK35" i="2" s="1"/>
  <c r="CT34" i="2"/>
  <c r="CU34" i="2" s="1"/>
  <c r="CR34" i="2"/>
  <c r="CS34" i="2" s="1"/>
  <c r="CP34" i="2"/>
  <c r="CQ34" i="2" s="1"/>
  <c r="CN34" i="2"/>
  <c r="CO34" i="2" s="1"/>
  <c r="CL34" i="2"/>
  <c r="CM34" i="2" s="1"/>
  <c r="CJ34" i="2"/>
  <c r="CK34" i="2" s="1"/>
  <c r="CT33" i="2"/>
  <c r="CU33" i="2" s="1"/>
  <c r="CR33" i="2"/>
  <c r="CS33" i="2" s="1"/>
  <c r="CP33" i="2"/>
  <c r="CQ33" i="2" s="1"/>
  <c r="CN33" i="2"/>
  <c r="CO33" i="2" s="1"/>
  <c r="CL33" i="2"/>
  <c r="CM33" i="2" s="1"/>
  <c r="CJ33" i="2"/>
  <c r="CK33" i="2" s="1"/>
  <c r="CT32" i="2"/>
  <c r="CU32" i="2" s="1"/>
  <c r="CR32" i="2"/>
  <c r="CS32" i="2" s="1"/>
  <c r="CP32" i="2"/>
  <c r="CQ32" i="2" s="1"/>
  <c r="CN32" i="2"/>
  <c r="CO32" i="2" s="1"/>
  <c r="CL32" i="2"/>
  <c r="CM32" i="2" s="1"/>
  <c r="CJ32" i="2"/>
  <c r="CK32" i="2" s="1"/>
  <c r="CT31" i="2"/>
  <c r="CU31" i="2" s="1"/>
  <c r="CR31" i="2"/>
  <c r="CS31" i="2" s="1"/>
  <c r="CP31" i="2"/>
  <c r="CQ31" i="2" s="1"/>
  <c r="CN31" i="2"/>
  <c r="CO31" i="2" s="1"/>
  <c r="CL31" i="2"/>
  <c r="CM31" i="2" s="1"/>
  <c r="CJ31" i="2"/>
  <c r="CK31" i="2" s="1"/>
  <c r="CT30" i="2"/>
  <c r="CU30" i="2" s="1"/>
  <c r="CR30" i="2"/>
  <c r="CS30" i="2" s="1"/>
  <c r="CP30" i="2"/>
  <c r="CQ30" i="2" s="1"/>
  <c r="CN30" i="2"/>
  <c r="CO30" i="2" s="1"/>
  <c r="CL30" i="2"/>
  <c r="CM30" i="2" s="1"/>
  <c r="CJ30" i="2"/>
  <c r="CK30" i="2" s="1"/>
  <c r="DM38" i="2"/>
  <c r="DN38" i="2" s="1"/>
  <c r="DK38" i="2"/>
  <c r="DL38" i="2" s="1"/>
  <c r="DI38" i="2"/>
  <c r="DJ38" i="2" s="1"/>
  <c r="DG38" i="2"/>
  <c r="DH38" i="2" s="1"/>
  <c r="DM37" i="2"/>
  <c r="DN37" i="2" s="1"/>
  <c r="DK37" i="2"/>
  <c r="DL37" i="2" s="1"/>
  <c r="DI37" i="2"/>
  <c r="DJ37" i="2" s="1"/>
  <c r="DG37" i="2"/>
  <c r="DH37" i="2" s="1"/>
  <c r="DM36" i="2"/>
  <c r="DN36" i="2" s="1"/>
  <c r="DK36" i="2"/>
  <c r="DL36" i="2" s="1"/>
  <c r="DI36" i="2"/>
  <c r="DJ36" i="2" s="1"/>
  <c r="DG36" i="2"/>
  <c r="DH36" i="2" s="1"/>
  <c r="DM35" i="2"/>
  <c r="DN35" i="2" s="1"/>
  <c r="DK35" i="2"/>
  <c r="DL35" i="2" s="1"/>
  <c r="DI35" i="2"/>
  <c r="DG35" i="2"/>
  <c r="DH35" i="2" s="1"/>
  <c r="DM34" i="2"/>
  <c r="DN34" i="2" s="1"/>
  <c r="DK34" i="2"/>
  <c r="DL34" i="2" s="1"/>
  <c r="DI34" i="2"/>
  <c r="DG34" i="2"/>
  <c r="DH34" i="2" s="1"/>
  <c r="DM33" i="2"/>
  <c r="DN33" i="2" s="1"/>
  <c r="DK33" i="2"/>
  <c r="DL33" i="2" s="1"/>
  <c r="DI33" i="2"/>
  <c r="DG33" i="2"/>
  <c r="DH33" i="2" s="1"/>
  <c r="DM32" i="2"/>
  <c r="DN32" i="2" s="1"/>
  <c r="DK32" i="2"/>
  <c r="DL32" i="2" s="1"/>
  <c r="DI32" i="2"/>
  <c r="DJ32" i="2" s="1"/>
  <c r="DG32" i="2"/>
  <c r="DH32" i="2" s="1"/>
  <c r="DM31" i="2"/>
  <c r="DN31" i="2" s="1"/>
  <c r="DK31" i="2"/>
  <c r="DL31" i="2" s="1"/>
  <c r="DI31" i="2"/>
  <c r="DJ31" i="2" s="1"/>
  <c r="DG31" i="2"/>
  <c r="DH31" i="2" s="1"/>
  <c r="DM30" i="2"/>
  <c r="DN30" i="2" s="1"/>
  <c r="DK30" i="2"/>
  <c r="DL30" i="2" s="1"/>
  <c r="DI30" i="2"/>
  <c r="DG30" i="2"/>
  <c r="DH30" i="2" s="1"/>
  <c r="CR3" i="2"/>
  <c r="AX2" i="2"/>
  <c r="AL2" i="2"/>
  <c r="AN2" i="2"/>
  <c r="DP33" i="2" l="1"/>
  <c r="DJ33" i="2"/>
  <c r="DQ33" i="2" s="1"/>
  <c r="DQ37" i="2"/>
  <c r="DQ30" i="2"/>
  <c r="DO32" i="2"/>
  <c r="DO36" i="2"/>
  <c r="DO38" i="2"/>
  <c r="DR38" i="2" s="1"/>
  <c r="DQ32" i="2"/>
  <c r="DQ38" i="2"/>
  <c r="DO34" i="2"/>
  <c r="DQ36" i="2"/>
  <c r="DO30" i="2"/>
  <c r="DP38" i="2"/>
  <c r="DP37" i="2"/>
  <c r="DO35" i="2"/>
  <c r="DO37" i="2"/>
  <c r="DP31" i="2"/>
  <c r="DP35" i="2"/>
  <c r="DP32" i="2"/>
  <c r="DP36" i="2"/>
  <c r="DP34" i="2"/>
  <c r="DJ34" i="2"/>
  <c r="DQ34" i="2" s="1"/>
  <c r="AW30" i="2"/>
  <c r="DP30" i="2" s="1"/>
  <c r="DJ35" i="2"/>
  <c r="DQ35" i="2" s="1"/>
  <c r="DO31" i="2"/>
  <c r="DO33" i="2"/>
  <c r="DQ31" i="2"/>
  <c r="DR31" i="2" l="1"/>
  <c r="DR33" i="2"/>
  <c r="DR30" i="2"/>
  <c r="DR36" i="2"/>
  <c r="DR32" i="2"/>
  <c r="DR34" i="2"/>
  <c r="DR37" i="2"/>
  <c r="DR35" i="2"/>
  <c r="AP2" i="2" l="1"/>
  <c r="AQ2" i="2" s="1"/>
  <c r="AT2" i="2"/>
  <c r="AU2" i="2" s="1"/>
  <c r="BB2" i="2"/>
  <c r="BC2" i="2" s="1"/>
  <c r="AP3" i="2"/>
  <c r="AQ3" i="2" s="1"/>
  <c r="AX3" i="2"/>
  <c r="AT3" i="2"/>
  <c r="AU3" i="2" s="1"/>
  <c r="AZ3" i="2"/>
  <c r="BA3" i="2" s="1"/>
  <c r="BB3" i="2"/>
  <c r="BC3" i="2" s="1"/>
  <c r="AP4" i="2"/>
  <c r="AQ4" i="2" s="1"/>
  <c r="AX4" i="2"/>
  <c r="AY4" i="2" s="1"/>
  <c r="AT4" i="2"/>
  <c r="AU4" i="2" s="1"/>
  <c r="AZ4" i="2"/>
  <c r="BA4" i="2" s="1"/>
  <c r="BB4" i="2"/>
  <c r="BC4" i="2" s="1"/>
  <c r="AP5" i="2"/>
  <c r="AQ5" i="2" s="1"/>
  <c r="AX5" i="2"/>
  <c r="AY5" i="2" s="1"/>
  <c r="AT5" i="2"/>
  <c r="AU5" i="2" s="1"/>
  <c r="AZ5" i="2"/>
  <c r="BA5" i="2" s="1"/>
  <c r="BB5" i="2"/>
  <c r="BC5" i="2" s="1"/>
  <c r="AP6" i="2"/>
  <c r="AQ6" i="2" s="1"/>
  <c r="AX6" i="2"/>
  <c r="AY6" i="2" s="1"/>
  <c r="AT6" i="2"/>
  <c r="AU6" i="2" s="1"/>
  <c r="AZ6" i="2"/>
  <c r="BA6" i="2" s="1"/>
  <c r="BB6" i="2"/>
  <c r="BC6" i="2" s="1"/>
  <c r="AP7" i="2"/>
  <c r="AQ7" i="2" s="1"/>
  <c r="AX7" i="2"/>
  <c r="AY7" i="2" s="1"/>
  <c r="AT7" i="2"/>
  <c r="AU7" i="2" s="1"/>
  <c r="AZ7" i="2"/>
  <c r="BA7" i="2" s="1"/>
  <c r="BB7" i="2"/>
  <c r="BC7" i="2" s="1"/>
  <c r="AP8" i="2"/>
  <c r="AQ8" i="2" s="1"/>
  <c r="AX8" i="2"/>
  <c r="AY8" i="2" s="1"/>
  <c r="AT8" i="2"/>
  <c r="AU8" i="2" s="1"/>
  <c r="AZ8" i="2"/>
  <c r="BA8" i="2" s="1"/>
  <c r="BB8" i="2"/>
  <c r="BC8" i="2" s="1"/>
  <c r="AP9" i="2"/>
  <c r="AQ9" i="2" s="1"/>
  <c r="AX9" i="2"/>
  <c r="AY9" i="2" s="1"/>
  <c r="AT9" i="2"/>
  <c r="AU9" i="2" s="1"/>
  <c r="AZ9" i="2"/>
  <c r="BA9" i="2" s="1"/>
  <c r="BB9" i="2"/>
  <c r="BC9" i="2" s="1"/>
  <c r="AP10" i="2"/>
  <c r="AQ10" i="2" s="1"/>
  <c r="AX10" i="2"/>
  <c r="AY10" i="2" s="1"/>
  <c r="AT10" i="2"/>
  <c r="AU10" i="2" s="1"/>
  <c r="AZ10" i="2"/>
  <c r="BA10" i="2" s="1"/>
  <c r="BB10" i="2"/>
  <c r="BC10" i="2" s="1"/>
  <c r="AP11" i="2"/>
  <c r="AQ11" i="2" s="1"/>
  <c r="AX11" i="2"/>
  <c r="AY11" i="2" s="1"/>
  <c r="AT11" i="2"/>
  <c r="AU11" i="2" s="1"/>
  <c r="AZ11" i="2"/>
  <c r="BA11" i="2" s="1"/>
  <c r="BB11" i="2"/>
  <c r="BC11" i="2" s="1"/>
  <c r="AP12" i="2"/>
  <c r="AQ12" i="2" s="1"/>
  <c r="AX12" i="2"/>
  <c r="AY12" i="2" s="1"/>
  <c r="AT12" i="2"/>
  <c r="AU12" i="2" s="1"/>
  <c r="AZ12" i="2"/>
  <c r="BA12" i="2" s="1"/>
  <c r="BB12" i="2"/>
  <c r="BC12" i="2" s="1"/>
  <c r="AP13" i="2"/>
  <c r="AQ13" i="2" s="1"/>
  <c r="AX13" i="2"/>
  <c r="AY13" i="2" s="1"/>
  <c r="AT13" i="2"/>
  <c r="AU13" i="2" s="1"/>
  <c r="AZ13" i="2"/>
  <c r="BA13" i="2" s="1"/>
  <c r="BB13" i="2"/>
  <c r="BC13" i="2" s="1"/>
  <c r="AP14" i="2"/>
  <c r="AQ14" i="2" s="1"/>
  <c r="AX14" i="2"/>
  <c r="AY14" i="2" s="1"/>
  <c r="AT14" i="2"/>
  <c r="AU14" i="2" s="1"/>
  <c r="AZ14" i="2"/>
  <c r="BA14" i="2" s="1"/>
  <c r="BB14" i="2"/>
  <c r="BC14" i="2" s="1"/>
  <c r="AP15" i="2"/>
  <c r="AQ15" i="2" s="1"/>
  <c r="AX15" i="2"/>
  <c r="AY15" i="2" s="1"/>
  <c r="AT15" i="2"/>
  <c r="AU15" i="2" s="1"/>
  <c r="AZ15" i="2"/>
  <c r="BA15" i="2" s="1"/>
  <c r="BB15" i="2"/>
  <c r="BC15" i="2" s="1"/>
  <c r="AP16" i="2"/>
  <c r="AQ16" i="2" s="1"/>
  <c r="AX16" i="2"/>
  <c r="AY16" i="2" s="1"/>
  <c r="AT16" i="2"/>
  <c r="AU16" i="2" s="1"/>
  <c r="AZ16" i="2"/>
  <c r="BA16" i="2" s="1"/>
  <c r="BB16" i="2"/>
  <c r="BC16" i="2" s="1"/>
  <c r="AP17" i="2"/>
  <c r="AQ17" i="2" s="1"/>
  <c r="AX17" i="2"/>
  <c r="AY17" i="2" s="1"/>
  <c r="AT17" i="2"/>
  <c r="AU17" i="2" s="1"/>
  <c r="AZ17" i="2"/>
  <c r="BA17" i="2" s="1"/>
  <c r="BB17" i="2"/>
  <c r="BC17" i="2" s="1"/>
  <c r="AP18" i="2"/>
  <c r="AQ18" i="2" s="1"/>
  <c r="AX18" i="2"/>
  <c r="AY18" i="2" s="1"/>
  <c r="AT18" i="2"/>
  <c r="AU18" i="2" s="1"/>
  <c r="AZ18" i="2"/>
  <c r="BA18" i="2" s="1"/>
  <c r="BB18" i="2"/>
  <c r="BC18" i="2" s="1"/>
  <c r="AP19" i="2"/>
  <c r="AQ19" i="2" s="1"/>
  <c r="AX19" i="2"/>
  <c r="AY19" i="2" s="1"/>
  <c r="AT19" i="2"/>
  <c r="AU19" i="2" s="1"/>
  <c r="AZ19" i="2"/>
  <c r="BA19" i="2" s="1"/>
  <c r="BB19" i="2"/>
  <c r="BC19" i="2" s="1"/>
  <c r="AP20" i="2"/>
  <c r="AQ20" i="2" s="1"/>
  <c r="AX20" i="2"/>
  <c r="AY20" i="2" s="1"/>
  <c r="AT20" i="2"/>
  <c r="AU20" i="2" s="1"/>
  <c r="AZ20" i="2"/>
  <c r="BA20" i="2" s="1"/>
  <c r="BB20" i="2"/>
  <c r="BC20" i="2" s="1"/>
  <c r="AP21" i="2"/>
  <c r="AQ21" i="2" s="1"/>
  <c r="AX21" i="2"/>
  <c r="AY21" i="2" s="1"/>
  <c r="AT21" i="2"/>
  <c r="AU21" i="2" s="1"/>
  <c r="AZ21" i="2"/>
  <c r="BA21" i="2" s="1"/>
  <c r="BB21" i="2"/>
  <c r="BC21" i="2" s="1"/>
  <c r="AP22" i="2"/>
  <c r="AQ22" i="2" s="1"/>
  <c r="AX22" i="2"/>
  <c r="AY22" i="2" s="1"/>
  <c r="AT22" i="2"/>
  <c r="AU22" i="2" s="1"/>
  <c r="AZ22" i="2"/>
  <c r="BA22" i="2" s="1"/>
  <c r="BB22" i="2"/>
  <c r="BC22" i="2" s="1"/>
  <c r="AP23" i="2"/>
  <c r="AQ23" i="2" s="1"/>
  <c r="AX23" i="2"/>
  <c r="AY23" i="2" s="1"/>
  <c r="AT23" i="2"/>
  <c r="AU23" i="2" s="1"/>
  <c r="AZ23" i="2"/>
  <c r="BA23" i="2" s="1"/>
  <c r="BB23" i="2"/>
  <c r="BC23" i="2" s="1"/>
  <c r="AP24" i="2"/>
  <c r="AQ24" i="2" s="1"/>
  <c r="AX24" i="2"/>
  <c r="AY24" i="2" s="1"/>
  <c r="AT24" i="2"/>
  <c r="AU24" i="2" s="1"/>
  <c r="AZ24" i="2"/>
  <c r="BA24" i="2" s="1"/>
  <c r="BB24" i="2"/>
  <c r="BC24" i="2" s="1"/>
  <c r="AP25" i="2"/>
  <c r="AQ25" i="2" s="1"/>
  <c r="AX25" i="2"/>
  <c r="AY25" i="2" s="1"/>
  <c r="AT25" i="2"/>
  <c r="AU25" i="2" s="1"/>
  <c r="AZ25" i="2"/>
  <c r="BA25" i="2" s="1"/>
  <c r="BB25" i="2"/>
  <c r="BC25" i="2" s="1"/>
  <c r="AP26" i="2"/>
  <c r="AQ26" i="2" s="1"/>
  <c r="AX26" i="2"/>
  <c r="AY26" i="2" s="1"/>
  <c r="AT26" i="2"/>
  <c r="AU26" i="2" s="1"/>
  <c r="AZ26" i="2"/>
  <c r="BA26" i="2" s="1"/>
  <c r="BB26" i="2"/>
  <c r="BC26" i="2" s="1"/>
  <c r="AP27" i="2"/>
  <c r="AQ27" i="2" s="1"/>
  <c r="AX27" i="2"/>
  <c r="AY27" i="2" s="1"/>
  <c r="AT27" i="2"/>
  <c r="AU27" i="2" s="1"/>
  <c r="AZ27" i="2"/>
  <c r="BA27" i="2" s="1"/>
  <c r="BB27" i="2"/>
  <c r="BC27" i="2" s="1"/>
  <c r="AP28" i="2"/>
  <c r="AQ28" i="2" s="1"/>
  <c r="AX28" i="2"/>
  <c r="AY28" i="2" s="1"/>
  <c r="AT28" i="2"/>
  <c r="AU28" i="2" s="1"/>
  <c r="AZ28" i="2"/>
  <c r="BA28" i="2" s="1"/>
  <c r="BB28" i="2"/>
  <c r="BC28" i="2" s="1"/>
  <c r="AP29" i="2"/>
  <c r="AQ29" i="2" s="1"/>
  <c r="AX29" i="2"/>
  <c r="AY29" i="2" s="1"/>
  <c r="AT29" i="2"/>
  <c r="AU29" i="2" s="1"/>
  <c r="AZ29" i="2"/>
  <c r="BA29" i="2" s="1"/>
  <c r="BB29" i="2"/>
  <c r="BC29" i="2" s="1"/>
  <c r="AY3" i="2" l="1"/>
  <c r="AY2" i="2"/>
  <c r="AM2" i="2"/>
  <c r="AZ2" i="2"/>
  <c r="BA2" i="2" s="1"/>
  <c r="AO2" i="2"/>
  <c r="DG2" i="2"/>
  <c r="DH2" i="2" s="1"/>
  <c r="DM2" i="2"/>
  <c r="DN2" i="2" s="1"/>
  <c r="CJ16" i="2"/>
  <c r="CK16" i="2" s="1"/>
  <c r="CJ4" i="2"/>
  <c r="CK4" i="2" s="1"/>
  <c r="CJ28" i="2"/>
  <c r="CK28" i="2" s="1"/>
  <c r="AL3" i="2"/>
  <c r="AM3" i="2" s="1"/>
  <c r="CJ22" i="2"/>
  <c r="CK22" i="2" s="1"/>
  <c r="CJ10" i="2"/>
  <c r="CK10" i="2" s="1"/>
  <c r="CJ21" i="2"/>
  <c r="CK21" i="2" s="1"/>
  <c r="CJ9" i="2"/>
  <c r="CK9" i="2" s="1"/>
  <c r="CJ24" i="2"/>
  <c r="CK24" i="2" s="1"/>
  <c r="CJ12" i="2"/>
  <c r="CK12" i="2" s="1"/>
  <c r="CJ23" i="2"/>
  <c r="CK23" i="2" s="1"/>
  <c r="CJ11" i="2"/>
  <c r="CK11" i="2" s="1"/>
  <c r="CJ8" i="2"/>
  <c r="CK8" i="2" s="1"/>
  <c r="CJ25" i="2"/>
  <c r="CK25" i="2" s="1"/>
  <c r="CJ20" i="2"/>
  <c r="CK20" i="2" s="1"/>
  <c r="CJ13" i="2"/>
  <c r="CK13" i="2" s="1"/>
  <c r="CJ27" i="2"/>
  <c r="CK27" i="2" s="1"/>
  <c r="CJ15" i="2"/>
  <c r="CK15" i="2" s="1"/>
  <c r="CJ3" i="2"/>
  <c r="CK3" i="2" s="1"/>
  <c r="CJ6" i="2"/>
  <c r="CK6" i="2" s="1"/>
  <c r="CJ26" i="2"/>
  <c r="CK26" i="2" s="1"/>
  <c r="CJ14" i="2"/>
  <c r="CK14" i="2" s="1"/>
  <c r="CL2" i="2"/>
  <c r="CM2" i="2" s="1"/>
  <c r="CJ18" i="2"/>
  <c r="CK18" i="2" s="1"/>
  <c r="CJ29" i="2"/>
  <c r="CK29" i="2" s="1"/>
  <c r="CJ17" i="2"/>
  <c r="CK17" i="2" s="1"/>
  <c r="CJ5" i="2"/>
  <c r="CK5" i="2" s="1"/>
  <c r="CJ19" i="2"/>
  <c r="CK19" i="2" s="1"/>
  <c r="CJ7" i="2"/>
  <c r="CK7" i="2" s="1"/>
  <c r="CP2" i="2"/>
  <c r="CQ2" i="2" s="1"/>
  <c r="DG20" i="2"/>
  <c r="DH20" i="2" s="1"/>
  <c r="DG8" i="2"/>
  <c r="DH8" i="2" s="1"/>
  <c r="DG29" i="2"/>
  <c r="DH29" i="2" s="1"/>
  <c r="DG17" i="2"/>
  <c r="DH17" i="2" s="1"/>
  <c r="DG5" i="2"/>
  <c r="DH5" i="2" s="1"/>
  <c r="DG22" i="2"/>
  <c r="DH22" i="2" s="1"/>
  <c r="DG10" i="2"/>
  <c r="DH10" i="2" s="1"/>
  <c r="DG13" i="2"/>
  <c r="DH13" i="2" s="1"/>
  <c r="CR7" i="2"/>
  <c r="CS7" i="2" s="1"/>
  <c r="CN8" i="2"/>
  <c r="CO8" i="2" s="1"/>
  <c r="CR6" i="2"/>
  <c r="CS6" i="2" s="1"/>
  <c r="CN20" i="2"/>
  <c r="CO20" i="2" s="1"/>
  <c r="DG18" i="2"/>
  <c r="DH18" i="2" s="1"/>
  <c r="DG24" i="2"/>
  <c r="DH24" i="2" s="1"/>
  <c r="DG12" i="2"/>
  <c r="DH12" i="2" s="1"/>
  <c r="DG6" i="2"/>
  <c r="DH6" i="2" s="1"/>
  <c r="CN29" i="2"/>
  <c r="CO29" i="2" s="1"/>
  <c r="DG25" i="2"/>
  <c r="DH25" i="2" s="1"/>
  <c r="CN9" i="2"/>
  <c r="CO9" i="2" s="1"/>
  <c r="CN5" i="2"/>
  <c r="CO5" i="2" s="1"/>
  <c r="CR19" i="2"/>
  <c r="CS19" i="2" s="1"/>
  <c r="DG23" i="2"/>
  <c r="DH23" i="2" s="1"/>
  <c r="CN24" i="2"/>
  <c r="CO24" i="2" s="1"/>
  <c r="CN12" i="2"/>
  <c r="CO12" i="2" s="1"/>
  <c r="CR18" i="2"/>
  <c r="CS18" i="2" s="1"/>
  <c r="DG11" i="2"/>
  <c r="DH11" i="2" s="1"/>
  <c r="CN22" i="2"/>
  <c r="CO22" i="2" s="1"/>
  <c r="CN18" i="2"/>
  <c r="CO18" i="2" s="1"/>
  <c r="CN10" i="2"/>
  <c r="CO10" i="2" s="1"/>
  <c r="CN6" i="2"/>
  <c r="CO6" i="2" s="1"/>
  <c r="CN25" i="2"/>
  <c r="CO25" i="2" s="1"/>
  <c r="CN17" i="2"/>
  <c r="CO17" i="2" s="1"/>
  <c r="CN13" i="2"/>
  <c r="CO13" i="2" s="1"/>
  <c r="CN11" i="2"/>
  <c r="CO11" i="2" s="1"/>
  <c r="CR14" i="2"/>
  <c r="CS14" i="2" s="1"/>
  <c r="CR2" i="2"/>
  <c r="CS2" i="2" s="1"/>
  <c r="DG19" i="2"/>
  <c r="DH19" i="2" s="1"/>
  <c r="DG16" i="2"/>
  <c r="DH16" i="2" s="1"/>
  <c r="CR29" i="2"/>
  <c r="CS29" i="2" s="1"/>
  <c r="CR25" i="2"/>
  <c r="CS25" i="2" s="1"/>
  <c r="CR21" i="2"/>
  <c r="CS21" i="2" s="1"/>
  <c r="CR17" i="2"/>
  <c r="CS17" i="2" s="1"/>
  <c r="CR13" i="2"/>
  <c r="CS13" i="2" s="1"/>
  <c r="CR9" i="2"/>
  <c r="CS9" i="2" s="1"/>
  <c r="CR5" i="2"/>
  <c r="CS5" i="2" s="1"/>
  <c r="DG27" i="2"/>
  <c r="DH27" i="2" s="1"/>
  <c r="DG15" i="2"/>
  <c r="DH15" i="2" s="1"/>
  <c r="DG3" i="2"/>
  <c r="DH3" i="2" s="1"/>
  <c r="CN21" i="2"/>
  <c r="CO21" i="2" s="1"/>
  <c r="CR26" i="2"/>
  <c r="CS26" i="2" s="1"/>
  <c r="CN16" i="2"/>
  <c r="CO16" i="2" s="1"/>
  <c r="DG7" i="2"/>
  <c r="DH7" i="2" s="1"/>
  <c r="CR22" i="2"/>
  <c r="CS22" i="2" s="1"/>
  <c r="CN27" i="2"/>
  <c r="CO27" i="2" s="1"/>
  <c r="CN23" i="2"/>
  <c r="CO23" i="2" s="1"/>
  <c r="CN19" i="2"/>
  <c r="CO19" i="2" s="1"/>
  <c r="CN15" i="2"/>
  <c r="CO15" i="2" s="1"/>
  <c r="CN7" i="2"/>
  <c r="CO7" i="2" s="1"/>
  <c r="CN3" i="2"/>
  <c r="CO3" i="2" s="1"/>
  <c r="DG28" i="2"/>
  <c r="DH28" i="2" s="1"/>
  <c r="DG4" i="2"/>
  <c r="DH4" i="2" s="1"/>
  <c r="CN2" i="2"/>
  <c r="CO2" i="2" s="1"/>
  <c r="DG26" i="2"/>
  <c r="DH26" i="2" s="1"/>
  <c r="DG14" i="2"/>
  <c r="DH14" i="2" s="1"/>
  <c r="CN28" i="2"/>
  <c r="CO28" i="2" s="1"/>
  <c r="CN4" i="2"/>
  <c r="CO4" i="2" s="1"/>
  <c r="CR28" i="2"/>
  <c r="CS28" i="2" s="1"/>
  <c r="CN14" i="2"/>
  <c r="CO14" i="2" s="1"/>
  <c r="CR4" i="2"/>
  <c r="CS4" i="2" s="1"/>
  <c r="CR27" i="2"/>
  <c r="CS27" i="2" s="1"/>
  <c r="CR24" i="2"/>
  <c r="CS24" i="2" s="1"/>
  <c r="CR23" i="2"/>
  <c r="CS23" i="2" s="1"/>
  <c r="CR20" i="2"/>
  <c r="CS20" i="2" s="1"/>
  <c r="CR15" i="2"/>
  <c r="CS15" i="2" s="1"/>
  <c r="CR12" i="2"/>
  <c r="CS12" i="2" s="1"/>
  <c r="CR11" i="2"/>
  <c r="CS11" i="2" s="1"/>
  <c r="CR8" i="2"/>
  <c r="CS8" i="2" s="1"/>
  <c r="CS3" i="2"/>
  <c r="CR10" i="2"/>
  <c r="CS10" i="2" s="1"/>
  <c r="CN26" i="2"/>
  <c r="CO26" i="2" s="1"/>
  <c r="CR16" i="2"/>
  <c r="CS16" i="2" s="1"/>
  <c r="DG21" i="2"/>
  <c r="DH21" i="2" s="1"/>
  <c r="DG9" i="2"/>
  <c r="DH9" i="2" s="1"/>
  <c r="DM21" i="2"/>
  <c r="DN21" i="2" s="1"/>
  <c r="DM9" i="2"/>
  <c r="DN9" i="2" s="1"/>
  <c r="DM25" i="2"/>
  <c r="DN25" i="2" s="1"/>
  <c r="DM13" i="2"/>
  <c r="DN13" i="2" s="1"/>
  <c r="DM23" i="2"/>
  <c r="DN23" i="2" s="1"/>
  <c r="DM11" i="2"/>
  <c r="DN11" i="2" s="1"/>
  <c r="DM22" i="2"/>
  <c r="DN22" i="2" s="1"/>
  <c r="DM10" i="2"/>
  <c r="DN10" i="2" s="1"/>
  <c r="CL6" i="2"/>
  <c r="CM6" i="2" s="1"/>
  <c r="DM28" i="2"/>
  <c r="DN28" i="2" s="1"/>
  <c r="DM16" i="2"/>
  <c r="DN16" i="2" s="1"/>
  <c r="DM4" i="2"/>
  <c r="DN4" i="2" s="1"/>
  <c r="DM27" i="2"/>
  <c r="DN27" i="2" s="1"/>
  <c r="DM15" i="2"/>
  <c r="DN15" i="2" s="1"/>
  <c r="DM3" i="2"/>
  <c r="DN3" i="2" s="1"/>
  <c r="AN25" i="2"/>
  <c r="AO25" i="2" s="1"/>
  <c r="AR20" i="2"/>
  <c r="AS20" i="2" s="1"/>
  <c r="AV18" i="2"/>
  <c r="AW18" i="2" s="1"/>
  <c r="AV15" i="2"/>
  <c r="AW15" i="2" s="1"/>
  <c r="AN13" i="2"/>
  <c r="AO13" i="2" s="1"/>
  <c r="AN10" i="2"/>
  <c r="AO10" i="2" s="1"/>
  <c r="AV3" i="2"/>
  <c r="AW3" i="2" s="1"/>
  <c r="CP23" i="2"/>
  <c r="CQ23" i="2" s="1"/>
  <c r="DM26" i="2"/>
  <c r="DN26" i="2" s="1"/>
  <c r="DM14" i="2"/>
  <c r="DN14" i="2" s="1"/>
  <c r="AV23" i="2"/>
  <c r="AW23" i="2" s="1"/>
  <c r="AR13" i="2"/>
  <c r="AS13" i="2" s="1"/>
  <c r="AV11" i="2"/>
  <c r="AW11" i="2" s="1"/>
  <c r="CP22" i="2"/>
  <c r="CQ22" i="2" s="1"/>
  <c r="CP14" i="2"/>
  <c r="CQ14" i="2" s="1"/>
  <c r="DK29" i="2"/>
  <c r="DL29" i="2" s="1"/>
  <c r="DK26" i="2"/>
  <c r="DL26" i="2" s="1"/>
  <c r="DK17" i="2"/>
  <c r="DL17" i="2" s="1"/>
  <c r="DK14" i="2"/>
  <c r="DL14" i="2" s="1"/>
  <c r="DK11" i="2"/>
  <c r="DL11" i="2" s="1"/>
  <c r="DK8" i="2"/>
  <c r="DL8" i="2" s="1"/>
  <c r="DK5" i="2"/>
  <c r="DL5" i="2" s="1"/>
  <c r="DM20" i="2"/>
  <c r="DN20" i="2" s="1"/>
  <c r="DM8" i="2"/>
  <c r="DN8" i="2" s="1"/>
  <c r="DM19" i="2"/>
  <c r="DN19" i="2" s="1"/>
  <c r="DM7" i="2"/>
  <c r="DN7" i="2" s="1"/>
  <c r="DM24" i="2"/>
  <c r="DN24" i="2" s="1"/>
  <c r="DM12" i="2"/>
  <c r="DN12" i="2" s="1"/>
  <c r="DM18" i="2"/>
  <c r="DN18" i="2" s="1"/>
  <c r="DM6" i="2"/>
  <c r="DN6" i="2" s="1"/>
  <c r="DM29" i="2"/>
  <c r="DN29" i="2" s="1"/>
  <c r="DM17" i="2"/>
  <c r="DN17" i="2" s="1"/>
  <c r="DM5" i="2"/>
  <c r="DN5" i="2" s="1"/>
  <c r="CL4" i="2"/>
  <c r="CM4" i="2" s="1"/>
  <c r="CP10" i="2"/>
  <c r="CQ10" i="2" s="1"/>
  <c r="DI29" i="2"/>
  <c r="DI20" i="2"/>
  <c r="DJ20" i="2" s="1"/>
  <c r="DI17" i="2"/>
  <c r="DI8" i="2"/>
  <c r="DJ8" i="2" s="1"/>
  <c r="DI5" i="2"/>
  <c r="DJ5" i="2" s="1"/>
  <c r="DI2" i="2"/>
  <c r="DJ2" i="2" s="1"/>
  <c r="AR19" i="2"/>
  <c r="AS19" i="2" s="1"/>
  <c r="AR16" i="2"/>
  <c r="AS16" i="2" s="1"/>
  <c r="AV8" i="2"/>
  <c r="AW8" i="2" s="1"/>
  <c r="CP12" i="2"/>
  <c r="CQ12" i="2" s="1"/>
  <c r="CL20" i="2"/>
  <c r="CM20" i="2" s="1"/>
  <c r="DK28" i="2"/>
  <c r="DL28" i="2" s="1"/>
  <c r="DK25" i="2"/>
  <c r="DL25" i="2" s="1"/>
  <c r="DK19" i="2"/>
  <c r="DL19" i="2" s="1"/>
  <c r="DK16" i="2"/>
  <c r="DL16" i="2" s="1"/>
  <c r="DK13" i="2"/>
  <c r="DL13" i="2" s="1"/>
  <c r="DK10" i="2"/>
  <c r="DL10" i="2" s="1"/>
  <c r="DK7" i="2"/>
  <c r="DL7" i="2" s="1"/>
  <c r="DK4" i="2"/>
  <c r="DL4" i="2" s="1"/>
  <c r="CL5" i="2"/>
  <c r="CM5" i="2" s="1"/>
  <c r="DI22" i="2"/>
  <c r="DI13" i="2"/>
  <c r="DI10" i="2"/>
  <c r="DJ10" i="2" s="1"/>
  <c r="CL16" i="2"/>
  <c r="CM16" i="2" s="1"/>
  <c r="CL8" i="2"/>
  <c r="CM8" i="2" s="1"/>
  <c r="CP11" i="2"/>
  <c r="CQ11" i="2" s="1"/>
  <c r="CL29" i="2"/>
  <c r="CM29" i="2" s="1"/>
  <c r="DI25" i="2"/>
  <c r="DK20" i="2"/>
  <c r="DL20" i="2" s="1"/>
  <c r="DK2" i="2"/>
  <c r="DL2" i="2" s="1"/>
  <c r="DI23" i="2"/>
  <c r="DJ23" i="2" s="1"/>
  <c r="DI11" i="2"/>
  <c r="DJ11" i="2" s="1"/>
  <c r="CL28" i="2"/>
  <c r="CM28" i="2" s="1"/>
  <c r="CP18" i="2"/>
  <c r="CQ18" i="2" s="1"/>
  <c r="CP6" i="2"/>
  <c r="CQ6" i="2" s="1"/>
  <c r="DI19" i="2"/>
  <c r="DI7" i="2"/>
  <c r="DK27" i="2"/>
  <c r="DL27" i="2" s="1"/>
  <c r="DK24" i="2"/>
  <c r="DL24" i="2" s="1"/>
  <c r="DK21" i="2"/>
  <c r="DL21" i="2" s="1"/>
  <c r="DK18" i="2"/>
  <c r="DL18" i="2" s="1"/>
  <c r="DK15" i="2"/>
  <c r="DL15" i="2" s="1"/>
  <c r="DK12" i="2"/>
  <c r="DL12" i="2" s="1"/>
  <c r="DK9" i="2"/>
  <c r="DL9" i="2" s="1"/>
  <c r="DK6" i="2"/>
  <c r="DL6" i="2" s="1"/>
  <c r="DK3" i="2"/>
  <c r="DL3" i="2" s="1"/>
  <c r="DI27" i="2"/>
  <c r="DI24" i="2"/>
  <c r="DK22" i="2"/>
  <c r="DL22" i="2" s="1"/>
  <c r="DI21" i="2"/>
  <c r="DJ21" i="2" s="1"/>
  <c r="DI18" i="2"/>
  <c r="DI15" i="2"/>
  <c r="DI12" i="2"/>
  <c r="DI9" i="2"/>
  <c r="DJ9" i="2" s="1"/>
  <c r="DI6" i="2"/>
  <c r="DI3" i="2"/>
  <c r="DI28" i="2"/>
  <c r="DK23" i="2"/>
  <c r="DL23" i="2" s="1"/>
  <c r="DI16" i="2"/>
  <c r="DJ16" i="2" s="1"/>
  <c r="DI4" i="2"/>
  <c r="CP26" i="2"/>
  <c r="CQ26" i="2" s="1"/>
  <c r="CL27" i="2"/>
  <c r="CM27" i="2" s="1"/>
  <c r="CL23" i="2"/>
  <c r="CM23" i="2" s="1"/>
  <c r="CL19" i="2"/>
  <c r="CM19" i="2" s="1"/>
  <c r="CL15" i="2"/>
  <c r="CM15" i="2" s="1"/>
  <c r="CL11" i="2"/>
  <c r="CM11" i="2" s="1"/>
  <c r="CL7" i="2"/>
  <c r="CM7" i="2" s="1"/>
  <c r="CL3" i="2"/>
  <c r="CM3" i="2" s="1"/>
  <c r="DI26" i="2"/>
  <c r="DJ26" i="2" s="1"/>
  <c r="DI14" i="2"/>
  <c r="DJ14" i="2" s="1"/>
  <c r="CP13" i="2"/>
  <c r="CQ13" i="2" s="1"/>
  <c r="CP24" i="2"/>
  <c r="CQ24" i="2" s="1"/>
  <c r="CL17" i="2"/>
  <c r="CM17" i="2" s="1"/>
  <c r="CL24" i="2"/>
  <c r="CM24" i="2" s="1"/>
  <c r="CL12" i="2"/>
  <c r="CM12" i="2" s="1"/>
  <c r="AV17" i="2"/>
  <c r="AW17" i="2" s="1"/>
  <c r="AV14" i="2"/>
  <c r="AW14" i="2" s="1"/>
  <c r="CP29" i="2"/>
  <c r="CQ29" i="2" s="1"/>
  <c r="CT26" i="2"/>
  <c r="CU26" i="2" s="1"/>
  <c r="CP25" i="2"/>
  <c r="CQ25" i="2" s="1"/>
  <c r="CP21" i="2"/>
  <c r="CQ21" i="2" s="1"/>
  <c r="CT18" i="2"/>
  <c r="CU18" i="2" s="1"/>
  <c r="CP17" i="2"/>
  <c r="CQ17" i="2" s="1"/>
  <c r="CT14" i="2"/>
  <c r="CU14" i="2" s="1"/>
  <c r="CT10" i="2"/>
  <c r="CU10" i="2" s="1"/>
  <c r="CL18" i="2"/>
  <c r="CM18" i="2" s="1"/>
  <c r="CT25" i="2"/>
  <c r="CU25" i="2" s="1"/>
  <c r="CT24" i="2"/>
  <c r="CU24" i="2" s="1"/>
  <c r="CT23" i="2"/>
  <c r="CU23" i="2" s="1"/>
  <c r="CT22" i="2"/>
  <c r="CU22" i="2" s="1"/>
  <c r="CP9" i="2"/>
  <c r="CQ9" i="2" s="1"/>
  <c r="AR27" i="2"/>
  <c r="AS27" i="2" s="1"/>
  <c r="AV22" i="2"/>
  <c r="AW22" i="2" s="1"/>
  <c r="AR15" i="2"/>
  <c r="AS15" i="2" s="1"/>
  <c r="AV13" i="2"/>
  <c r="AW13" i="2" s="1"/>
  <c r="AV10" i="2"/>
  <c r="AW10" i="2" s="1"/>
  <c r="AV4" i="2"/>
  <c r="AW4" i="2" s="1"/>
  <c r="CL26" i="2"/>
  <c r="CM26" i="2" s="1"/>
  <c r="CL14" i="2"/>
  <c r="CM14" i="2" s="1"/>
  <c r="CL10" i="2"/>
  <c r="CM10" i="2" s="1"/>
  <c r="CT6" i="2"/>
  <c r="CU6" i="2" s="1"/>
  <c r="CP5" i="2"/>
  <c r="CQ5" i="2" s="1"/>
  <c r="CT2" i="2"/>
  <c r="CU2" i="2" s="1"/>
  <c r="AV28" i="2"/>
  <c r="AW28" i="2" s="1"/>
  <c r="AR24" i="2"/>
  <c r="AS24" i="2" s="1"/>
  <c r="AR9" i="2"/>
  <c r="AS9" i="2" s="1"/>
  <c r="AR3" i="2"/>
  <c r="AS3" i="2" s="1"/>
  <c r="CL22" i="2"/>
  <c r="CM22" i="2" s="1"/>
  <c r="CT29" i="2"/>
  <c r="CU29" i="2" s="1"/>
  <c r="CT21" i="2"/>
  <c r="CU21" i="2" s="1"/>
  <c r="CP16" i="2"/>
  <c r="CQ16" i="2" s="1"/>
  <c r="CT9" i="2"/>
  <c r="CU9" i="2" s="1"/>
  <c r="CT5" i="2"/>
  <c r="CU5" i="2" s="1"/>
  <c r="CP4" i="2"/>
  <c r="CQ4" i="2" s="1"/>
  <c r="CT12" i="2"/>
  <c r="CU12" i="2" s="1"/>
  <c r="CT8" i="2"/>
  <c r="CU8" i="2" s="1"/>
  <c r="CL25" i="2"/>
  <c r="CM25" i="2" s="1"/>
  <c r="CL21" i="2"/>
  <c r="CM21" i="2" s="1"/>
  <c r="CT20" i="2"/>
  <c r="CU20" i="2" s="1"/>
  <c r="CL13" i="2"/>
  <c r="CM13" i="2" s="1"/>
  <c r="CL9" i="2"/>
  <c r="CM9" i="2" s="1"/>
  <c r="AR17" i="2"/>
  <c r="AS17" i="2" s="1"/>
  <c r="CT28" i="2"/>
  <c r="CU28" i="2" s="1"/>
  <c r="CP27" i="2"/>
  <c r="CQ27" i="2" s="1"/>
  <c r="CT19" i="2"/>
  <c r="CU19" i="2" s="1"/>
  <c r="CP19" i="2"/>
  <c r="CQ19" i="2" s="1"/>
  <c r="CT16" i="2"/>
  <c r="CU16" i="2" s="1"/>
  <c r="CP15" i="2"/>
  <c r="CQ15" i="2" s="1"/>
  <c r="CT7" i="2"/>
  <c r="CU7" i="2" s="1"/>
  <c r="CP7" i="2"/>
  <c r="CQ7" i="2" s="1"/>
  <c r="CT4" i="2"/>
  <c r="CU4" i="2" s="1"/>
  <c r="CP3" i="2"/>
  <c r="CQ3" i="2" s="1"/>
  <c r="AV25" i="2"/>
  <c r="AW25" i="2" s="1"/>
  <c r="AR21" i="2"/>
  <c r="AS21" i="2" s="1"/>
  <c r="CT17" i="2"/>
  <c r="CU17" i="2" s="1"/>
  <c r="CP8" i="2"/>
  <c r="CQ8" i="2" s="1"/>
  <c r="CT27" i="2"/>
  <c r="CU27" i="2" s="1"/>
  <c r="CT15" i="2"/>
  <c r="CU15" i="2" s="1"/>
  <c r="CT3" i="2"/>
  <c r="CU3" i="2" s="1"/>
  <c r="AV16" i="2"/>
  <c r="AW16" i="2" s="1"/>
  <c r="AR12" i="2"/>
  <c r="AS12" i="2" s="1"/>
  <c r="CP28" i="2"/>
  <c r="CQ28" i="2" s="1"/>
  <c r="CP20" i="2"/>
  <c r="CQ20" i="2" s="1"/>
  <c r="CT13" i="2"/>
  <c r="CU13" i="2" s="1"/>
  <c r="CT11" i="2"/>
  <c r="CU11" i="2" s="1"/>
  <c r="AR8" i="2"/>
  <c r="AS8" i="2" s="1"/>
  <c r="AR5" i="2"/>
  <c r="AS5" i="2" s="1"/>
  <c r="AR2" i="2"/>
  <c r="AS2" i="2" s="1"/>
  <c r="AV5" i="2"/>
  <c r="AW5" i="2" s="1"/>
  <c r="AR29" i="2"/>
  <c r="AS29" i="2" s="1"/>
  <c r="AV6" i="2"/>
  <c r="AW6" i="2" s="1"/>
  <c r="AV29" i="2"/>
  <c r="AW29" i="2" s="1"/>
  <c r="AR28" i="2"/>
  <c r="AS28" i="2" s="1"/>
  <c r="AV26" i="2"/>
  <c r="AW26" i="2" s="1"/>
  <c r="AR25" i="2"/>
  <c r="AS25" i="2" s="1"/>
  <c r="AV20" i="2"/>
  <c r="AW20" i="2" s="1"/>
  <c r="AR7" i="2"/>
  <c r="AS7" i="2" s="1"/>
  <c r="AR4" i="2"/>
  <c r="AS4" i="2" s="1"/>
  <c r="AV2" i="2"/>
  <c r="AW2" i="2" s="1"/>
  <c r="AR26" i="2"/>
  <c r="AS26" i="2" s="1"/>
  <c r="AR14" i="2"/>
  <c r="AS14" i="2" s="1"/>
  <c r="AR23" i="2"/>
  <c r="AS23" i="2" s="1"/>
  <c r="AV12" i="2"/>
  <c r="AW12" i="2" s="1"/>
  <c r="AV9" i="2"/>
  <c r="AW9" i="2" s="1"/>
  <c r="AR22" i="2"/>
  <c r="AS22" i="2" s="1"/>
  <c r="AV27" i="2"/>
  <c r="AW27" i="2" s="1"/>
  <c r="AV24" i="2"/>
  <c r="AW24" i="2" s="1"/>
  <c r="AV21" i="2"/>
  <c r="AW21" i="2" s="1"/>
  <c r="AR11" i="2"/>
  <c r="AS11" i="2" s="1"/>
  <c r="AR10" i="2"/>
  <c r="AS10" i="2" s="1"/>
  <c r="AV19" i="2"/>
  <c r="AW19" i="2" s="1"/>
  <c r="AV7" i="2"/>
  <c r="AW7" i="2" s="1"/>
  <c r="AR18" i="2"/>
  <c r="AS18" i="2" s="1"/>
  <c r="AR6" i="2"/>
  <c r="AS6" i="2" s="1"/>
  <c r="AN24" i="2"/>
  <c r="AO24" i="2" s="1"/>
  <c r="AN12" i="2"/>
  <c r="AO12" i="2" s="1"/>
  <c r="AN9" i="2"/>
  <c r="AO9" i="2" s="1"/>
  <c r="AN22" i="2"/>
  <c r="AO22" i="2" s="1"/>
  <c r="AN21" i="2"/>
  <c r="AO21" i="2" s="1"/>
  <c r="AN26" i="2"/>
  <c r="AO26" i="2" s="1"/>
  <c r="AN14" i="2"/>
  <c r="AO14" i="2" s="1"/>
  <c r="AL29" i="2"/>
  <c r="AM29" i="2" s="1"/>
  <c r="AL17" i="2"/>
  <c r="AM17" i="2" s="1"/>
  <c r="AL5" i="2"/>
  <c r="AM5" i="2" s="1"/>
  <c r="AN29" i="2"/>
  <c r="AO29" i="2" s="1"/>
  <c r="AN23" i="2"/>
  <c r="AO23" i="2" s="1"/>
  <c r="AN20" i="2"/>
  <c r="AO20" i="2" s="1"/>
  <c r="AN17" i="2"/>
  <c r="AO17" i="2" s="1"/>
  <c r="AN11" i="2"/>
  <c r="AO11" i="2" s="1"/>
  <c r="AN8" i="2"/>
  <c r="AO8" i="2" s="1"/>
  <c r="AN5" i="2"/>
  <c r="AO5" i="2" s="1"/>
  <c r="AN28" i="2"/>
  <c r="AO28" i="2" s="1"/>
  <c r="AN16" i="2"/>
  <c r="AO16" i="2" s="1"/>
  <c r="AN4" i="2"/>
  <c r="AO4" i="2" s="1"/>
  <c r="AN19" i="2"/>
  <c r="AO19" i="2" s="1"/>
  <c r="AN7" i="2"/>
  <c r="AO7" i="2" s="1"/>
  <c r="AN18" i="2"/>
  <c r="AO18" i="2" s="1"/>
  <c r="AN6" i="2"/>
  <c r="AO6" i="2" s="1"/>
  <c r="AN27" i="2"/>
  <c r="AO27" i="2" s="1"/>
  <c r="AN15" i="2"/>
  <c r="AO15" i="2" s="1"/>
  <c r="AN3" i="2"/>
  <c r="AO3" i="2" s="1"/>
  <c r="AL26" i="2"/>
  <c r="AM26" i="2" s="1"/>
  <c r="AL14" i="2"/>
  <c r="AM14" i="2" s="1"/>
  <c r="AL25" i="2"/>
  <c r="AM25" i="2" s="1"/>
  <c r="AL13" i="2"/>
  <c r="AM13" i="2" s="1"/>
  <c r="AL11" i="2"/>
  <c r="AM11" i="2" s="1"/>
  <c r="AL22" i="2"/>
  <c r="AM22" i="2" s="1"/>
  <c r="AL10" i="2"/>
  <c r="AM10" i="2" s="1"/>
  <c r="AL18" i="2"/>
  <c r="AM18" i="2" s="1"/>
  <c r="AL6" i="2"/>
  <c r="AM6" i="2" s="1"/>
  <c r="AL28" i="2"/>
  <c r="AM28" i="2" s="1"/>
  <c r="AL16" i="2"/>
  <c r="AM16" i="2" s="1"/>
  <c r="AL4" i="2"/>
  <c r="AM4" i="2" s="1"/>
  <c r="AL27" i="2"/>
  <c r="AM27" i="2" s="1"/>
  <c r="AL15" i="2"/>
  <c r="AM15" i="2" s="1"/>
  <c r="AL23" i="2"/>
  <c r="AM23" i="2" s="1"/>
  <c r="AL20" i="2"/>
  <c r="AM20" i="2" s="1"/>
  <c r="AL8" i="2"/>
  <c r="AM8" i="2" s="1"/>
  <c r="AL24" i="2"/>
  <c r="AM24" i="2" s="1"/>
  <c r="AL19" i="2"/>
  <c r="AM19" i="2" s="1"/>
  <c r="AL7" i="2"/>
  <c r="AM7" i="2" s="1"/>
  <c r="AL21" i="2"/>
  <c r="AM21" i="2" s="1"/>
  <c r="AL12" i="2"/>
  <c r="AM12" i="2" s="1"/>
  <c r="AL9" i="2"/>
  <c r="AM9" i="2" s="1"/>
  <c r="DJ25" i="2" l="1"/>
  <c r="DQ25" i="2" s="1"/>
  <c r="DJ12" i="2"/>
  <c r="DQ12" i="2" s="1"/>
  <c r="DJ7" i="2"/>
  <c r="DQ7" i="2" s="1"/>
  <c r="DJ29" i="2"/>
  <c r="DQ29" i="2" s="1"/>
  <c r="DJ19" i="2"/>
  <c r="DQ19" i="2" s="1"/>
  <c r="DJ13" i="2"/>
  <c r="DQ13" i="2" s="1"/>
  <c r="DP2" i="2"/>
  <c r="DO2" i="2"/>
  <c r="DJ4" i="2"/>
  <c r="DQ4" i="2" s="1"/>
  <c r="DJ17" i="2"/>
  <c r="DQ17" i="2" s="1"/>
  <c r="DJ6" i="2"/>
  <c r="DQ6" i="2" s="1"/>
  <c r="DJ18" i="2"/>
  <c r="DQ18" i="2" s="1"/>
  <c r="DO16" i="2"/>
  <c r="DO4" i="2"/>
  <c r="DO28" i="2"/>
  <c r="DP3" i="2"/>
  <c r="DO9" i="2"/>
  <c r="DP11" i="2"/>
  <c r="DO22" i="2"/>
  <c r="DP12" i="2"/>
  <c r="DP27" i="2"/>
  <c r="DP25" i="2"/>
  <c r="DP17" i="2"/>
  <c r="DO21" i="2"/>
  <c r="DQ21" i="2"/>
  <c r="DO18" i="2"/>
  <c r="DO8" i="2"/>
  <c r="DP21" i="2"/>
  <c r="DP14" i="2"/>
  <c r="DP26" i="2"/>
  <c r="DO10" i="2"/>
  <c r="DQ8" i="2"/>
  <c r="DQ23" i="2"/>
  <c r="DO7" i="2"/>
  <c r="DO15" i="2"/>
  <c r="DO24" i="2"/>
  <c r="DQ11" i="2"/>
  <c r="DP4" i="2"/>
  <c r="DP29" i="2"/>
  <c r="DO11" i="2"/>
  <c r="DP7" i="2"/>
  <c r="DP19" i="2"/>
  <c r="DO12" i="2"/>
  <c r="DQ2" i="2"/>
  <c r="DP18" i="2"/>
  <c r="DO6" i="2"/>
  <c r="DP8" i="2"/>
  <c r="DQ26" i="2"/>
  <c r="DO27" i="2"/>
  <c r="DP16" i="2"/>
  <c r="DO23" i="2"/>
  <c r="DP28" i="2"/>
  <c r="DQ20" i="2"/>
  <c r="DO14" i="2"/>
  <c r="DP6" i="2"/>
  <c r="DO26" i="2"/>
  <c r="DP24" i="2"/>
  <c r="DO3" i="2"/>
  <c r="DP20" i="2"/>
  <c r="DQ14" i="2"/>
  <c r="DO19" i="2"/>
  <c r="DP10" i="2"/>
  <c r="DP23" i="2"/>
  <c r="DP22" i="2"/>
  <c r="DQ16" i="2"/>
  <c r="DQ10" i="2"/>
  <c r="DO5" i="2"/>
  <c r="DO13" i="2"/>
  <c r="DO17" i="2"/>
  <c r="DO20" i="2"/>
  <c r="DP9" i="2"/>
  <c r="DP15" i="2"/>
  <c r="DP13" i="2"/>
  <c r="DP5" i="2"/>
  <c r="DQ9" i="2"/>
  <c r="DQ5" i="2"/>
  <c r="DO29" i="2"/>
  <c r="DO25" i="2"/>
  <c r="DJ15" i="2"/>
  <c r="DQ15" i="2" s="1"/>
  <c r="DJ22" i="2"/>
  <c r="DQ22" i="2" s="1"/>
  <c r="DJ24" i="2"/>
  <c r="DQ24" i="2" s="1"/>
  <c r="DJ27" i="2"/>
  <c r="DQ27" i="2" s="1"/>
  <c r="DJ28" i="2"/>
  <c r="DQ28" i="2" s="1"/>
  <c r="DJ3" i="2"/>
  <c r="DQ3" i="2" s="1"/>
  <c r="DR27" i="2" l="1"/>
  <c r="DR9" i="2"/>
  <c r="DR4" i="2"/>
  <c r="DR14" i="2"/>
  <c r="DR25" i="2"/>
  <c r="DR29" i="2"/>
  <c r="DR6" i="2"/>
  <c r="DR18" i="2"/>
  <c r="DR17" i="2"/>
  <c r="DR13" i="2"/>
  <c r="DR11" i="2"/>
  <c r="DR10" i="2"/>
  <c r="DR22" i="2"/>
  <c r="DR3" i="2"/>
  <c r="DR12" i="2"/>
  <c r="DR5" i="2"/>
  <c r="DR26" i="2"/>
  <c r="DR2" i="2"/>
  <c r="DR24" i="2"/>
  <c r="DR8" i="2"/>
  <c r="DR28" i="2"/>
  <c r="DR15" i="2"/>
  <c r="DR19" i="2"/>
  <c r="DR23" i="2"/>
  <c r="DR7" i="2"/>
  <c r="DR20" i="2"/>
  <c r="DR21" i="2"/>
  <c r="DR16" i="2"/>
</calcChain>
</file>

<file path=xl/sharedStrings.xml><?xml version="1.0" encoding="utf-8"?>
<sst xmlns="http://schemas.openxmlformats.org/spreadsheetml/2006/main" count="375" uniqueCount="151">
  <si>
    <t>キットの管理Noを記載してください</t>
  </si>
  <si>
    <t>1. 非常にたくさんの仕事をしなければならない</t>
  </si>
  <si>
    <t>2. 時間内に仕事が処理しきれない</t>
  </si>
  <si>
    <t>3. 一生懸命働かなければならない</t>
  </si>
  <si>
    <t>4. かなり注意を集中する必要がある</t>
  </si>
  <si>
    <t>5. 高度の知識や技術が必要なむずかしい仕事だ</t>
  </si>
  <si>
    <t>6. 勤務時間中はいつも仕事のことを考えていなければならない</t>
  </si>
  <si>
    <t>7. からだを大変よく使う仕事だ</t>
  </si>
  <si>
    <t>8. 自分のペースで仕事ができる</t>
  </si>
  <si>
    <t>9. 自分の仕事の順番・やり方を決めることができる</t>
  </si>
  <si>
    <t>10. 職場の仕事の方針に自分の意見を反映できる</t>
  </si>
  <si>
    <t>11. 自分の技能や知識を仕事で使うことが少ない</t>
  </si>
  <si>
    <t>12. 私の部署内で意見のくい違いがある</t>
  </si>
  <si>
    <t>13. 私の部署と他の部署とはうまが合わない</t>
  </si>
  <si>
    <t>14. 私の職場の雰囲気は友好的である</t>
  </si>
  <si>
    <t>15. 私の職場の作業環境（騒音、照明、温度、換気など）はよくない</t>
  </si>
  <si>
    <t>16. 仕事の内容は自分にあってる</t>
  </si>
  <si>
    <t>17. 働きがいのある仕事だ</t>
  </si>
  <si>
    <t>1. 活気がわいてくる</t>
  </si>
  <si>
    <t>2. 元気がいっぱいだ</t>
  </si>
  <si>
    <t>3. 生き生きする</t>
  </si>
  <si>
    <t>4. 怒りを感じる</t>
  </si>
  <si>
    <t>5. 内心腹立だしい</t>
  </si>
  <si>
    <t>6. イライラしている</t>
  </si>
  <si>
    <t>7. ひどく疲れた</t>
  </si>
  <si>
    <t>8. へとへとだ</t>
  </si>
  <si>
    <t>9. だるい</t>
  </si>
  <si>
    <t>10. 気がはりつめている</t>
  </si>
  <si>
    <t>11. 不安だ</t>
  </si>
  <si>
    <t>12. 落ち着かない</t>
  </si>
  <si>
    <t>13. ゆううつだ</t>
  </si>
  <si>
    <t>14. 何をするのも面倒だ</t>
  </si>
  <si>
    <t>15. 物事に集中できない</t>
  </si>
  <si>
    <t>16. 気分が晴れない</t>
  </si>
  <si>
    <t>17. 仕事が手につかない</t>
  </si>
  <si>
    <t>18. 悲しいと感じる</t>
  </si>
  <si>
    <t>19. めまいがする</t>
  </si>
  <si>
    <t>20. 体のふしぶしが痛む</t>
  </si>
  <si>
    <t>21. 頭が重かったり頭痛がする</t>
  </si>
  <si>
    <t>22. 首筋や肩がこる</t>
  </si>
  <si>
    <t>23. 腰が痛い</t>
  </si>
  <si>
    <t>24. 目が疲れる</t>
  </si>
  <si>
    <t>25. 動悸や息切れがする</t>
  </si>
  <si>
    <t>26. 胃腸の具合が悪い</t>
  </si>
  <si>
    <t>27. 食欲がない</t>
  </si>
  <si>
    <t>28. 便秘や下痢をする</t>
  </si>
  <si>
    <t>29. よく眠れない</t>
  </si>
  <si>
    <t>次の人たちはどのくらい気軽に話ができますか？
1．上司</t>
  </si>
  <si>
    <t>次の人たちはどのくらい気軽に話ができますか？
2. 職場の同僚</t>
  </si>
  <si>
    <t>次の人たちはどのくらい気軽に話ができますか？
3. 配偶者、家族、友人等</t>
  </si>
  <si>
    <t>あなたが困った時、次の人たちはどのくらい頼りになりますか？
4. 上司</t>
  </si>
  <si>
    <t>あなたが困った時、次の人たちはどのくらい頼りになりますか？
5. 職場の同僚</t>
  </si>
  <si>
    <t>あなたが困った時、次の人たちはどのくらい頼りになりますか？
6. 配偶者、家族、友人等</t>
  </si>
  <si>
    <t>あなたの個人的な問題を相談したら、次の人たちはどのくらいきいてくれますか？
7. 上司</t>
  </si>
  <si>
    <t>あなたの個人的な問題を相談したら、次の人たちはどのくらいきいてくれますか？
8. 職場の同僚</t>
  </si>
  <si>
    <t>あなたの個人的な問題を相談したら、次の人たちはどのくらいきいてくれますか？
9. 配偶者、家族、友人等</t>
  </si>
  <si>
    <t>1. 仕事に満足だ</t>
  </si>
  <si>
    <t>2. 家庭生活に満足だ</t>
  </si>
  <si>
    <t>BP（CRE補正後）</t>
    <rPh sb="6" eb="9">
      <t>ホセイゴ</t>
    </rPh>
    <phoneticPr fontId="8"/>
  </si>
  <si>
    <t>アラート有無</t>
    <rPh sb="4" eb="6">
      <t>ウム</t>
    </rPh>
    <phoneticPr fontId="8"/>
  </si>
  <si>
    <t>メンタルアラートなし（-）</t>
  </si>
  <si>
    <t>心理的な仕事の負担（量）</t>
    <rPh sb="0" eb="3">
      <t>シンリテキ</t>
    </rPh>
    <rPh sb="4" eb="6">
      <t>シゴト</t>
    </rPh>
    <rPh sb="7" eb="9">
      <t>フタン</t>
    </rPh>
    <rPh sb="10" eb="11">
      <t>リョウ</t>
    </rPh>
    <phoneticPr fontId="6"/>
  </si>
  <si>
    <t>心理的な仕事の負担（質）</t>
    <rPh sb="0" eb="3">
      <t>シンリテキ</t>
    </rPh>
    <rPh sb="4" eb="6">
      <t>シゴト</t>
    </rPh>
    <rPh sb="7" eb="9">
      <t>フタン</t>
    </rPh>
    <rPh sb="10" eb="11">
      <t>シツ</t>
    </rPh>
    <phoneticPr fontId="6"/>
  </si>
  <si>
    <t>自覚的な身体的負担度</t>
    <rPh sb="0" eb="3">
      <t>ジカクテキ</t>
    </rPh>
    <rPh sb="4" eb="10">
      <t>シンタイテキフタンド</t>
    </rPh>
    <phoneticPr fontId="6"/>
  </si>
  <si>
    <t>職場の対人関係でのストレス</t>
    <rPh sb="0" eb="2">
      <t>ショクバ</t>
    </rPh>
    <rPh sb="3" eb="7">
      <t>タイジンカンケイ</t>
    </rPh>
    <phoneticPr fontId="6"/>
  </si>
  <si>
    <t>職場環境によるストレス</t>
    <rPh sb="0" eb="4">
      <t>ショクバカンキョウ</t>
    </rPh>
    <phoneticPr fontId="6"/>
  </si>
  <si>
    <t>仕事のコントロール度</t>
    <rPh sb="0" eb="2">
      <t>シゴト</t>
    </rPh>
    <rPh sb="9" eb="10">
      <t>ド</t>
    </rPh>
    <phoneticPr fontId="6"/>
  </si>
  <si>
    <t>技能の活用度</t>
    <rPh sb="0" eb="2">
      <t>ギノウ</t>
    </rPh>
    <rPh sb="3" eb="6">
      <t>カツヨウド</t>
    </rPh>
    <phoneticPr fontId="6"/>
  </si>
  <si>
    <t>仕事の適性度</t>
    <rPh sb="0" eb="2">
      <t>シゴト</t>
    </rPh>
    <rPh sb="3" eb="6">
      <t>テキセイド</t>
    </rPh>
    <phoneticPr fontId="6"/>
  </si>
  <si>
    <t>働きがい</t>
    <rPh sb="0" eb="1">
      <t>ハタラ</t>
    </rPh>
    <phoneticPr fontId="6"/>
  </si>
  <si>
    <t>活気</t>
    <rPh sb="0" eb="2">
      <t>カッキ</t>
    </rPh>
    <phoneticPr fontId="6"/>
  </si>
  <si>
    <t>イライラ感</t>
    <rPh sb="4" eb="5">
      <t>カン</t>
    </rPh>
    <phoneticPr fontId="6"/>
  </si>
  <si>
    <t>疲労感</t>
    <rPh sb="0" eb="3">
      <t>ヒロウカン</t>
    </rPh>
    <phoneticPr fontId="6"/>
  </si>
  <si>
    <t>不安感</t>
    <rPh sb="0" eb="3">
      <t>フアンカン</t>
    </rPh>
    <phoneticPr fontId="6"/>
  </si>
  <si>
    <t>抑うつ感</t>
    <rPh sb="0" eb="1">
      <t>ヨク</t>
    </rPh>
    <rPh sb="3" eb="4">
      <t>カン</t>
    </rPh>
    <phoneticPr fontId="6"/>
  </si>
  <si>
    <t>身体愁訴</t>
    <rPh sb="0" eb="2">
      <t>シンタイ</t>
    </rPh>
    <rPh sb="2" eb="4">
      <t>シュウソ</t>
    </rPh>
    <phoneticPr fontId="6"/>
  </si>
  <si>
    <t>上司からのサポート</t>
    <rPh sb="0" eb="2">
      <t>ジョウシ</t>
    </rPh>
    <phoneticPr fontId="6"/>
  </si>
  <si>
    <t>同僚からのサポート</t>
    <rPh sb="0" eb="2">
      <t>ドウリョウ</t>
    </rPh>
    <phoneticPr fontId="6"/>
  </si>
  <si>
    <t>家族・友人からのサポート</t>
    <rPh sb="0" eb="2">
      <t>カゾク</t>
    </rPh>
    <rPh sb="3" eb="5">
      <t>ユウジン</t>
    </rPh>
    <phoneticPr fontId="6"/>
  </si>
  <si>
    <t>仕事や生活の満足度</t>
    <rPh sb="0" eb="2">
      <t>シゴト</t>
    </rPh>
    <rPh sb="3" eb="5">
      <t>セイカツ</t>
    </rPh>
    <rPh sb="6" eb="9">
      <t>マンゾクド</t>
    </rPh>
    <phoneticPr fontId="6"/>
  </si>
  <si>
    <t>身体愁訴</t>
    <rPh sb="0" eb="4">
      <t>シンタイシュウソ</t>
    </rPh>
    <phoneticPr fontId="6"/>
  </si>
  <si>
    <t>性別</t>
    <rPh sb="0" eb="2">
      <t>セイベツ</t>
    </rPh>
    <phoneticPr fontId="8"/>
  </si>
  <si>
    <t>male</t>
  </si>
  <si>
    <t>female</t>
  </si>
  <si>
    <t>ストレスチェック総合評価</t>
    <rPh sb="8" eb="12">
      <t>ソウゴウヒョウカ</t>
    </rPh>
    <phoneticPr fontId="6"/>
  </si>
  <si>
    <t>心身の反応</t>
    <rPh sb="0" eb="2">
      <t>シンシン</t>
    </rPh>
    <rPh sb="3" eb="5">
      <t>ハンノウ</t>
    </rPh>
    <phoneticPr fontId="6"/>
  </si>
  <si>
    <t>ストレスの原因</t>
    <rPh sb="5" eb="7">
      <t>ゲンイン</t>
    </rPh>
    <phoneticPr fontId="6"/>
  </si>
  <si>
    <t>ストレスに影響を与えるその他因子</t>
    <rPh sb="5" eb="7">
      <t>エイキョウ</t>
    </rPh>
    <rPh sb="8" eb="9">
      <t>アタ</t>
    </rPh>
    <rPh sb="13" eb="16">
      <t>タインシ</t>
    </rPh>
    <phoneticPr fontId="6"/>
  </si>
  <si>
    <t>F-検定: 2 標本を使った分散の検定</t>
  </si>
  <si>
    <t>変数 1</t>
  </si>
  <si>
    <t>変数 2</t>
  </si>
  <si>
    <t>平均</t>
  </si>
  <si>
    <t>分散</t>
  </si>
  <si>
    <t>観測数</t>
  </si>
  <si>
    <t>自由度</t>
  </si>
  <si>
    <t>観測された分散比</t>
  </si>
  <si>
    <r>
      <t xml:space="preserve">P(F&lt;=f) </t>
    </r>
    <r>
      <rPr>
        <sz val="10"/>
        <color rgb="FF000000"/>
        <rFont val="Arial"/>
        <family val="2"/>
        <scheme val="minor"/>
      </rPr>
      <t>片側</t>
    </r>
  </si>
  <si>
    <r>
      <t xml:space="preserve">F </t>
    </r>
    <r>
      <rPr>
        <sz val="10"/>
        <color rgb="FF000000"/>
        <rFont val="Arial"/>
        <family val="2"/>
        <scheme val="minor"/>
      </rPr>
      <t>境界値 片側</t>
    </r>
  </si>
  <si>
    <t>t-検定: 等分散を仮定した２標本による検定</t>
  </si>
  <si>
    <t>プールされた分散</t>
  </si>
  <si>
    <t>仮説平均との差異</t>
  </si>
  <si>
    <t xml:space="preserve">t </t>
  </si>
  <si>
    <r>
      <t xml:space="preserve">P(T&lt;=t) </t>
    </r>
    <r>
      <rPr>
        <sz val="10"/>
        <color rgb="FF000000"/>
        <rFont val="Arial"/>
        <family val="2"/>
        <scheme val="minor"/>
      </rPr>
      <t>片側</t>
    </r>
  </si>
  <si>
    <r>
      <t xml:space="preserve">t </t>
    </r>
    <r>
      <rPr>
        <sz val="10"/>
        <color rgb="FF000000"/>
        <rFont val="Arial"/>
        <family val="2"/>
        <scheme val="minor"/>
      </rPr>
      <t>境界値 片側</t>
    </r>
  </si>
  <si>
    <r>
      <t xml:space="preserve">P(T&lt;=t) </t>
    </r>
    <r>
      <rPr>
        <sz val="10"/>
        <color rgb="FF000000"/>
        <rFont val="Arial"/>
        <family val="2"/>
        <scheme val="minor"/>
      </rPr>
      <t>両側</t>
    </r>
  </si>
  <si>
    <r>
      <t xml:space="preserve">t </t>
    </r>
    <r>
      <rPr>
        <sz val="10"/>
        <color rgb="FF000000"/>
        <rFont val="Arial"/>
        <family val="2"/>
        <scheme val="minor"/>
      </rPr>
      <t>境界値 両側</t>
    </r>
  </si>
  <si>
    <t>年齢</t>
    <rPh sb="0" eb="2">
      <t>ネンレイ</t>
    </rPh>
    <phoneticPr fontId="6"/>
  </si>
  <si>
    <t>スコア10除外</t>
    <rPh sb="5" eb="7">
      <t>ジョガイ</t>
    </rPh>
    <phoneticPr fontId="6"/>
  </si>
  <si>
    <t>バイオピリン</t>
    <phoneticPr fontId="8"/>
  </si>
  <si>
    <t>クレアチニン</t>
    <phoneticPr fontId="8"/>
  </si>
  <si>
    <t>メンタルアラートなし（-）</t>
    <phoneticPr fontId="8"/>
  </si>
  <si>
    <t>スコア</t>
    <phoneticPr fontId="6"/>
  </si>
  <si>
    <r>
      <rPr>
        <sz val="10"/>
        <color rgb="FF000000"/>
        <rFont val="ＭＳ ゴシック"/>
        <family val="3"/>
        <charset val="128"/>
      </rPr>
      <t>メンタルアラートあり（</t>
    </r>
    <r>
      <rPr>
        <sz val="10"/>
        <color rgb="FF000000"/>
        <rFont val="Arial"/>
        <family val="2"/>
        <charset val="128"/>
        <scheme val="minor"/>
      </rPr>
      <t>+</t>
    </r>
    <r>
      <rPr>
        <sz val="10"/>
        <color rgb="FF000000"/>
        <rFont val="ＭＳ ゴシック"/>
        <family val="3"/>
        <charset val="128"/>
      </rPr>
      <t>）</t>
    </r>
    <phoneticPr fontId="8"/>
  </si>
  <si>
    <t>高ストレス</t>
    <rPh sb="0" eb="1">
      <t>コウ</t>
    </rPh>
    <phoneticPr fontId="6"/>
  </si>
  <si>
    <r>
      <rPr>
        <sz val="10"/>
        <color rgb="FF000000"/>
        <rFont val="ＭＳ ゴシック"/>
        <family val="3"/>
        <charset val="128"/>
      </rPr>
      <t>メンタルアラートなし（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ＭＳ ゴシック"/>
        <family val="3"/>
        <charset val="128"/>
      </rPr>
      <t>）</t>
    </r>
    <phoneticPr fontId="6"/>
  </si>
  <si>
    <t>メンタルアラートあり（+）</t>
    <phoneticPr fontId="6"/>
  </si>
  <si>
    <t>高ストレス以外</t>
    <rPh sb="0" eb="1">
      <t>コウ</t>
    </rPh>
    <rPh sb="5" eb="7">
      <t>イガイ</t>
    </rPh>
    <phoneticPr fontId="6"/>
  </si>
  <si>
    <t>スコア</t>
    <phoneticPr fontId="6"/>
  </si>
  <si>
    <t>スコア10除外</t>
    <rPh sb="5" eb="7">
      <t>ジョガイ</t>
    </rPh>
    <phoneticPr fontId="6"/>
  </si>
  <si>
    <t>小項目</t>
    <rPh sb="0" eb="3">
      <t>ショウコウモク</t>
    </rPh>
    <phoneticPr fontId="6"/>
  </si>
  <si>
    <t>相関係数（Ｒ）</t>
    <rPh sb="0" eb="4">
      <t>ソウカンケイスウ</t>
    </rPh>
    <phoneticPr fontId="6"/>
  </si>
  <si>
    <t>同項目は2列目が男女でのスコア補正後</t>
    <rPh sb="0" eb="3">
      <t>ドウコウモク</t>
    </rPh>
    <rPh sb="5" eb="7">
      <t>レツメ</t>
    </rPh>
    <rPh sb="8" eb="10">
      <t>ダンジョ</t>
    </rPh>
    <rPh sb="15" eb="18">
      <t>ホセイゴ</t>
    </rPh>
    <phoneticPr fontId="6"/>
  </si>
  <si>
    <t>中項目</t>
    <rPh sb="0" eb="3">
      <t>チュウコウモク</t>
    </rPh>
    <phoneticPr fontId="6"/>
  </si>
  <si>
    <t>心身のストレス反応</t>
    <rPh sb="0" eb="2">
      <t>シンシン</t>
    </rPh>
    <rPh sb="7" eb="9">
      <t>ハンノウ</t>
    </rPh>
    <phoneticPr fontId="6"/>
  </si>
  <si>
    <t>ストレスに影響を与えるその他因子</t>
    <phoneticPr fontId="6"/>
  </si>
  <si>
    <t>ストレスに影響を与えるその他因子</t>
    <rPh sb="5" eb="7">
      <t>エイキョウ</t>
    </rPh>
    <rPh sb="8" eb="9">
      <t>アタ</t>
    </rPh>
    <rPh sb="13" eb="14">
      <t>タ</t>
    </rPh>
    <rPh sb="14" eb="16">
      <t>インシ</t>
    </rPh>
    <phoneticPr fontId="6"/>
  </si>
  <si>
    <t>総得点評価要修正１</t>
    <rPh sb="0" eb="3">
      <t>ソウトクテン</t>
    </rPh>
    <rPh sb="3" eb="8">
      <t>ヒョウカヨウシュウセイ</t>
    </rPh>
    <phoneticPr fontId="6"/>
  </si>
  <si>
    <t>総得点評価要修正２</t>
    <rPh sb="0" eb="3">
      <t>ソウトクテン</t>
    </rPh>
    <rPh sb="3" eb="8">
      <t>ヒョウカヨウシュウセイ</t>
    </rPh>
    <phoneticPr fontId="6"/>
  </si>
  <si>
    <t>総得点評価要修正３</t>
    <rPh sb="0" eb="3">
      <t>ソウトクテン</t>
    </rPh>
    <rPh sb="3" eb="8">
      <t>ヒョウカヨウシュウセイ</t>
    </rPh>
    <phoneticPr fontId="6"/>
  </si>
  <si>
    <t>総得点評価要修正４</t>
    <rPh sb="0" eb="3">
      <t>ソウトクテン</t>
    </rPh>
    <rPh sb="3" eb="8">
      <t>ヒョウカヨウシュウセイ</t>
    </rPh>
    <phoneticPr fontId="6"/>
  </si>
  <si>
    <t>総得点評価要修正５</t>
    <rPh sb="0" eb="3">
      <t>ソウトクテン</t>
    </rPh>
    <rPh sb="3" eb="8">
      <t>ヒョウカヨウシュウセイ</t>
    </rPh>
    <phoneticPr fontId="6"/>
  </si>
  <si>
    <t>総得点評価要修正６</t>
    <rPh sb="0" eb="3">
      <t>ソウトクテン</t>
    </rPh>
    <rPh sb="3" eb="8">
      <t>ヒョウカヨウシュウセイ</t>
    </rPh>
    <phoneticPr fontId="6"/>
  </si>
  <si>
    <t>総得点評価要修正７</t>
    <rPh sb="0" eb="3">
      <t>ソウトクテン</t>
    </rPh>
    <rPh sb="3" eb="8">
      <t>ヒョウカヨウシュウセイ</t>
    </rPh>
    <phoneticPr fontId="6"/>
  </si>
  <si>
    <t>総得点評価要修正８</t>
    <rPh sb="0" eb="3">
      <t>ソウトクテン</t>
    </rPh>
    <rPh sb="3" eb="8">
      <t>ヒョウカヨウシュウセイ</t>
    </rPh>
    <phoneticPr fontId="6"/>
  </si>
  <si>
    <t>総得点評価要修正９</t>
    <rPh sb="0" eb="3">
      <t>ソウトクテン</t>
    </rPh>
    <rPh sb="3" eb="8">
      <t>ヒョウカヨウシュウセイ</t>
    </rPh>
    <phoneticPr fontId="6"/>
  </si>
  <si>
    <t>総得点評価要修正１０</t>
    <rPh sb="0" eb="3">
      <t>ソウトクテン</t>
    </rPh>
    <rPh sb="3" eb="8">
      <t>ヒョウカヨウシュウセイ</t>
    </rPh>
    <phoneticPr fontId="6"/>
  </si>
  <si>
    <t>総得点評価要修正１１</t>
    <rPh sb="0" eb="3">
      <t>ソウトクテン</t>
    </rPh>
    <rPh sb="3" eb="8">
      <t>ヒョウカヨウシュウセイ</t>
    </rPh>
    <phoneticPr fontId="6"/>
  </si>
  <si>
    <t>総得点評価要修正１２</t>
    <rPh sb="0" eb="3">
      <t>ソウトクテン</t>
    </rPh>
    <rPh sb="3" eb="8">
      <t>ヒョウカヨウシュウセイ</t>
    </rPh>
    <phoneticPr fontId="6"/>
  </si>
  <si>
    <t>総得点評価要修正１３</t>
    <rPh sb="0" eb="3">
      <t>ソウトクテン</t>
    </rPh>
    <rPh sb="3" eb="8">
      <t>ヒョウカヨウシュウセイ</t>
    </rPh>
    <phoneticPr fontId="6"/>
  </si>
  <si>
    <t>総得点評価要修正１４</t>
    <rPh sb="0" eb="3">
      <t>ソウトクテン</t>
    </rPh>
    <rPh sb="3" eb="8">
      <t>ヒョウカヨウシュウセイ</t>
    </rPh>
    <phoneticPr fontId="6"/>
  </si>
  <si>
    <t>総得点評価要修正１５</t>
    <rPh sb="0" eb="3">
      <t>ソウトクテン</t>
    </rPh>
    <rPh sb="3" eb="8">
      <t>ヒョウカヨウシュウセイ</t>
    </rPh>
    <phoneticPr fontId="6"/>
  </si>
  <si>
    <t>総得点評価要修正１６</t>
    <rPh sb="0" eb="3">
      <t>ソウトクテン</t>
    </rPh>
    <rPh sb="3" eb="8">
      <t>ヒョウカヨウシュウセイ</t>
    </rPh>
    <phoneticPr fontId="6"/>
  </si>
  <si>
    <t>総得点評価要修正１７</t>
    <rPh sb="0" eb="3">
      <t>ソウトクテン</t>
    </rPh>
    <rPh sb="3" eb="8">
      <t>ヒョウカヨウシュウセイ</t>
    </rPh>
    <phoneticPr fontId="6"/>
  </si>
  <si>
    <t>総合得点換算用１</t>
    <rPh sb="0" eb="7">
      <t>ソウゴウトクテンカンサンヨウ</t>
    </rPh>
    <phoneticPr fontId="6"/>
  </si>
  <si>
    <t>総合得点換算用２</t>
    <rPh sb="0" eb="7">
      <t>ソウゴウトクテンカンサンヨウ</t>
    </rPh>
    <phoneticPr fontId="6"/>
  </si>
  <si>
    <t>総合得点換算用３</t>
    <rPh sb="0" eb="7">
      <t>ソウゴウトクテンカンサンヨウ</t>
    </rPh>
    <phoneticPr fontId="6"/>
  </si>
  <si>
    <t>ストレスチェック総合評価（総得点法）</t>
    <rPh sb="8" eb="12">
      <t>ソウゴウヒョウカ</t>
    </rPh>
    <rPh sb="13" eb="17">
      <t>ソウトクテンホウ</t>
    </rPh>
    <phoneticPr fontId="6"/>
  </si>
  <si>
    <r>
      <t>A</t>
    </r>
    <r>
      <rPr>
        <sz val="10"/>
        <color rgb="FF000000"/>
        <rFont val="MS Gothic"/>
        <family val="2"/>
        <charset val="128"/>
      </rPr>
      <t>（ストレスの原因と考えられる因子）評点和</t>
    </r>
    <rPh sb="18" eb="20">
      <t>ヒョウテｎン</t>
    </rPh>
    <rPh sb="20" eb="21">
      <t xml:space="preserve">ワ </t>
    </rPh>
    <phoneticPr fontId="6"/>
  </si>
  <si>
    <r>
      <t>B</t>
    </r>
    <r>
      <rPr>
        <sz val="10"/>
        <color rgb="FF000000"/>
        <rFont val="Arial"/>
        <family val="2"/>
        <charset val="128"/>
        <scheme val="minor"/>
      </rPr>
      <t>（ストレスによって起こる心身の反応）評点和</t>
    </r>
    <rPh sb="10" eb="11">
      <t>オコｒウ</t>
    </rPh>
    <rPh sb="13" eb="15">
      <t>シンｓイ</t>
    </rPh>
    <rPh sb="19" eb="21">
      <t>ヒョウテｎン</t>
    </rPh>
    <rPh sb="21" eb="22">
      <t xml:space="preserve">ワ </t>
    </rPh>
    <phoneticPr fontId="6"/>
  </si>
  <si>
    <r>
      <t>C</t>
    </r>
    <r>
      <rPr>
        <sz val="10"/>
        <color rgb="FF000000"/>
        <rFont val="Arial"/>
        <family val="2"/>
        <charset val="128"/>
        <scheme val="minor"/>
      </rPr>
      <t>（ストレス反応に影響を与える他の因子）</t>
    </r>
    <rPh sb="9" eb="11">
      <t>エイキョウ</t>
    </rPh>
    <rPh sb="15" eb="16">
      <t>ホｋア</t>
    </rPh>
    <phoneticPr fontId="6"/>
  </si>
  <si>
    <t>A+C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</si>
</sst>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25">
    <font>
      <sz val="10"/>
      <color rgb="FF000000"/>
      <name val="Arial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6"/>
      <name val="Arial"/>
      <family val="2"/>
      <charset val="128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ＭＳ Ｐゴシック"/>
      <family val="2"/>
      <charset val="128"/>
    </font>
    <font>
      <b/>
      <sz val="10"/>
      <color theme="0"/>
      <name val="ＭＳ Ｐゴシック"/>
      <family val="3"/>
      <charset val="128"/>
    </font>
    <font>
      <b/>
      <sz val="10"/>
      <color theme="0"/>
      <name val="游ゴシック"/>
      <family val="2"/>
      <charset val="128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charset val="128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name val="Arial"/>
      <family val="2"/>
      <scheme val="minor"/>
    </font>
    <font>
      <sz val="10"/>
      <name val="ＭＳ Ｐ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rgb="FF000000"/>
      <name val="MS Gothic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/>
    <xf numFmtId="0" fontId="5" fillId="0" borderId="0" xfId="0" applyFont="1"/>
    <xf numFmtId="0" fontId="7" fillId="0" borderId="0" xfId="0" applyFont="1"/>
    <xf numFmtId="0" fontId="4" fillId="2" borderId="1" xfId="1" applyFill="1" applyBorder="1">
      <alignment vertic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9" fillId="8" borderId="0" xfId="0" applyFont="1" applyFill="1"/>
    <xf numFmtId="0" fontId="10" fillId="8" borderId="0" xfId="0" applyFont="1" applyFill="1"/>
    <xf numFmtId="0" fontId="11" fillId="7" borderId="0" xfId="0" applyFont="1" applyFill="1"/>
    <xf numFmtId="0" fontId="5" fillId="9" borderId="0" xfId="0" applyFont="1" applyFill="1"/>
    <xf numFmtId="0" fontId="12" fillId="10" borderId="0" xfId="0" applyFont="1" applyFill="1"/>
    <xf numFmtId="0" fontId="10" fillId="10" borderId="0" xfId="0" applyFont="1" applyFill="1"/>
    <xf numFmtId="0" fontId="11" fillId="11" borderId="0" xfId="0" applyFont="1" applyFill="1"/>
    <xf numFmtId="0" fontId="9" fillId="12" borderId="0" xfId="0" applyFont="1" applyFill="1"/>
    <xf numFmtId="0" fontId="10" fillId="12" borderId="0" xfId="0" applyFont="1" applyFill="1"/>
    <xf numFmtId="0" fontId="11" fillId="8" borderId="0" xfId="0" applyFont="1" applyFill="1"/>
    <xf numFmtId="0" fontId="14" fillId="13" borderId="2" xfId="3" applyFont="1" applyFill="1" applyBorder="1">
      <alignment vertical="center"/>
    </xf>
    <xf numFmtId="0" fontId="13" fillId="0" borderId="0" xfId="3" applyBorder="1">
      <alignment vertical="center"/>
    </xf>
    <xf numFmtId="0" fontId="12" fillId="14" borderId="0" xfId="0" applyFont="1" applyFill="1"/>
    <xf numFmtId="0" fontId="10" fillId="14" borderId="0" xfId="0" applyFont="1" applyFill="1"/>
    <xf numFmtId="0" fontId="10" fillId="15" borderId="0" xfId="0" applyFont="1" applyFill="1"/>
    <xf numFmtId="0" fontId="10" fillId="3" borderId="0" xfId="0" applyFont="1" applyFill="1"/>
    <xf numFmtId="0" fontId="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0" fillId="0" borderId="3" xfId="0" applyBorder="1"/>
    <xf numFmtId="0" fontId="16" fillId="0" borderId="4" xfId="0" applyFont="1" applyBorder="1" applyAlignment="1">
      <alignment horizontal="center"/>
    </xf>
    <xf numFmtId="0" fontId="14" fillId="13" borderId="0" xfId="3" applyFont="1" applyFill="1" applyBorder="1">
      <alignment vertical="center"/>
    </xf>
    <xf numFmtId="0" fontId="13" fillId="0" borderId="0" xfId="3" applyNumberFormat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20" fillId="2" borderId="1" xfId="1" applyFont="1" applyFill="1" applyBorder="1">
      <alignment vertical="center"/>
    </xf>
    <xf numFmtId="0" fontId="0" fillId="2" borderId="0" xfId="0" applyFill="1"/>
    <xf numFmtId="0" fontId="19" fillId="0" borderId="0" xfId="0" applyFont="1"/>
    <xf numFmtId="176" fontId="11" fillId="7" borderId="0" xfId="0" applyNumberFormat="1" applyFont="1" applyFill="1"/>
    <xf numFmtId="176" fontId="5" fillId="0" borderId="0" xfId="0" applyNumberFormat="1" applyFont="1"/>
    <xf numFmtId="176" fontId="0" fillId="0" borderId="0" xfId="0" applyNumberFormat="1"/>
    <xf numFmtId="0" fontId="13" fillId="0" borderId="0" xfId="3" applyNumberFormat="1" applyFill="1" applyBorder="1">
      <alignment vertical="center"/>
    </xf>
    <xf numFmtId="0" fontId="19" fillId="0" borderId="1" xfId="0" applyFont="1" applyBorder="1" applyAlignment="1">
      <alignment vertical="center"/>
    </xf>
    <xf numFmtId="0" fontId="15" fillId="0" borderId="1" xfId="0" applyFont="1" applyBorder="1"/>
    <xf numFmtId="0" fontId="0" fillId="0" borderId="1" xfId="0" applyBorder="1"/>
    <xf numFmtId="0" fontId="21" fillId="4" borderId="1" xfId="0" applyFont="1" applyFill="1" applyBorder="1"/>
    <xf numFmtId="0" fontId="15" fillId="4" borderId="1" xfId="0" applyFont="1" applyFill="1" applyBorder="1"/>
    <xf numFmtId="0" fontId="0" fillId="4" borderId="1" xfId="0" applyFill="1" applyBorder="1"/>
    <xf numFmtId="0" fontId="23" fillId="16" borderId="0" xfId="0" applyFont="1" applyFill="1"/>
    <xf numFmtId="177" fontId="22" fillId="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77" fontId="0" fillId="4" borderId="1" xfId="0" applyNumberFormat="1" applyFill="1" applyBorder="1"/>
    <xf numFmtId="0" fontId="24" fillId="0" borderId="0" xfId="0" applyFont="1"/>
    <xf numFmtId="0" fontId="0" fillId="17" borderId="0" xfId="0" applyFill="1"/>
    <xf numFmtId="0" fontId="0" fillId="0" borderId="0" xfId="0" applyFill="1"/>
  </cellXfs>
  <cellStyles count="9">
    <cellStyle name="標準" xfId="0" builtinId="0"/>
    <cellStyle name="標準 2" xfId="1" xr:uid="{12A6DC6D-2B84-433C-9EC1-FEC0D3F4DA5C}"/>
    <cellStyle name="標準 2 2" xfId="3" xr:uid="{131F5C82-85FC-4E79-8CF6-E2B1724F1283}"/>
    <cellStyle name="標準 2 3" xfId="6" xr:uid="{D358AE7A-402B-4AB8-9B1A-C1FA5DECFFE4}"/>
    <cellStyle name="標準 3" xfId="2" xr:uid="{0718653F-F077-407B-95C1-359143C33A87}"/>
    <cellStyle name="標準 3 2" xfId="7" xr:uid="{57B2C83F-8CD3-4C69-9C62-4974FC2D1315}"/>
    <cellStyle name="標準 4" xfId="4" xr:uid="{FEAFCD14-C8E1-48EB-A63D-B81031FDC725}"/>
    <cellStyle name="標準 4 2" xfId="8" xr:uid="{7FA07DDA-2376-4357-92F2-930181584DF2}"/>
    <cellStyle name="標準 5" xfId="5" xr:uid="{266031FA-C071-416A-8128-6131E4E9135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心理的な仕事の負担（質）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PMCストレスチェック小項目との相関解析!$A$46:$A$82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PMCストレスチェック小項目との相関解析!$B$46:$B$82</c:f>
              <c:numCache>
                <c:formatCode>General</c:formatCode>
                <c:ptCount val="3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5-40C2-AB76-FFD93118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032"/>
        <c:axId val="387232832"/>
      </c:scatterChart>
      <c:valAx>
        <c:axId val="38722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7232832"/>
        <c:crosses val="autoZero"/>
        <c:crossBetween val="midCat"/>
      </c:valAx>
      <c:valAx>
        <c:axId val="3872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722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仕事のコントロール度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PMCストレスチェック小項目との相関解析!$D$46:$D$82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PMCストレスチェック小項目との相関解析!$E$46:$E$82</c:f>
              <c:numCache>
                <c:formatCode>General</c:formatCode>
                <c:ptCount val="37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  <c:pt idx="12">
                  <c:v>10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9</c:v>
                </c:pt>
                <c:pt idx="26">
                  <c:v>11</c:v>
                </c:pt>
                <c:pt idx="27">
                  <c:v>10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12</c:v>
                </c:pt>
                <c:pt idx="32">
                  <c:v>9</c:v>
                </c:pt>
                <c:pt idx="33">
                  <c:v>12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6-4C12-8935-9F9B11CB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34544"/>
        <c:axId val="474135024"/>
      </c:scatterChart>
      <c:valAx>
        <c:axId val="47413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135024"/>
        <c:crosses val="autoZero"/>
        <c:crossBetween val="midCat"/>
      </c:valAx>
      <c:valAx>
        <c:axId val="4741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13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仕事の適性度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PMCストレスチェック小項目との相関解析!$G$46:$G$82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PMCストレスチェック小項目との相関解析!$H$46:$H$82</c:f>
              <c:numCache>
                <c:formatCode>General</c:formatCode>
                <c:ptCount val="3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6-4E6B-A7CA-CC7B38A4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24624"/>
        <c:axId val="480425104"/>
      </c:scatterChart>
      <c:valAx>
        <c:axId val="48042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25104"/>
        <c:crosses val="autoZero"/>
        <c:crossBetween val="midCat"/>
      </c:valAx>
      <c:valAx>
        <c:axId val="4804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2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働き甲斐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PMCストレスチェック小項目との相関解析!$J$46:$J$82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PMCストレスチェック小項目との相関解析!$K$46:$K$82</c:f>
              <c:numCache>
                <c:formatCode>General</c:formatCode>
                <c:ptCount val="3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D-42D9-990F-BD296BB3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15616"/>
        <c:axId val="463113696"/>
      </c:scatterChart>
      <c:valAx>
        <c:axId val="4631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3113696"/>
        <c:crosses val="autoZero"/>
        <c:crossBetween val="midCat"/>
      </c:valAx>
      <c:valAx>
        <c:axId val="4631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311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上司からのサポート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PMCストレスチェック小項目との相関解析!$M$46:$M$82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PMCストレスチェック小項目との相関解析!$N$46:$N$82</c:f>
              <c:numCache>
                <c:formatCode>General</c:formatCode>
                <c:ptCount val="37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9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11</c:v>
                </c:pt>
                <c:pt idx="17">
                  <c:v>11</c:v>
                </c:pt>
                <c:pt idx="18">
                  <c:v>8</c:v>
                </c:pt>
                <c:pt idx="19">
                  <c:v>7</c:v>
                </c:pt>
                <c:pt idx="20">
                  <c:v>12</c:v>
                </c:pt>
                <c:pt idx="21">
                  <c:v>3</c:v>
                </c:pt>
                <c:pt idx="22">
                  <c:v>8</c:v>
                </c:pt>
                <c:pt idx="23">
                  <c:v>11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10</c:v>
                </c:pt>
                <c:pt idx="32">
                  <c:v>8</c:v>
                </c:pt>
                <c:pt idx="33">
                  <c:v>12</c:v>
                </c:pt>
                <c:pt idx="34">
                  <c:v>9</c:v>
                </c:pt>
                <c:pt idx="35">
                  <c:v>6</c:v>
                </c:pt>
                <c:pt idx="3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0-4DBB-B90A-6EE6E01C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894544"/>
        <c:axId val="474894064"/>
      </c:scatterChart>
      <c:valAx>
        <c:axId val="4748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894064"/>
        <c:crosses val="autoZero"/>
        <c:crossBetween val="midCat"/>
      </c:valAx>
      <c:valAx>
        <c:axId val="4748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89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仕事や生活の満足度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PMCストレスチェック小項目との相関解析!$P$46:$P$82</c:f>
              <c:numCache>
                <c:formatCode>General</c:formatCode>
                <c:ptCount val="37"/>
                <c:pt idx="0">
                  <c:v>85</c:v>
                </c:pt>
                <c:pt idx="1">
                  <c:v>28</c:v>
                </c:pt>
                <c:pt idx="2">
                  <c:v>62</c:v>
                </c:pt>
                <c:pt idx="3">
                  <c:v>23</c:v>
                </c:pt>
                <c:pt idx="4">
                  <c:v>29</c:v>
                </c:pt>
                <c:pt idx="5">
                  <c:v>52</c:v>
                </c:pt>
                <c:pt idx="6">
                  <c:v>36</c:v>
                </c:pt>
                <c:pt idx="7">
                  <c:v>46</c:v>
                </c:pt>
                <c:pt idx="8">
                  <c:v>32</c:v>
                </c:pt>
                <c:pt idx="9">
                  <c:v>51</c:v>
                </c:pt>
                <c:pt idx="10">
                  <c:v>71</c:v>
                </c:pt>
                <c:pt idx="11">
                  <c:v>24</c:v>
                </c:pt>
                <c:pt idx="12">
                  <c:v>63</c:v>
                </c:pt>
                <c:pt idx="13">
                  <c:v>68</c:v>
                </c:pt>
                <c:pt idx="14">
                  <c:v>50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58</c:v>
                </c:pt>
                <c:pt idx="19">
                  <c:v>51</c:v>
                </c:pt>
                <c:pt idx="20">
                  <c:v>29</c:v>
                </c:pt>
                <c:pt idx="21">
                  <c:v>32</c:v>
                </c:pt>
                <c:pt idx="22">
                  <c:v>55</c:v>
                </c:pt>
                <c:pt idx="23">
                  <c:v>49</c:v>
                </c:pt>
                <c:pt idx="24">
                  <c:v>42</c:v>
                </c:pt>
                <c:pt idx="25">
                  <c:v>41</c:v>
                </c:pt>
                <c:pt idx="26">
                  <c:v>17</c:v>
                </c:pt>
                <c:pt idx="27">
                  <c:v>66</c:v>
                </c:pt>
                <c:pt idx="28">
                  <c:v>46</c:v>
                </c:pt>
                <c:pt idx="29">
                  <c:v>60</c:v>
                </c:pt>
                <c:pt idx="30">
                  <c:v>38</c:v>
                </c:pt>
                <c:pt idx="31">
                  <c:v>68</c:v>
                </c:pt>
                <c:pt idx="32">
                  <c:v>46</c:v>
                </c:pt>
                <c:pt idx="33">
                  <c:v>79</c:v>
                </c:pt>
                <c:pt idx="34">
                  <c:v>33</c:v>
                </c:pt>
                <c:pt idx="35">
                  <c:v>51</c:v>
                </c:pt>
                <c:pt idx="36">
                  <c:v>38</c:v>
                </c:pt>
              </c:numCache>
            </c:numRef>
          </c:xVal>
          <c:yVal>
            <c:numRef>
              <c:f>PMCストレスチェック小項目との相関解析!$Q$46:$Q$82</c:f>
              <c:numCache>
                <c:formatCode>General</c:formatCode>
                <c:ptCount val="37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4</c:v>
                </c:pt>
                <c:pt idx="26">
                  <c:v>5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8</c:v>
                </c:pt>
                <c:pt idx="32">
                  <c:v>5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5-4DCA-A810-EB7950BE8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03616"/>
        <c:axId val="480403136"/>
      </c:scatterChart>
      <c:valAx>
        <c:axId val="48040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03136"/>
        <c:crosses val="autoZero"/>
        <c:crossBetween val="midCat"/>
      </c:valAx>
      <c:valAx>
        <c:axId val="4804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0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Sheet1!$A$3:$A$39</c:f>
              <c:numCache>
                <c:formatCode>General</c:formatCode>
                <c:ptCount val="37"/>
                <c:pt idx="0">
                  <c:v>2.4900000000000002</c:v>
                </c:pt>
                <c:pt idx="1">
                  <c:v>0.56000000000000005</c:v>
                </c:pt>
                <c:pt idx="2">
                  <c:v>1.23</c:v>
                </c:pt>
                <c:pt idx="3">
                  <c:v>0.45</c:v>
                </c:pt>
                <c:pt idx="4">
                  <c:v>0.57999999999999996</c:v>
                </c:pt>
                <c:pt idx="5">
                  <c:v>1.04</c:v>
                </c:pt>
                <c:pt idx="6">
                  <c:v>0.72</c:v>
                </c:pt>
                <c:pt idx="7">
                  <c:v>0.92</c:v>
                </c:pt>
                <c:pt idx="8">
                  <c:v>0.63</c:v>
                </c:pt>
                <c:pt idx="9">
                  <c:v>1.01</c:v>
                </c:pt>
                <c:pt idx="10">
                  <c:v>1.42</c:v>
                </c:pt>
                <c:pt idx="11">
                  <c:v>0.48</c:v>
                </c:pt>
                <c:pt idx="12">
                  <c:v>1.26</c:v>
                </c:pt>
                <c:pt idx="13">
                  <c:v>1.35</c:v>
                </c:pt>
                <c:pt idx="14">
                  <c:v>0.99</c:v>
                </c:pt>
                <c:pt idx="15">
                  <c:v>1.34</c:v>
                </c:pt>
                <c:pt idx="16">
                  <c:v>1.02</c:v>
                </c:pt>
                <c:pt idx="17">
                  <c:v>1.3</c:v>
                </c:pt>
                <c:pt idx="18">
                  <c:v>1.1499999999999999</c:v>
                </c:pt>
                <c:pt idx="19">
                  <c:v>1.01</c:v>
                </c:pt>
                <c:pt idx="20">
                  <c:v>0.56999999999999995</c:v>
                </c:pt>
                <c:pt idx="21">
                  <c:v>0.63</c:v>
                </c:pt>
                <c:pt idx="22">
                  <c:v>1.0900000000000001</c:v>
                </c:pt>
                <c:pt idx="23">
                  <c:v>0.97</c:v>
                </c:pt>
                <c:pt idx="24">
                  <c:v>0.84</c:v>
                </c:pt>
                <c:pt idx="25">
                  <c:v>0.82</c:v>
                </c:pt>
                <c:pt idx="26">
                  <c:v>0.33</c:v>
                </c:pt>
                <c:pt idx="27">
                  <c:v>1.32</c:v>
                </c:pt>
                <c:pt idx="28">
                  <c:v>0.92</c:v>
                </c:pt>
                <c:pt idx="29">
                  <c:v>1.2</c:v>
                </c:pt>
                <c:pt idx="30">
                  <c:v>0.76</c:v>
                </c:pt>
                <c:pt idx="31">
                  <c:v>1.35</c:v>
                </c:pt>
                <c:pt idx="32">
                  <c:v>0.92</c:v>
                </c:pt>
                <c:pt idx="33">
                  <c:v>1.81</c:v>
                </c:pt>
                <c:pt idx="34">
                  <c:v>0.65</c:v>
                </c:pt>
                <c:pt idx="35">
                  <c:v>1.01</c:v>
                </c:pt>
                <c:pt idx="36">
                  <c:v>0.76</c:v>
                </c:pt>
              </c:numCache>
            </c:numRef>
          </c:xVal>
          <c:yVal>
            <c:numRef>
              <c:f>Sheet1!$B$3:$B$39</c:f>
              <c:numCache>
                <c:formatCode>General</c:formatCode>
                <c:ptCount val="3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4-4E1F-82E9-52ACFE2DC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597776"/>
        <c:axId val="392600176"/>
      </c:scatterChart>
      <c:valAx>
        <c:axId val="3925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2600176"/>
        <c:crosses val="autoZero"/>
        <c:crossBetween val="midCat"/>
      </c:valAx>
      <c:valAx>
        <c:axId val="3926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259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boxWhisker" uniqueId="{81EFD100-7BE0-4F23-A275-DF79A3C5333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23E4A7-2334-4A28-9439-6275629D8739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12258CB4-D40F-4C1E-8A37-D967B9DF8D1F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33C00CC-8F10-4FB7-A56B-8C3C006B544F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64</xdr:row>
      <xdr:rowOff>144780</xdr:rowOff>
    </xdr:from>
    <xdr:to>
      <xdr:col>7</xdr:col>
      <xdr:colOff>403860</xdr:colOff>
      <xdr:row>81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65DE4CDF-C498-11E2-EC11-56B1E7105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" y="10812780"/>
              <a:ext cx="712470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381000</xdr:colOff>
      <xdr:row>43</xdr:row>
      <xdr:rowOff>121920</xdr:rowOff>
    </xdr:from>
    <xdr:to>
      <xdr:col>14</xdr:col>
      <xdr:colOff>76200</xdr:colOff>
      <xdr:row>59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10EE15E7-A993-614F-054A-17CC0A481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7800" y="7259320"/>
              <a:ext cx="5080000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95</xdr:row>
      <xdr:rowOff>114300</xdr:rowOff>
    </xdr:from>
    <xdr:to>
      <xdr:col>7</xdr:col>
      <xdr:colOff>304800</xdr:colOff>
      <xdr:row>112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F41687A-9CD9-23B3-52F9-24696D4B0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198120</xdr:colOff>
      <xdr:row>94</xdr:row>
      <xdr:rowOff>91440</xdr:rowOff>
    </xdr:from>
    <xdr:to>
      <xdr:col>15</xdr:col>
      <xdr:colOff>502920</xdr:colOff>
      <xdr:row>110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DE8AFFD-224E-D46D-ECD6-4BBE07C00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190500</xdr:colOff>
      <xdr:row>95</xdr:row>
      <xdr:rowOff>30480</xdr:rowOff>
    </xdr:from>
    <xdr:to>
      <xdr:col>23</xdr:col>
      <xdr:colOff>495300</xdr:colOff>
      <xdr:row>111</xdr:row>
      <xdr:rowOff>91440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95446BB-D432-59E1-B889-0F9A9320C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320040</xdr:colOff>
      <xdr:row>76</xdr:row>
      <xdr:rowOff>114300</xdr:rowOff>
    </xdr:from>
    <xdr:to>
      <xdr:col>24</xdr:col>
      <xdr:colOff>15240</xdr:colOff>
      <xdr:row>93</xdr:row>
      <xdr:rowOff>7620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65BBABA-9D78-4EAD-5093-4A7BF2F77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579120</xdr:colOff>
      <xdr:row>58</xdr:row>
      <xdr:rowOff>99060</xdr:rowOff>
    </xdr:from>
    <xdr:to>
      <xdr:col>27</xdr:col>
      <xdr:colOff>274320</xdr:colOff>
      <xdr:row>74</xdr:row>
      <xdr:rowOff>160020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BDD6125-5B01-8D6A-CA8F-216AC4CF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365760</xdr:colOff>
      <xdr:row>43</xdr:row>
      <xdr:rowOff>60960</xdr:rowOff>
    </xdr:from>
    <xdr:to>
      <xdr:col>27</xdr:col>
      <xdr:colOff>60960</xdr:colOff>
      <xdr:row>59</xdr:row>
      <xdr:rowOff>121920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24E554A-4F15-39EB-B974-12F702570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7620</xdr:rowOff>
    </xdr:from>
    <xdr:to>
      <xdr:col>7</xdr:col>
      <xdr:colOff>304800</xdr:colOff>
      <xdr:row>60</xdr:row>
      <xdr:rowOff>68580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CD327D7-E889-FEDB-0BC2-711E0F586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CC5-690B-4F8B-A784-0F1920FDFEF6}">
  <dimension ref="A1:DX38"/>
  <sheetViews>
    <sheetView zoomScale="115" workbookViewId="0">
      <pane xSplit="3" ySplit="1" topLeftCell="DG2" activePane="bottomRight" state="frozen"/>
      <selection pane="topRight" activeCell="E1" sqref="E1"/>
      <selection pane="bottomLeft" activeCell="A2" sqref="A2"/>
      <selection pane="bottomRight" activeCell="A38" sqref="A2:A38"/>
    </sheetView>
  </sheetViews>
  <sheetFormatPr baseColWidth="10" defaultColWidth="12.6640625" defaultRowHeight="13"/>
  <cols>
    <col min="1" max="2" width="11.1640625" customWidth="1"/>
    <col min="3" max="3" width="16.33203125" customWidth="1"/>
    <col min="4" max="49" width="18.83203125" customWidth="1"/>
    <col min="50" max="50" width="18.83203125" style="39" customWidth="1"/>
    <col min="51" max="127" width="18.83203125" customWidth="1"/>
    <col min="128" max="128" width="34.5" customWidth="1"/>
  </cols>
  <sheetData>
    <row r="1" spans="1:128" ht="15.75" customHeight="1">
      <c r="A1" s="1" t="s">
        <v>0</v>
      </c>
      <c r="B1" s="17" t="s">
        <v>81</v>
      </c>
      <c r="C1" s="28" t="s">
        <v>106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10" t="s">
        <v>126</v>
      </c>
      <c r="V1" s="10" t="s">
        <v>127</v>
      </c>
      <c r="W1" s="10" t="s">
        <v>128</v>
      </c>
      <c r="X1" s="10" t="s">
        <v>129</v>
      </c>
      <c r="Y1" s="10" t="s">
        <v>130</v>
      </c>
      <c r="Z1" s="10" t="s">
        <v>131</v>
      </c>
      <c r="AA1" s="10" t="s">
        <v>132</v>
      </c>
      <c r="AB1" s="10" t="s">
        <v>133</v>
      </c>
      <c r="AC1" s="10" t="s">
        <v>134</v>
      </c>
      <c r="AD1" s="10" t="s">
        <v>135</v>
      </c>
      <c r="AE1" s="10" t="s">
        <v>136</v>
      </c>
      <c r="AF1" s="10" t="s">
        <v>137</v>
      </c>
      <c r="AG1" s="10" t="s">
        <v>138</v>
      </c>
      <c r="AH1" s="10" t="s">
        <v>139</v>
      </c>
      <c r="AI1" s="10" t="s">
        <v>140</v>
      </c>
      <c r="AJ1" s="10" t="s">
        <v>141</v>
      </c>
      <c r="AK1" s="10" t="s">
        <v>142</v>
      </c>
      <c r="AL1" s="9" t="s">
        <v>62</v>
      </c>
      <c r="AM1" s="13" t="s">
        <v>62</v>
      </c>
      <c r="AN1" s="9" t="s">
        <v>61</v>
      </c>
      <c r="AO1" s="13" t="s">
        <v>61</v>
      </c>
      <c r="AP1" s="9" t="s">
        <v>63</v>
      </c>
      <c r="AQ1" s="13" t="s">
        <v>63</v>
      </c>
      <c r="AR1" s="9" t="s">
        <v>64</v>
      </c>
      <c r="AS1" s="13" t="s">
        <v>64</v>
      </c>
      <c r="AT1" s="9" t="s">
        <v>65</v>
      </c>
      <c r="AU1" s="13" t="s">
        <v>65</v>
      </c>
      <c r="AV1" s="9" t="s">
        <v>66</v>
      </c>
      <c r="AW1" s="13" t="s">
        <v>66</v>
      </c>
      <c r="AX1" s="37" t="s">
        <v>67</v>
      </c>
      <c r="AY1" s="13" t="s">
        <v>67</v>
      </c>
      <c r="AZ1" s="9" t="s">
        <v>68</v>
      </c>
      <c r="BA1" s="13" t="s">
        <v>68</v>
      </c>
      <c r="BB1" s="9" t="s">
        <v>69</v>
      </c>
      <c r="BC1" s="13" t="s">
        <v>69</v>
      </c>
      <c r="BD1" s="5" t="s">
        <v>18</v>
      </c>
      <c r="BE1" s="5" t="s">
        <v>19</v>
      </c>
      <c r="BF1" s="5" t="s">
        <v>20</v>
      </c>
      <c r="BG1" s="47" t="s">
        <v>143</v>
      </c>
      <c r="BH1" s="47" t="s">
        <v>144</v>
      </c>
      <c r="BI1" s="47" t="s">
        <v>145</v>
      </c>
      <c r="BJ1" s="5" t="s">
        <v>21</v>
      </c>
      <c r="BK1" s="5" t="s">
        <v>22</v>
      </c>
      <c r="BL1" s="5" t="s">
        <v>23</v>
      </c>
      <c r="BM1" s="5" t="s">
        <v>24</v>
      </c>
      <c r="BN1" s="5" t="s">
        <v>25</v>
      </c>
      <c r="BO1" s="5" t="s">
        <v>26</v>
      </c>
      <c r="BP1" s="5" t="s">
        <v>27</v>
      </c>
      <c r="BQ1" s="5" t="s">
        <v>28</v>
      </c>
      <c r="BR1" s="5" t="s">
        <v>29</v>
      </c>
      <c r="BS1" s="5" t="s">
        <v>30</v>
      </c>
      <c r="BT1" s="5" t="s">
        <v>31</v>
      </c>
      <c r="BU1" s="5" t="s">
        <v>32</v>
      </c>
      <c r="BV1" s="5" t="s">
        <v>33</v>
      </c>
      <c r="BW1" s="5" t="s">
        <v>34</v>
      </c>
      <c r="BX1" s="5" t="s">
        <v>35</v>
      </c>
      <c r="BY1" s="5" t="s">
        <v>36</v>
      </c>
      <c r="BZ1" s="5" t="s">
        <v>37</v>
      </c>
      <c r="CA1" s="5" t="s">
        <v>38</v>
      </c>
      <c r="CB1" s="5" t="s">
        <v>39</v>
      </c>
      <c r="CC1" s="5" t="s">
        <v>40</v>
      </c>
      <c r="CD1" s="5" t="s">
        <v>41</v>
      </c>
      <c r="CE1" s="5" t="s">
        <v>42</v>
      </c>
      <c r="CF1" s="5" t="s">
        <v>43</v>
      </c>
      <c r="CG1" s="5" t="s">
        <v>44</v>
      </c>
      <c r="CH1" s="5" t="s">
        <v>45</v>
      </c>
      <c r="CI1" s="5" t="s">
        <v>46</v>
      </c>
      <c r="CJ1" s="14" t="s">
        <v>70</v>
      </c>
      <c r="CK1" s="7" t="s">
        <v>70</v>
      </c>
      <c r="CL1" s="15" t="s">
        <v>71</v>
      </c>
      <c r="CM1" s="8" t="s">
        <v>71</v>
      </c>
      <c r="CN1" s="15" t="s">
        <v>72</v>
      </c>
      <c r="CO1" s="8" t="s">
        <v>72</v>
      </c>
      <c r="CP1" s="15" t="s">
        <v>73</v>
      </c>
      <c r="CQ1" s="8" t="s">
        <v>73</v>
      </c>
      <c r="CR1" s="15" t="s">
        <v>74</v>
      </c>
      <c r="CS1" s="8" t="s">
        <v>74</v>
      </c>
      <c r="CT1" s="15" t="s">
        <v>75</v>
      </c>
      <c r="CU1" s="16" t="s">
        <v>80</v>
      </c>
      <c r="CV1" s="6" t="s">
        <v>47</v>
      </c>
      <c r="CW1" s="6" t="s">
        <v>48</v>
      </c>
      <c r="CX1" s="6" t="s">
        <v>49</v>
      </c>
      <c r="CY1" s="6" t="s">
        <v>50</v>
      </c>
      <c r="CZ1" s="6" t="s">
        <v>51</v>
      </c>
      <c r="DA1" s="6" t="s">
        <v>52</v>
      </c>
      <c r="DB1" s="6" t="s">
        <v>53</v>
      </c>
      <c r="DC1" s="6" t="s">
        <v>54</v>
      </c>
      <c r="DD1" s="6" t="s">
        <v>55</v>
      </c>
      <c r="DE1" s="10" t="s">
        <v>56</v>
      </c>
      <c r="DF1" s="10" t="s">
        <v>57</v>
      </c>
      <c r="DG1" s="19" t="s">
        <v>76</v>
      </c>
      <c r="DH1" s="11" t="s">
        <v>76</v>
      </c>
      <c r="DI1" s="20" t="s">
        <v>77</v>
      </c>
      <c r="DJ1" s="12" t="s">
        <v>77</v>
      </c>
      <c r="DK1" s="20" t="s">
        <v>78</v>
      </c>
      <c r="DL1" s="12" t="s">
        <v>78</v>
      </c>
      <c r="DM1" s="20" t="s">
        <v>79</v>
      </c>
      <c r="DN1" s="12" t="s">
        <v>79</v>
      </c>
      <c r="DO1" s="22" t="s">
        <v>85</v>
      </c>
      <c r="DP1" s="22" t="s">
        <v>86</v>
      </c>
      <c r="DQ1" s="22" t="s">
        <v>87</v>
      </c>
      <c r="DR1" s="21" t="s">
        <v>84</v>
      </c>
      <c r="DS1" s="21" t="s">
        <v>146</v>
      </c>
      <c r="DT1" s="31" t="s">
        <v>108</v>
      </c>
      <c r="DU1" s="31" t="s">
        <v>109</v>
      </c>
      <c r="DV1" s="3" t="s">
        <v>58</v>
      </c>
      <c r="DW1" s="34" t="s">
        <v>111</v>
      </c>
      <c r="DX1" s="3" t="s">
        <v>59</v>
      </c>
    </row>
    <row r="2" spans="1:128" ht="15.75" customHeight="1">
      <c r="A2" s="1">
        <v>356</v>
      </c>
      <c r="B2" s="18" t="s">
        <v>82</v>
      </c>
      <c r="C2" s="29">
        <v>47</v>
      </c>
      <c r="D2" s="1">
        <v>1</v>
      </c>
      <c r="E2" s="1">
        <v>1</v>
      </c>
      <c r="F2" s="1">
        <v>1</v>
      </c>
      <c r="G2" s="1">
        <v>2</v>
      </c>
      <c r="H2" s="1">
        <v>1</v>
      </c>
      <c r="I2" s="1">
        <v>1</v>
      </c>
      <c r="J2" s="1">
        <v>4</v>
      </c>
      <c r="K2" s="1">
        <v>4</v>
      </c>
      <c r="L2" s="1">
        <v>1</v>
      </c>
      <c r="M2" s="1">
        <v>2</v>
      </c>
      <c r="N2" s="1">
        <v>4</v>
      </c>
      <c r="O2" s="1">
        <v>1</v>
      </c>
      <c r="P2" s="1">
        <v>3</v>
      </c>
      <c r="Q2" s="1">
        <v>4</v>
      </c>
      <c r="R2" s="1">
        <v>4</v>
      </c>
      <c r="S2" s="1">
        <v>2</v>
      </c>
      <c r="T2" s="1">
        <v>2</v>
      </c>
      <c r="U2" s="1">
        <f>IF(D2=1,4,IF(D2=2,3,IF(D2=3,2,IF(D2=4,1,""))))</f>
        <v>4</v>
      </c>
      <c r="V2" s="1">
        <f t="shared" ref="V2:AB2" si="0">IF(E2=1,4,IF(E2=2,3,IF(E2=3,2,IF(E2=4,1,""))))</f>
        <v>4</v>
      </c>
      <c r="W2" s="1">
        <f t="shared" si="0"/>
        <v>4</v>
      </c>
      <c r="X2" s="1">
        <f t="shared" si="0"/>
        <v>3</v>
      </c>
      <c r="Y2" s="1">
        <f t="shared" si="0"/>
        <v>4</v>
      </c>
      <c r="Z2" s="1">
        <f t="shared" si="0"/>
        <v>4</v>
      </c>
      <c r="AA2" s="1">
        <f t="shared" si="0"/>
        <v>1</v>
      </c>
      <c r="AB2" s="1">
        <f t="shared" si="0"/>
        <v>1</v>
      </c>
      <c r="AC2" s="1">
        <f>L2</f>
        <v>1</v>
      </c>
      <c r="AD2" s="1">
        <f>M2</f>
        <v>2</v>
      </c>
      <c r="AE2" s="1">
        <f>IF(N2=1,4,IF(N2=2,3,IF(N2=3,2,IF(N2=4,1,""))))</f>
        <v>1</v>
      </c>
      <c r="AF2" s="1">
        <f t="shared" ref="AF2:AG2" si="1">IF(O2=1,4,IF(O2=2,3,IF(O2=3,2,IF(O2=4,1,""))))</f>
        <v>4</v>
      </c>
      <c r="AG2" s="1">
        <f t="shared" si="1"/>
        <v>2</v>
      </c>
      <c r="AH2" s="1">
        <f>Q2</f>
        <v>4</v>
      </c>
      <c r="AI2" s="1">
        <f>IF(R2=1,4,IF(R2=2,3,IF(R2=3,2,IF(R2=4,1,""))))</f>
        <v>1</v>
      </c>
      <c r="AJ2" s="1">
        <f>S2</f>
        <v>2</v>
      </c>
      <c r="AK2" s="1">
        <f>T2</f>
        <v>2</v>
      </c>
      <c r="AL2" s="1">
        <f>15-($D2+$E2+$F2)</f>
        <v>12</v>
      </c>
      <c r="AM2" s="1">
        <f t="shared" ref="AM2:AM38" si="2">IF(AND(B2="male",AL2&lt;=5),1,(IF(AND(B2="male",AL2&gt;=6,AL2&lt;=7),2,(IF(AND(B2="male",AL2&gt;=8,AL2&lt;=9),3,(IF(AND(B2="male",AL2&gt;=10,AL2&lt;=11),4,IF(AND(B2="male",AL2&gt;=12),5,IF(AND(B2="female",AL2&lt;=4),1,(IF(AND(B2="female",AL2&gt;=5,AL2&lt;=6),2,(IF(AND(B2="female",AL2&gt;=7,AL2&lt;=9),3,(IF(AND(B2="female",AL2&gt;=10,AL2&lt;=11),4,IF(AND(B2="female",AL2&gt;=12),5,""))))))))))))))))</f>
        <v>5</v>
      </c>
      <c r="AN2" s="1">
        <f>15-($G2+$H2+$I2)</f>
        <v>11</v>
      </c>
      <c r="AO2" s="1">
        <f t="shared" ref="AO2:AO38" si="3">IF(AND(B2="male",AN2&lt;=5),1,(IF(AND(B2="male",AN2&gt;=6,AN2&lt;=7),2,(IF(AND(B2="male",AN2&gt;=8,AN2&lt;=9),3,(IF(AND(B2="male",AN2&gt;=10,AN2&lt;=11),4,IF(AND(B2="male",AN2&gt;=12),5,IF(AND(B2="female",AN2&lt;=4),1,(IF(AND(B2="female",AN2&gt;=5,AN2&lt;=6),2,(IF(AND(B2="female",AN2&gt;=7,AN2&lt;=8),3,(IF(AND(B2="female",AN2&gt;=9,AN2&lt;=10),4,IF(AND(B2="female",AN2&gt;=11),5,""))))))))))))))))</f>
        <v>4</v>
      </c>
      <c r="AP2" s="1">
        <f>5-$J2</f>
        <v>1</v>
      </c>
      <c r="AQ2" s="1">
        <f>IF(AP2=1,2,IF(AP2=2,3,(IF(AP2=3,4,(IF(AP2=4,5,""))))))</f>
        <v>2</v>
      </c>
      <c r="AR2" s="1">
        <f>10-($O2+P2)+$Q2</f>
        <v>10</v>
      </c>
      <c r="AS2" s="1">
        <f>IF((AR2=3),1,(IF(AND(AR2&gt;=4,AR2&lt;=5),2,(IF(AND(AR2&gt;=6,AR2&lt;=7),3,(IF(AND(AR2&gt;=8,AR2&lt;=9),4,IF(AR2&gt;=10,5,""))))))))</f>
        <v>5</v>
      </c>
      <c r="AT2" s="1">
        <f>5-$R2</f>
        <v>1</v>
      </c>
      <c r="AU2" s="1">
        <f t="shared" ref="AU2:AU38" si="4">IF(AND(B2="male",AT2=1),2,IF(AND(B2="male",AT2=2),3,(IF(AND(B2="male",AT2=3),4,(IF(AND(B2="male",AT2=4),5,IF(AND(B2="female",AT2=1),1,IF(AND(B2="female",AT2=2),3,(IF(AND(B2="female",AT2=3),4,(IF(AND(B2="female",AT2=4),5,""))))))))))))</f>
        <v>2</v>
      </c>
      <c r="AV2" s="1">
        <f>15-($K2+$L2+$M2)</f>
        <v>8</v>
      </c>
      <c r="AW2" s="1">
        <f t="shared" ref="AW2:AW38" si="5">IF(AND(B2="male",AV2&lt;=4),5,(IF(AND(B2="male",AV2&gt;=5,AV2&lt;=6),4,(IF(AND(B2="male",AV2&gt;=7,AV2&lt;=8),3,(IF(AND(B2="male",AV2&gt;=9,AV2&lt;=10),2,IF(AND(B2="male",AV2&gt;=11),1,IF(AND(B2="female",AV2&lt;=3),5,(IF(AND(B2="female",AV2&gt;=4,AV2&lt;=5),4,(IF(AND(B2="female",AV2&gt;=6,AV2&lt;=8),3,(IF(AND(B2="female",AV2&gt;=9,AV2&lt;=10),2,IF(AND(B2="female",AV2&gt;=11),1,""))))))))))))))))</f>
        <v>3</v>
      </c>
      <c r="AX2" s="38">
        <f>$N2</f>
        <v>4</v>
      </c>
      <c r="AY2" s="1">
        <f>IF(AX3=1,5,IF(AX2=2,4,(IF(AX2=3,3,(IF(AX2=4,2,""))))))</f>
        <v>2</v>
      </c>
      <c r="AZ2" s="1">
        <f>5-$S2</f>
        <v>3</v>
      </c>
      <c r="BA2" s="1">
        <f>IF(AZ2=1,5,IF(AZ2=2,4,(IF(AZ2=3,3,(IF(AZ2=4,1,""))))))</f>
        <v>3</v>
      </c>
      <c r="BB2" s="1">
        <f>5-$T2</f>
        <v>3</v>
      </c>
      <c r="BC2" s="1">
        <f>IF(BB2=1,5,IF(BB2=2,4,(IF(BB2=3,3,(IF(BB2=4,1,""))))))</f>
        <v>3</v>
      </c>
      <c r="BD2" s="1">
        <v>1</v>
      </c>
      <c r="BE2" s="1">
        <v>1</v>
      </c>
      <c r="BF2" s="1">
        <v>1</v>
      </c>
      <c r="BG2" s="1">
        <f>IF(BD2=1,4,IF(BD2=2,3,IF(BD2=3,2,IF(BD2=4,1,""))))</f>
        <v>4</v>
      </c>
      <c r="BH2" s="1">
        <f t="shared" ref="BH2:BI2" si="6">IF(BE2=1,4,IF(BE2=2,3,IF(BE2=3,2,IF(BE2=4,1,""))))</f>
        <v>4</v>
      </c>
      <c r="BI2" s="1">
        <f t="shared" si="6"/>
        <v>4</v>
      </c>
      <c r="BJ2" s="1">
        <v>1</v>
      </c>
      <c r="BK2" s="1">
        <v>2</v>
      </c>
      <c r="BL2" s="1">
        <v>2</v>
      </c>
      <c r="BM2" s="1">
        <v>4</v>
      </c>
      <c r="BN2" s="1">
        <v>4</v>
      </c>
      <c r="BO2" s="1">
        <v>4</v>
      </c>
      <c r="BP2" s="1">
        <v>4</v>
      </c>
      <c r="BQ2" s="1">
        <v>1</v>
      </c>
      <c r="BR2" s="1">
        <v>1</v>
      </c>
      <c r="BS2" s="1">
        <v>2</v>
      </c>
      <c r="BT2" s="1">
        <v>3</v>
      </c>
      <c r="BU2" s="1">
        <v>3</v>
      </c>
      <c r="BV2" s="1">
        <v>3</v>
      </c>
      <c r="BW2" s="1">
        <v>1</v>
      </c>
      <c r="BX2" s="1">
        <v>1</v>
      </c>
      <c r="BY2" s="1">
        <v>1</v>
      </c>
      <c r="BZ2" s="1">
        <v>2</v>
      </c>
      <c r="CA2" s="1">
        <v>3</v>
      </c>
      <c r="CB2" s="1">
        <v>4</v>
      </c>
      <c r="CC2" s="1">
        <v>4</v>
      </c>
      <c r="CD2" s="1">
        <v>4</v>
      </c>
      <c r="CE2" s="1">
        <v>2</v>
      </c>
      <c r="CF2" s="1">
        <v>2</v>
      </c>
      <c r="CG2" s="1">
        <v>2</v>
      </c>
      <c r="CH2" s="1">
        <v>2</v>
      </c>
      <c r="CI2" s="1">
        <v>3</v>
      </c>
      <c r="CJ2" s="1">
        <f>$BD2+$BE2+$BF2</f>
        <v>3</v>
      </c>
      <c r="CK2" s="1">
        <f>IF((CJ2=3),5,(IF(AND(CJ2&gt;=4,CJ2&lt;=5),4,(IF(AND(CJ2&gt;=6,CJ2&lt;=7),3,(IF(AND(CJ2&gt;=8,CJ2&lt;=9),2,IF(CJ2&gt;=10,1,""))))))))</f>
        <v>5</v>
      </c>
      <c r="CL2" s="1">
        <f>$BJ2+$BK2+$BL2</f>
        <v>5</v>
      </c>
      <c r="CM2" s="1">
        <f t="shared" ref="CM2:CM38" si="7">IF(AND(B2="male",CL2=3),1,(IF(AND(B2="male",CL2&gt;=4,CL2&lt;=5),2,(IF(AND(B2="male",CL2&gt;=6,CL2&lt;=7),3,(IF(AND(B2="male",CL2&gt;=8,CL2&lt;=9),4,IF(AND(B2="male",CL2&gt;=10),5,IF(AND(B2="female",CL2=3),1,(IF(AND(B2="female",CL2&gt;=4,CL2&lt;=5),2,(IF(AND(B2="female",CL2&gt;=6,CL2&lt;=8),3,(IF(AND(B2="female",CL2&gt;=9,CL2&lt;=10),4,IF(AND(B2="female",CL2&gt;=11),5,""))))))))))))))))</f>
        <v>2</v>
      </c>
      <c r="CN2" s="1">
        <f t="shared" ref="CN2:CN38" si="8">$BM2+$BN2+$BO2</f>
        <v>12</v>
      </c>
      <c r="CO2" s="1">
        <f t="shared" ref="CO2:CO38" si="9">IF(AND(B2="male",CN2=3),1,(IF(AND(B2="male",CN2=4),2,(IF(AND(B2="male",CN2&gt;=5,CN2&lt;=7),3,(IF(AND(B2="male",CN2&gt;=8,CN2&lt;=10),4,IF(AND(B2="male",CN2&gt;=11),5,IF(AND(B2="female",CN2=3),1,(IF(AND(B2="female",CN2&gt;=4,CN2&lt;=5),2,(IF(AND(B2="female",CN2&gt;=6,CN2&lt;=8),3,(IF(AND(B2="female",CN2&gt;=9,CN2&lt;=11),4,IF(AND(B2="female",CN2&gt;=12),5,""))))))))))))))))</f>
        <v>5</v>
      </c>
      <c r="CP2" s="1">
        <f>$BP2+$BQ2+$BR2</f>
        <v>6</v>
      </c>
      <c r="CQ2" s="1">
        <f t="shared" ref="CQ2:CQ38" si="10">IF(AND(B2="male",CP2=3),1,(IF(AND(B2="male",CP2=4),2,(IF(AND(B2="male",CP2&gt;=5,CP2&lt;=7),3,(IF(AND(B2="male",CP2&gt;=8,CP2&lt;=9),4,(IF(AND(B2="male",CP2&gt;=10),5,(IF(AND(B2="female",CP2=3),1,(IF(AND(B2="female",CP2=4),2,(IF(AND(B2="female",CP2&gt;=5,CP2&lt;=7),3,(IF(AND(B2="female",CP2&gt;=8,CP2&lt;=10),4,IF(AND(B2="female",CP2&gt;=11),5,""))))))))))))))))))</f>
        <v>3</v>
      </c>
      <c r="CR2" s="1">
        <f t="shared" ref="CR2:CR38" si="11">SUM($BS2:$BX2)</f>
        <v>13</v>
      </c>
      <c r="CS2" s="1">
        <f t="shared" ref="CS2:CS38" si="12">IF(AND(B2="male",CR2=6),1,(IF(AND(B2="male",CR2&gt;=7,CR2&lt;=8),2,(IF(AND(B2="male",CR2&gt;=9,CR2&lt;=12),3,(IF(AND(B2="male",CR2&gt;=13,CR2&lt;=16),4,IF(AND(B2="male",CR2&gt;=17),5,IF(AND(B2="female",CR2=6),1,(IF(AND(B2="female",CR2&gt;=7,CR2&lt;=8),2,(IF(AND(B2="female",CR2&gt;=9,CR2&lt;=12),3,(IF(AND(B2="female",CR2&gt;=13,CR2&lt;=17),4,IF(AND(B2="female",CR2&gt;=18),5,""))))))))))))))))</f>
        <v>4</v>
      </c>
      <c r="CT2" s="1">
        <f>SUM($BY2:$CI2)</f>
        <v>29</v>
      </c>
      <c r="CU2" s="1">
        <f t="shared" ref="CU2:CU38" si="13">IF(AND(B2="male",CT2=11),1,(IF(AND(B2="male",CT2&gt;=12,CT2&lt;=15),2,(IF(AND(B2="male",CT2&gt;=16,CT2&lt;=21),3,(IF(AND(B2="male",CT2&gt;=22,CT2&lt;=26),4,IF(AND(B2="male",CT2&gt;=27),5,IF(AND(B2="female",CT2&lt;=13),1,(IF(AND(B2="female",CT2&gt;=14,CT2&lt;=17),2,(IF(AND(B2="female",CT2&gt;=18,CT2&lt;=23),3,(IF(AND(B2="female",CT2&gt;=24,CT2&lt;=29),4,IF(AND(B2="female",CT2&gt;=30),5,""))))))))))))))))</f>
        <v>5</v>
      </c>
      <c r="CV2" s="1">
        <v>3</v>
      </c>
      <c r="CW2" s="1">
        <v>3</v>
      </c>
      <c r="CX2" s="1">
        <v>2</v>
      </c>
      <c r="CY2" s="1">
        <v>3</v>
      </c>
      <c r="CZ2" s="1">
        <v>4</v>
      </c>
      <c r="DA2" s="1">
        <v>3</v>
      </c>
      <c r="DB2" s="1">
        <v>3</v>
      </c>
      <c r="DC2" s="1">
        <v>4</v>
      </c>
      <c r="DD2" s="1">
        <v>2</v>
      </c>
      <c r="DE2" s="1">
        <v>3</v>
      </c>
      <c r="DF2" s="1">
        <v>3</v>
      </c>
      <c r="DG2" s="1">
        <f>15-($CV2+$CY2+$DB2)</f>
        <v>6</v>
      </c>
      <c r="DH2" s="1">
        <f t="shared" ref="DH2:DH38" si="14">IF(AND(B2="male",DG2&lt;=4),5,(IF(AND(B2="male",DG2&gt;=5,DG2&lt;=6),4,(IF(AND(B2="male",DG2&gt;=7,DG2&lt;=8),3,(IF(AND(B2="male",DG2&gt;=9,DG2&lt;=10),2,IF(AND(B2="male",DG2&gt;=11),1,IF(AND(B2="female",DG2&lt;=3),5,(IF(AND(B2="female",DG2&gt;=4,DG2&lt;=5),4,(IF(AND(B2="female",DG2&gt;=6,DG2&lt;=7),3,(IF(AND(B2="female",DG2&gt;=8,DG2&lt;=10),2,IF(AND(B2="female",DG2&gt;=11),1,""))))))))))))))))</f>
        <v>4</v>
      </c>
      <c r="DI2" s="1">
        <f>15-($CW2+$CZ2+$DC2)</f>
        <v>4</v>
      </c>
      <c r="DJ2" s="1">
        <f t="shared" ref="DJ2:DJ29" si="15">IF((DI2&lt;=5),5,(IF(AND(DI2&gt;=6,DI2&lt;=7),4,(IF(AND(DI2&gt;=8,DI2&lt;=9),3,(IF(AND(DI2&gt;=10,AV2&lt;=11),2,IF(AV2&gt;=12,1,""))))))))</f>
        <v>5</v>
      </c>
      <c r="DK2" s="1">
        <f>15-($CX2+$DA2+$DD2)</f>
        <v>8</v>
      </c>
      <c r="DL2" s="1">
        <f>IF((DK2&lt;=6),5,(IF(AND(DK2&gt;=7,DK2&lt;=8),4,IF((DK2=9),3,IF(AND(DK2&gt;=10,DK2&lt;=11),2,IF(DK2&gt;=12,1,""))))))</f>
        <v>4</v>
      </c>
      <c r="DM2" s="1">
        <f>10-($DE2+$DF2)</f>
        <v>4</v>
      </c>
      <c r="DN2" s="1">
        <f t="shared" ref="DN2:DN29" si="16">IF((DM2&lt;=3),5,(IF((DM2=4),4,IF(AND(DM2&gt;=5,DM2&lt;=6),3,IF((DM2=7),2,IF(DM2&gt;=8,1,""))))))</f>
        <v>4</v>
      </c>
      <c r="DO2" s="1">
        <f>CK2+CM2+CO2+CQ2+CS2+CU2</f>
        <v>24</v>
      </c>
      <c r="DP2" s="1">
        <f>AM2+AO2+AQ2+AS2+AU2+AW2+AY2+BA2+BC2</f>
        <v>29</v>
      </c>
      <c r="DQ2" s="1">
        <f t="shared" ref="DQ2:DQ29" si="17">DH2+DJ2+DL2</f>
        <v>13</v>
      </c>
      <c r="DR2" s="23" t="str">
        <f>IF((DO2&gt;=24),"高",IF(AND(DO2&gt;=19,DO2&lt;=23,(DP2+DQ2)&gt;=46),"高",IF(AND(DO2&gt;=19,DO2&lt;=23,(DP2+DQ2)&gt;=12,(DP2+DQ2)&lt;=45),"中①",IF(AND(DO2&gt;=6,DO2&lt;=18,(DP2+DQ2)&gt;=46),"中②","低"))))</f>
        <v>高</v>
      </c>
      <c r="DS2" s="23" t="str">
        <f>IF(SUM(BG2:CI2)&gt;=77,"高",IF(AND((SUM(U2:AK2)+SUM(CV2:DD2))&gt;=76,SUM(BG2:CI2)&gt;=63),"高",""))</f>
        <v>高</v>
      </c>
      <c r="DT2" s="32">
        <v>1.865</v>
      </c>
      <c r="DU2" s="32">
        <v>299.42</v>
      </c>
      <c r="DV2" s="32">
        <v>2.4900000000000002</v>
      </c>
      <c r="DW2" s="32">
        <v>85</v>
      </c>
      <c r="DX2" s="33" t="s">
        <v>112</v>
      </c>
    </row>
    <row r="3" spans="1:128" ht="15.75" customHeight="1">
      <c r="A3" s="1">
        <v>401</v>
      </c>
      <c r="B3" s="18" t="s">
        <v>82</v>
      </c>
      <c r="C3" s="29">
        <v>44</v>
      </c>
      <c r="D3" s="1">
        <v>2</v>
      </c>
      <c r="E3" s="1">
        <v>4</v>
      </c>
      <c r="F3" s="1">
        <v>1</v>
      </c>
      <c r="G3" s="1">
        <v>1</v>
      </c>
      <c r="H3" s="1">
        <v>1</v>
      </c>
      <c r="I3" s="1">
        <v>2</v>
      </c>
      <c r="J3" s="1">
        <v>4</v>
      </c>
      <c r="K3" s="1">
        <v>2</v>
      </c>
      <c r="L3" s="1">
        <v>1</v>
      </c>
      <c r="M3" s="1">
        <v>1</v>
      </c>
      <c r="N3" s="1">
        <v>4</v>
      </c>
      <c r="O3" s="1">
        <v>3</v>
      </c>
      <c r="P3" s="1">
        <v>3</v>
      </c>
      <c r="Q3" s="1">
        <v>2</v>
      </c>
      <c r="R3" s="1">
        <v>3</v>
      </c>
      <c r="S3" s="1">
        <v>1</v>
      </c>
      <c r="T3" s="1">
        <v>1</v>
      </c>
      <c r="U3" s="1">
        <f t="shared" ref="U3:U38" si="18">IF(D3=1,4,IF(D3=2,3,IF(D3=3,2,IF(D3=4,1,""))))</f>
        <v>3</v>
      </c>
      <c r="V3" s="1">
        <f t="shared" ref="V3:V38" si="19">IF(E3=1,4,IF(E3=2,3,IF(E3=3,2,IF(E3=4,1,""))))</f>
        <v>1</v>
      </c>
      <c r="W3" s="1">
        <f t="shared" ref="W3:W38" si="20">IF(F3=1,4,IF(F3=2,3,IF(F3=3,2,IF(F3=4,1,""))))</f>
        <v>4</v>
      </c>
      <c r="X3" s="1">
        <f t="shared" ref="X3:X38" si="21">IF(G3=1,4,IF(G3=2,3,IF(G3=3,2,IF(G3=4,1,""))))</f>
        <v>4</v>
      </c>
      <c r="Y3" s="1">
        <f t="shared" ref="Y3:Y38" si="22">IF(H3=1,4,IF(H3=2,3,IF(H3=3,2,IF(H3=4,1,""))))</f>
        <v>4</v>
      </c>
      <c r="Z3" s="1">
        <f t="shared" ref="Z3:Z38" si="23">IF(I3=1,4,IF(I3=2,3,IF(I3=3,2,IF(I3=4,1,""))))</f>
        <v>3</v>
      </c>
      <c r="AA3" s="1">
        <f t="shared" ref="AA3:AA38" si="24">IF(J3=1,4,IF(J3=2,3,IF(J3=3,2,IF(J3=4,1,""))))</f>
        <v>1</v>
      </c>
      <c r="AB3" s="1">
        <f t="shared" ref="AB3:AB38" si="25">IF(K3=1,4,IF(K3=2,3,IF(K3=3,2,IF(K3=4,1,""))))</f>
        <v>3</v>
      </c>
      <c r="AC3" s="1">
        <f t="shared" ref="AC3:AC38" si="26">L3</f>
        <v>1</v>
      </c>
      <c r="AD3" s="1">
        <f t="shared" ref="AD3:AD38" si="27">M3</f>
        <v>1</v>
      </c>
      <c r="AE3" s="1">
        <f t="shared" ref="AE3:AE38" si="28">IF(N3=1,4,IF(N3=2,3,IF(N3=3,2,IF(N3=4,1,""))))</f>
        <v>1</v>
      </c>
      <c r="AF3" s="1">
        <f t="shared" ref="AF3:AF38" si="29">IF(O3=1,4,IF(O3=2,3,IF(O3=3,2,IF(O3=4,1,""))))</f>
        <v>2</v>
      </c>
      <c r="AG3" s="1">
        <f t="shared" ref="AG3:AG38" si="30">IF(P3=1,4,IF(P3=2,3,IF(P3=3,2,IF(P3=4,1,""))))</f>
        <v>2</v>
      </c>
      <c r="AH3" s="1">
        <f t="shared" ref="AH3:AH38" si="31">Q3</f>
        <v>2</v>
      </c>
      <c r="AI3" s="1">
        <f t="shared" ref="AI3:AI38" si="32">IF(R3=1,4,IF(R3=2,3,IF(R3=3,2,IF(R3=4,1,""))))</f>
        <v>2</v>
      </c>
      <c r="AJ3" s="1">
        <f t="shared" ref="AJ3:AJ38" si="33">S3</f>
        <v>1</v>
      </c>
      <c r="AK3" s="1">
        <f t="shared" ref="AK3:AK38" si="34">T3</f>
        <v>1</v>
      </c>
      <c r="AL3" s="1">
        <f>15-($D3+$E3+$F3)</f>
        <v>8</v>
      </c>
      <c r="AM3" s="1">
        <f t="shared" si="2"/>
        <v>3</v>
      </c>
      <c r="AN3" s="1">
        <f t="shared" ref="AN3:AN38" si="35">15-($G3+$H3+$I3)</f>
        <v>11</v>
      </c>
      <c r="AO3" s="1">
        <f t="shared" si="3"/>
        <v>4</v>
      </c>
      <c r="AP3" s="1">
        <f t="shared" ref="AP3:AP38" si="36">5-$J3</f>
        <v>1</v>
      </c>
      <c r="AQ3" s="1">
        <f t="shared" ref="AQ3:AQ29" si="37">IF(AP3=1,2,IF(AP3=2,3,(IF(AP3=3,4,(IF(AP3=4,5,""))))))</f>
        <v>2</v>
      </c>
      <c r="AR3" s="1">
        <f t="shared" ref="AR3:AR29" si="38">10-($O3+P3)+$Q3</f>
        <v>6</v>
      </c>
      <c r="AS3" s="1">
        <f t="shared" ref="AS3:AS29" si="39">IF((AR3=3),1,(IF(AND(AR3&gt;=4,AR3&lt;=5),2,(IF(AND(AR3&gt;=6,AR3&lt;=7),3,(IF(AND(AR3&gt;=8,AR3&lt;=9),4,IF(AR3&gt;=10,5,""))))))))</f>
        <v>3</v>
      </c>
      <c r="AT3" s="1">
        <f t="shared" ref="AT3:AT38" si="40">5-$R3</f>
        <v>2</v>
      </c>
      <c r="AU3" s="1">
        <f t="shared" si="4"/>
        <v>3</v>
      </c>
      <c r="AV3" s="1">
        <f t="shared" ref="AV3:AV38" si="41">15-($K3+$L3+$M3)</f>
        <v>11</v>
      </c>
      <c r="AW3" s="1">
        <f t="shared" si="5"/>
        <v>1</v>
      </c>
      <c r="AX3" s="38">
        <f t="shared" ref="AX3:AX38" si="42">$N3</f>
        <v>4</v>
      </c>
      <c r="AY3" s="1">
        <f t="shared" ref="AY3:AY29" si="43">IF(AX3=1,5,IF(AX3=2,4,(IF(AX3=3,3,(IF(AX3=4,2,""))))))</f>
        <v>2</v>
      </c>
      <c r="AZ3" s="1">
        <f t="shared" ref="AZ3:AZ38" si="44">5-$S3</f>
        <v>4</v>
      </c>
      <c r="BA3" s="1">
        <f t="shared" ref="BA3:BA29" si="45">IF(AZ3=1,5,IF(AZ3=2,4,(IF(AZ3=3,3,(IF(AZ3=4,1,""))))))</f>
        <v>1</v>
      </c>
      <c r="BB3" s="1">
        <f t="shared" ref="BB3:BB38" si="46">5-$T3</f>
        <v>4</v>
      </c>
      <c r="BC3" s="1">
        <f t="shared" ref="BC3:BC29" si="47">IF(BB3=1,5,IF(BB3=2,4,(IF(BB3=3,3,(IF(BB3=4,1,""))))))</f>
        <v>1</v>
      </c>
      <c r="BD3" s="1">
        <v>3</v>
      </c>
      <c r="BE3" s="1">
        <v>3</v>
      </c>
      <c r="BF3" s="1">
        <v>3</v>
      </c>
      <c r="BG3" s="1">
        <f t="shared" ref="BG3:BG38" si="48">IF(BD3=1,4,IF(BD3=2,3,IF(BD3=3,2,IF(BD3=4,1,""))))</f>
        <v>2</v>
      </c>
      <c r="BH3" s="1">
        <f t="shared" ref="BH3:BH38" si="49">IF(BE3=1,4,IF(BE3=2,3,IF(BE3=3,2,IF(BE3=4,1,""))))</f>
        <v>2</v>
      </c>
      <c r="BI3" s="1">
        <f t="shared" ref="BI3:BI38" si="50">IF(BF3=1,4,IF(BF3=2,3,IF(BF3=3,2,IF(BF3=4,1,""))))</f>
        <v>2</v>
      </c>
      <c r="BJ3" s="1">
        <v>2</v>
      </c>
      <c r="BK3" s="1">
        <v>2</v>
      </c>
      <c r="BL3" s="1">
        <v>2</v>
      </c>
      <c r="BM3" s="1">
        <v>2</v>
      </c>
      <c r="BN3" s="1">
        <v>1</v>
      </c>
      <c r="BO3" s="1">
        <v>2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2</v>
      </c>
      <c r="BW3" s="1">
        <v>1</v>
      </c>
      <c r="BX3" s="1">
        <v>2</v>
      </c>
      <c r="BY3" s="1">
        <v>1</v>
      </c>
      <c r="BZ3" s="1">
        <v>1</v>
      </c>
      <c r="CA3" s="1">
        <v>2</v>
      </c>
      <c r="CB3" s="1">
        <v>3</v>
      </c>
      <c r="CC3" s="1">
        <v>2</v>
      </c>
      <c r="CD3" s="1">
        <v>1</v>
      </c>
      <c r="CE3" s="1">
        <v>1</v>
      </c>
      <c r="CF3" s="1">
        <v>2</v>
      </c>
      <c r="CG3" s="1">
        <v>2</v>
      </c>
      <c r="CH3" s="1">
        <v>1</v>
      </c>
      <c r="CI3" s="1">
        <v>1</v>
      </c>
      <c r="CJ3" s="1">
        <f t="shared" ref="CJ3:CJ38" si="51">$BD3+$BE3+$BF3</f>
        <v>9</v>
      </c>
      <c r="CK3" s="1">
        <f t="shared" ref="CK3:CK29" si="52">IF((CJ3=3),5,(IF(AND(CJ3&gt;=4,CJ3&lt;=5),4,(IF(AND(CJ3&gt;=6,CJ3&lt;=7),3,(IF(AND(CJ3&gt;=8,CJ3&lt;=9),2,IF(CJ3&gt;=10,1,""))))))))</f>
        <v>2</v>
      </c>
      <c r="CL3" s="1">
        <f t="shared" ref="CL3:CL38" si="53">$BJ3+$BK3+$BL3</f>
        <v>6</v>
      </c>
      <c r="CM3" s="1">
        <f t="shared" si="7"/>
        <v>3</v>
      </c>
      <c r="CN3" s="1">
        <f t="shared" si="8"/>
        <v>5</v>
      </c>
      <c r="CO3" s="1">
        <f t="shared" si="9"/>
        <v>3</v>
      </c>
      <c r="CP3" s="1">
        <f t="shared" ref="CP3:CP38" si="54">$BP3+$BQ3+$BR3</f>
        <v>3</v>
      </c>
      <c r="CQ3" s="1">
        <f t="shared" si="10"/>
        <v>1</v>
      </c>
      <c r="CR3" s="1">
        <f t="shared" si="11"/>
        <v>8</v>
      </c>
      <c r="CS3" s="1">
        <f t="shared" si="12"/>
        <v>2</v>
      </c>
      <c r="CT3" s="1">
        <f t="shared" ref="CT3:CT38" si="55">SUM($BY3:$CI3)</f>
        <v>17</v>
      </c>
      <c r="CU3" s="1">
        <f t="shared" si="13"/>
        <v>3</v>
      </c>
      <c r="CV3" s="1">
        <v>2</v>
      </c>
      <c r="CW3" s="1">
        <v>2</v>
      </c>
      <c r="CX3" s="1">
        <v>3</v>
      </c>
      <c r="CY3" s="1">
        <v>3</v>
      </c>
      <c r="CZ3" s="1">
        <v>2</v>
      </c>
      <c r="DA3" s="1">
        <v>2</v>
      </c>
      <c r="DB3" s="1">
        <v>2</v>
      </c>
      <c r="DC3" s="1">
        <v>3</v>
      </c>
      <c r="DD3" s="1">
        <v>2</v>
      </c>
      <c r="DE3" s="1">
        <v>2</v>
      </c>
      <c r="DF3" s="1">
        <v>2</v>
      </c>
      <c r="DG3" s="1">
        <f t="shared" ref="DG3:DG38" si="56">15-($CV3+$CY3+$DB3)</f>
        <v>8</v>
      </c>
      <c r="DH3" s="1">
        <f t="shared" si="14"/>
        <v>3</v>
      </c>
      <c r="DI3" s="1">
        <f t="shared" ref="DI3:DI38" si="57">15-($CW3+$CZ3+$DC3)</f>
        <v>8</v>
      </c>
      <c r="DJ3" s="1">
        <f t="shared" si="15"/>
        <v>3</v>
      </c>
      <c r="DK3" s="1">
        <f t="shared" ref="DK3:DK38" si="58">15-($CX3+$DA3+$DD3)</f>
        <v>8</v>
      </c>
      <c r="DL3" s="1">
        <f t="shared" ref="DL3:DL29" si="59">IF((DK3&lt;=6),5,(IF(AND(DK3&gt;=7,DK3&lt;=8),4,IF((DK3=9),3,IF(AND(DK3&gt;=10,DK3&lt;=11),2,IF(DK3&gt;=12,1,""))))))</f>
        <v>4</v>
      </c>
      <c r="DM3" s="1">
        <f t="shared" ref="DM3:DM38" si="60">10-($DE3+$DF3)</f>
        <v>6</v>
      </c>
      <c r="DN3" s="1">
        <f t="shared" si="16"/>
        <v>3</v>
      </c>
      <c r="DO3" s="1">
        <f t="shared" ref="DO3:DO29" si="61">CK3+CM3+CO3+CQ3+CS3+CU3</f>
        <v>14</v>
      </c>
      <c r="DP3" s="1">
        <f t="shared" ref="DP3:DP29" si="62">AM3+AO3+AQ3+AS3+AU3+AW3+AY3+BA3+BC3</f>
        <v>20</v>
      </c>
      <c r="DQ3" s="1">
        <f t="shared" si="17"/>
        <v>10</v>
      </c>
      <c r="DR3" s="23" t="str">
        <f t="shared" ref="DR3:DR38" si="63">IF((DO3&gt;=24),"高",IF(AND(DO3&gt;=19,DO3&lt;=23,(DP3+DQ3)&gt;=46),"高",IF(AND(DO3&gt;=19,DO3&lt;=23,(DP3+DQ3)&gt;=12,(DP3+DQ3)&lt;=45),"中①",IF(AND(DO3&gt;=6,DO3&lt;=18,(DP3+DQ3)&gt;=46),"中②","低"))))</f>
        <v>低</v>
      </c>
      <c r="DS3" s="23" t="str">
        <f t="shared" ref="DS3:DS38" si="64">IF(SUM(BG3:CI3)&gt;=77,"高",IF(AND((SUM(U3:AK3)+SUM(CV3:DD3))&gt;=76,SUM(BG3:CI3)&gt;=63),"高",""))</f>
        <v/>
      </c>
      <c r="DT3" s="32">
        <v>0.16400000000000001</v>
      </c>
      <c r="DU3" s="32">
        <v>117.35</v>
      </c>
      <c r="DV3" s="32">
        <v>0.56000000000000005</v>
      </c>
      <c r="DW3" s="32">
        <v>28</v>
      </c>
      <c r="DX3" s="30" t="s">
        <v>110</v>
      </c>
    </row>
    <row r="4" spans="1:128" ht="15.75" customHeight="1">
      <c r="A4" s="1">
        <v>402</v>
      </c>
      <c r="B4" s="18" t="s">
        <v>82</v>
      </c>
      <c r="C4" s="29">
        <v>34</v>
      </c>
      <c r="D4" s="1">
        <v>2</v>
      </c>
      <c r="E4" s="1">
        <v>2</v>
      </c>
      <c r="F4" s="1">
        <v>2</v>
      </c>
      <c r="G4" s="1">
        <v>3</v>
      </c>
      <c r="H4" s="1">
        <v>2</v>
      </c>
      <c r="I4" s="1">
        <v>2</v>
      </c>
      <c r="J4" s="1">
        <v>4</v>
      </c>
      <c r="K4" s="1">
        <v>3</v>
      </c>
      <c r="L4" s="1">
        <v>1</v>
      </c>
      <c r="M4" s="1">
        <v>1</v>
      </c>
      <c r="N4" s="1">
        <v>3</v>
      </c>
      <c r="O4" s="1">
        <v>3</v>
      </c>
      <c r="P4" s="1">
        <v>3</v>
      </c>
      <c r="Q4" s="1">
        <v>2</v>
      </c>
      <c r="R4" s="1">
        <v>3</v>
      </c>
      <c r="S4" s="1">
        <v>2</v>
      </c>
      <c r="T4" s="1">
        <v>2</v>
      </c>
      <c r="U4" s="1">
        <f t="shared" si="18"/>
        <v>3</v>
      </c>
      <c r="V4" s="1">
        <f t="shared" si="19"/>
        <v>3</v>
      </c>
      <c r="W4" s="1">
        <f t="shared" si="20"/>
        <v>3</v>
      </c>
      <c r="X4" s="1">
        <f t="shared" si="21"/>
        <v>2</v>
      </c>
      <c r="Y4" s="1">
        <f t="shared" si="22"/>
        <v>3</v>
      </c>
      <c r="Z4" s="1">
        <f t="shared" si="23"/>
        <v>3</v>
      </c>
      <c r="AA4" s="1">
        <f t="shared" si="24"/>
        <v>1</v>
      </c>
      <c r="AB4" s="1">
        <f t="shared" si="25"/>
        <v>2</v>
      </c>
      <c r="AC4" s="1">
        <f t="shared" si="26"/>
        <v>1</v>
      </c>
      <c r="AD4" s="1">
        <f t="shared" si="27"/>
        <v>1</v>
      </c>
      <c r="AE4" s="1">
        <f t="shared" si="28"/>
        <v>2</v>
      </c>
      <c r="AF4" s="1">
        <f t="shared" si="29"/>
        <v>2</v>
      </c>
      <c r="AG4" s="1">
        <f t="shared" si="30"/>
        <v>2</v>
      </c>
      <c r="AH4" s="1">
        <f t="shared" si="31"/>
        <v>2</v>
      </c>
      <c r="AI4" s="1">
        <f t="shared" si="32"/>
        <v>2</v>
      </c>
      <c r="AJ4" s="1">
        <f t="shared" si="33"/>
        <v>2</v>
      </c>
      <c r="AK4" s="1">
        <f t="shared" si="34"/>
        <v>2</v>
      </c>
      <c r="AL4" s="1">
        <f t="shared" ref="AL4:AL38" si="65">15-($D4+$E4+$F4)</f>
        <v>9</v>
      </c>
      <c r="AM4" s="1">
        <f t="shared" si="2"/>
        <v>3</v>
      </c>
      <c r="AN4" s="1">
        <f t="shared" si="35"/>
        <v>8</v>
      </c>
      <c r="AO4" s="1">
        <f t="shared" si="3"/>
        <v>3</v>
      </c>
      <c r="AP4" s="1">
        <f t="shared" si="36"/>
        <v>1</v>
      </c>
      <c r="AQ4" s="1">
        <f t="shared" si="37"/>
        <v>2</v>
      </c>
      <c r="AR4" s="1">
        <f t="shared" si="38"/>
        <v>6</v>
      </c>
      <c r="AS4" s="1">
        <f t="shared" si="39"/>
        <v>3</v>
      </c>
      <c r="AT4" s="1">
        <f t="shared" si="40"/>
        <v>2</v>
      </c>
      <c r="AU4" s="1">
        <f t="shared" si="4"/>
        <v>3</v>
      </c>
      <c r="AV4" s="1">
        <f t="shared" si="41"/>
        <v>10</v>
      </c>
      <c r="AW4" s="1">
        <f t="shared" si="5"/>
        <v>2</v>
      </c>
      <c r="AX4" s="38">
        <f t="shared" si="42"/>
        <v>3</v>
      </c>
      <c r="AY4" s="1">
        <f t="shared" si="43"/>
        <v>3</v>
      </c>
      <c r="AZ4" s="1">
        <f t="shared" si="44"/>
        <v>3</v>
      </c>
      <c r="BA4" s="1">
        <f t="shared" si="45"/>
        <v>3</v>
      </c>
      <c r="BB4" s="1">
        <f t="shared" si="46"/>
        <v>3</v>
      </c>
      <c r="BC4" s="1">
        <f t="shared" si="47"/>
        <v>3</v>
      </c>
      <c r="BD4" s="1">
        <v>3</v>
      </c>
      <c r="BE4" s="1">
        <v>3</v>
      </c>
      <c r="BF4" s="1">
        <v>3</v>
      </c>
      <c r="BG4" s="1">
        <f t="shared" si="48"/>
        <v>2</v>
      </c>
      <c r="BH4" s="1">
        <f t="shared" si="49"/>
        <v>2</v>
      </c>
      <c r="BI4" s="1">
        <f t="shared" si="50"/>
        <v>2</v>
      </c>
      <c r="BJ4" s="1">
        <v>2</v>
      </c>
      <c r="BK4" s="1">
        <v>2</v>
      </c>
      <c r="BL4" s="1">
        <v>2</v>
      </c>
      <c r="BM4" s="1">
        <v>2</v>
      </c>
      <c r="BN4" s="1">
        <v>1</v>
      </c>
      <c r="BO4" s="1">
        <v>1</v>
      </c>
      <c r="BP4" s="1">
        <v>2</v>
      </c>
      <c r="BQ4" s="1">
        <v>2</v>
      </c>
      <c r="BR4" s="1">
        <v>1</v>
      </c>
      <c r="BS4" s="1">
        <v>1</v>
      </c>
      <c r="BT4" s="1">
        <v>1</v>
      </c>
      <c r="BU4" s="1">
        <v>2</v>
      </c>
      <c r="BV4" s="1">
        <v>2</v>
      </c>
      <c r="BW4" s="1">
        <v>1</v>
      </c>
      <c r="BX4" s="1">
        <v>1</v>
      </c>
      <c r="BY4" s="1">
        <v>1</v>
      </c>
      <c r="BZ4" s="1">
        <v>1</v>
      </c>
      <c r="CA4" s="1">
        <v>2</v>
      </c>
      <c r="CB4" s="1">
        <v>2</v>
      </c>
      <c r="CC4" s="1">
        <v>1</v>
      </c>
      <c r="CD4" s="1">
        <v>2</v>
      </c>
      <c r="CE4" s="1">
        <v>1</v>
      </c>
      <c r="CF4" s="1">
        <v>1</v>
      </c>
      <c r="CG4" s="1">
        <v>1</v>
      </c>
      <c r="CH4" s="1">
        <v>2</v>
      </c>
      <c r="CI4" s="1">
        <v>1</v>
      </c>
      <c r="CJ4" s="1">
        <f t="shared" si="51"/>
        <v>9</v>
      </c>
      <c r="CK4" s="1">
        <f t="shared" si="52"/>
        <v>2</v>
      </c>
      <c r="CL4" s="1">
        <f t="shared" si="53"/>
        <v>6</v>
      </c>
      <c r="CM4" s="1">
        <f t="shared" si="7"/>
        <v>3</v>
      </c>
      <c r="CN4" s="1">
        <f t="shared" si="8"/>
        <v>4</v>
      </c>
      <c r="CO4" s="1">
        <f t="shared" si="9"/>
        <v>2</v>
      </c>
      <c r="CP4" s="1">
        <f t="shared" si="54"/>
        <v>5</v>
      </c>
      <c r="CQ4" s="1">
        <f t="shared" si="10"/>
        <v>3</v>
      </c>
      <c r="CR4" s="1">
        <f t="shared" si="11"/>
        <v>8</v>
      </c>
      <c r="CS4" s="1">
        <f t="shared" si="12"/>
        <v>2</v>
      </c>
      <c r="CT4" s="1">
        <f t="shared" si="55"/>
        <v>15</v>
      </c>
      <c r="CU4" s="1">
        <f t="shared" si="13"/>
        <v>2</v>
      </c>
      <c r="CV4" s="1">
        <v>2</v>
      </c>
      <c r="CW4" s="1">
        <v>1</v>
      </c>
      <c r="CX4" s="1">
        <v>1</v>
      </c>
      <c r="CY4" s="1">
        <v>2</v>
      </c>
      <c r="CZ4" s="1">
        <v>2</v>
      </c>
      <c r="DA4" s="1">
        <v>2</v>
      </c>
      <c r="DB4" s="1">
        <v>3</v>
      </c>
      <c r="DC4" s="1">
        <v>3</v>
      </c>
      <c r="DD4" s="1">
        <v>2</v>
      </c>
      <c r="DE4" s="1">
        <v>2</v>
      </c>
      <c r="DF4" s="1">
        <v>2</v>
      </c>
      <c r="DG4" s="1">
        <f t="shared" si="56"/>
        <v>8</v>
      </c>
      <c r="DH4" s="1">
        <f t="shared" si="14"/>
        <v>3</v>
      </c>
      <c r="DI4" s="1">
        <f t="shared" si="57"/>
        <v>9</v>
      </c>
      <c r="DJ4" s="1">
        <f t="shared" si="15"/>
        <v>3</v>
      </c>
      <c r="DK4" s="1">
        <f t="shared" si="58"/>
        <v>10</v>
      </c>
      <c r="DL4" s="1">
        <f t="shared" si="59"/>
        <v>2</v>
      </c>
      <c r="DM4" s="1">
        <f t="shared" si="60"/>
        <v>6</v>
      </c>
      <c r="DN4" s="1">
        <f t="shared" si="16"/>
        <v>3</v>
      </c>
      <c r="DO4" s="1">
        <f t="shared" si="61"/>
        <v>14</v>
      </c>
      <c r="DP4" s="1">
        <f t="shared" si="62"/>
        <v>25</v>
      </c>
      <c r="DQ4" s="1">
        <f t="shared" si="17"/>
        <v>8</v>
      </c>
      <c r="DR4" s="23" t="str">
        <f t="shared" si="63"/>
        <v>低</v>
      </c>
      <c r="DS4" s="23" t="str">
        <f t="shared" si="64"/>
        <v/>
      </c>
      <c r="DT4" s="32">
        <v>0.69699999999999995</v>
      </c>
      <c r="DU4" s="32">
        <v>226.49</v>
      </c>
      <c r="DV4" s="32">
        <v>1.23</v>
      </c>
      <c r="DW4" s="32">
        <v>62</v>
      </c>
      <c r="DX4" s="30" t="s">
        <v>60</v>
      </c>
    </row>
    <row r="5" spans="1:128" ht="15.75" customHeight="1">
      <c r="A5" s="1">
        <v>405</v>
      </c>
      <c r="B5" s="18" t="s">
        <v>82</v>
      </c>
      <c r="C5" s="29">
        <v>40</v>
      </c>
      <c r="D5" s="1">
        <v>3</v>
      </c>
      <c r="E5" s="1">
        <v>2</v>
      </c>
      <c r="F5" s="1">
        <v>1</v>
      </c>
      <c r="G5" s="1">
        <v>2</v>
      </c>
      <c r="H5" s="1">
        <v>2</v>
      </c>
      <c r="I5" s="1">
        <v>1</v>
      </c>
      <c r="J5" s="1">
        <v>3</v>
      </c>
      <c r="K5" s="1">
        <v>3</v>
      </c>
      <c r="L5" s="1">
        <v>4</v>
      </c>
      <c r="M5" s="1">
        <v>4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3</v>
      </c>
      <c r="T5" s="1">
        <v>3</v>
      </c>
      <c r="U5" s="1">
        <f t="shared" si="18"/>
        <v>2</v>
      </c>
      <c r="V5" s="1">
        <f t="shared" si="19"/>
        <v>3</v>
      </c>
      <c r="W5" s="1">
        <f t="shared" si="20"/>
        <v>4</v>
      </c>
      <c r="X5" s="1">
        <f t="shared" si="21"/>
        <v>3</v>
      </c>
      <c r="Y5" s="1">
        <f t="shared" si="22"/>
        <v>3</v>
      </c>
      <c r="Z5" s="1">
        <f t="shared" si="23"/>
        <v>4</v>
      </c>
      <c r="AA5" s="1">
        <f t="shared" si="24"/>
        <v>2</v>
      </c>
      <c r="AB5" s="1">
        <f t="shared" si="25"/>
        <v>2</v>
      </c>
      <c r="AC5" s="1">
        <f t="shared" si="26"/>
        <v>4</v>
      </c>
      <c r="AD5" s="1">
        <f t="shared" si="27"/>
        <v>4</v>
      </c>
      <c r="AE5" s="1">
        <f t="shared" si="28"/>
        <v>3</v>
      </c>
      <c r="AF5" s="1">
        <f t="shared" si="29"/>
        <v>3</v>
      </c>
      <c r="AG5" s="1">
        <f t="shared" si="30"/>
        <v>3</v>
      </c>
      <c r="AH5" s="1">
        <f t="shared" si="31"/>
        <v>2</v>
      </c>
      <c r="AI5" s="1">
        <f t="shared" si="32"/>
        <v>3</v>
      </c>
      <c r="AJ5" s="1">
        <f t="shared" si="33"/>
        <v>3</v>
      </c>
      <c r="AK5" s="1">
        <f t="shared" si="34"/>
        <v>3</v>
      </c>
      <c r="AL5" s="1">
        <f t="shared" si="65"/>
        <v>9</v>
      </c>
      <c r="AM5" s="1">
        <f t="shared" si="2"/>
        <v>3</v>
      </c>
      <c r="AN5" s="1">
        <f t="shared" si="35"/>
        <v>10</v>
      </c>
      <c r="AO5" s="1">
        <f t="shared" si="3"/>
        <v>4</v>
      </c>
      <c r="AP5" s="1">
        <f t="shared" si="36"/>
        <v>2</v>
      </c>
      <c r="AQ5" s="1">
        <f t="shared" si="37"/>
        <v>3</v>
      </c>
      <c r="AR5" s="1">
        <f t="shared" si="38"/>
        <v>8</v>
      </c>
      <c r="AS5" s="1">
        <f t="shared" si="39"/>
        <v>4</v>
      </c>
      <c r="AT5" s="1">
        <f t="shared" si="40"/>
        <v>3</v>
      </c>
      <c r="AU5" s="1">
        <f t="shared" si="4"/>
        <v>4</v>
      </c>
      <c r="AV5" s="1">
        <f t="shared" si="41"/>
        <v>4</v>
      </c>
      <c r="AW5" s="1">
        <f t="shared" si="5"/>
        <v>5</v>
      </c>
      <c r="AX5" s="38">
        <f t="shared" si="42"/>
        <v>2</v>
      </c>
      <c r="AY5" s="1">
        <f t="shared" si="43"/>
        <v>4</v>
      </c>
      <c r="AZ5" s="1">
        <f t="shared" si="44"/>
        <v>2</v>
      </c>
      <c r="BA5" s="1">
        <f t="shared" si="45"/>
        <v>4</v>
      </c>
      <c r="BB5" s="1">
        <f t="shared" si="46"/>
        <v>2</v>
      </c>
      <c r="BC5" s="1">
        <f t="shared" si="47"/>
        <v>4</v>
      </c>
      <c r="BD5" s="1">
        <v>2</v>
      </c>
      <c r="BE5" s="1">
        <v>1</v>
      </c>
      <c r="BF5" s="1">
        <v>1</v>
      </c>
      <c r="BG5" s="1">
        <f t="shared" si="48"/>
        <v>3</v>
      </c>
      <c r="BH5" s="1">
        <f t="shared" si="49"/>
        <v>4</v>
      </c>
      <c r="BI5" s="1">
        <f t="shared" si="50"/>
        <v>4</v>
      </c>
      <c r="BJ5" s="1">
        <v>3</v>
      </c>
      <c r="BK5" s="1">
        <v>3</v>
      </c>
      <c r="BL5" s="1">
        <v>2</v>
      </c>
      <c r="BM5" s="1">
        <v>2</v>
      </c>
      <c r="BN5" s="1">
        <v>2</v>
      </c>
      <c r="BO5" s="1">
        <v>4</v>
      </c>
      <c r="BP5" s="1">
        <v>4</v>
      </c>
      <c r="BQ5" s="1">
        <v>3</v>
      </c>
      <c r="BR5" s="1">
        <v>1</v>
      </c>
      <c r="BS5" s="1">
        <v>3</v>
      </c>
      <c r="BT5" s="1">
        <v>1</v>
      </c>
      <c r="BU5" s="1">
        <v>2</v>
      </c>
      <c r="BV5" s="1">
        <v>4</v>
      </c>
      <c r="BW5" s="1">
        <v>2</v>
      </c>
      <c r="BX5" s="1">
        <v>4</v>
      </c>
      <c r="BY5" s="1">
        <v>1</v>
      </c>
      <c r="BZ5" s="1">
        <v>4</v>
      </c>
      <c r="CA5" s="1">
        <v>2</v>
      </c>
      <c r="CB5" s="1">
        <v>4</v>
      </c>
      <c r="CC5" s="1">
        <v>1</v>
      </c>
      <c r="CD5" s="1">
        <v>3</v>
      </c>
      <c r="CE5" s="1">
        <v>1</v>
      </c>
      <c r="CF5" s="1">
        <v>2</v>
      </c>
      <c r="CG5" s="1">
        <v>1</v>
      </c>
      <c r="CH5" s="1">
        <v>3</v>
      </c>
      <c r="CI5" s="1">
        <v>3</v>
      </c>
      <c r="CJ5" s="1">
        <f t="shared" si="51"/>
        <v>4</v>
      </c>
      <c r="CK5" s="1">
        <f t="shared" si="52"/>
        <v>4</v>
      </c>
      <c r="CL5" s="1">
        <f t="shared" si="53"/>
        <v>8</v>
      </c>
      <c r="CM5" s="1">
        <f t="shared" si="7"/>
        <v>4</v>
      </c>
      <c r="CN5" s="1">
        <f t="shared" si="8"/>
        <v>8</v>
      </c>
      <c r="CO5" s="1">
        <f t="shared" si="9"/>
        <v>4</v>
      </c>
      <c r="CP5" s="1">
        <f t="shared" si="54"/>
        <v>8</v>
      </c>
      <c r="CQ5" s="1">
        <f t="shared" si="10"/>
        <v>4</v>
      </c>
      <c r="CR5" s="1">
        <f t="shared" si="11"/>
        <v>16</v>
      </c>
      <c r="CS5" s="1">
        <f t="shared" si="12"/>
        <v>4</v>
      </c>
      <c r="CT5" s="1">
        <f t="shared" si="55"/>
        <v>25</v>
      </c>
      <c r="CU5" s="1">
        <f t="shared" si="13"/>
        <v>4</v>
      </c>
      <c r="CV5" s="1">
        <v>3</v>
      </c>
      <c r="CW5" s="1">
        <v>2</v>
      </c>
      <c r="CX5" s="1">
        <v>1</v>
      </c>
      <c r="CY5" s="1">
        <v>4</v>
      </c>
      <c r="CZ5" s="1">
        <v>3</v>
      </c>
      <c r="DA5" s="1">
        <v>1</v>
      </c>
      <c r="DB5" s="1">
        <v>3</v>
      </c>
      <c r="DC5" s="1">
        <v>3</v>
      </c>
      <c r="DD5" s="1">
        <v>1</v>
      </c>
      <c r="DE5" s="1">
        <v>3</v>
      </c>
      <c r="DF5" s="1">
        <v>2</v>
      </c>
      <c r="DG5" s="1">
        <f t="shared" si="56"/>
        <v>5</v>
      </c>
      <c r="DH5" s="1">
        <f t="shared" si="14"/>
        <v>4</v>
      </c>
      <c r="DI5" s="1">
        <f t="shared" si="57"/>
        <v>7</v>
      </c>
      <c r="DJ5" s="1">
        <f t="shared" si="15"/>
        <v>4</v>
      </c>
      <c r="DK5" s="1">
        <f t="shared" si="58"/>
        <v>12</v>
      </c>
      <c r="DL5" s="1">
        <f t="shared" si="59"/>
        <v>1</v>
      </c>
      <c r="DM5" s="1">
        <f t="shared" si="60"/>
        <v>5</v>
      </c>
      <c r="DN5" s="1">
        <f t="shared" si="16"/>
        <v>3</v>
      </c>
      <c r="DO5" s="1">
        <f t="shared" si="61"/>
        <v>24</v>
      </c>
      <c r="DP5" s="1">
        <f t="shared" si="62"/>
        <v>35</v>
      </c>
      <c r="DQ5" s="1">
        <f t="shared" si="17"/>
        <v>9</v>
      </c>
      <c r="DR5" s="23" t="str">
        <f t="shared" si="63"/>
        <v>高</v>
      </c>
      <c r="DS5" s="23" t="str">
        <f t="shared" si="64"/>
        <v/>
      </c>
      <c r="DT5" s="32">
        <v>0.109</v>
      </c>
      <c r="DU5" s="32">
        <v>96.22</v>
      </c>
      <c r="DV5" s="32">
        <v>0.45</v>
      </c>
      <c r="DW5" s="32">
        <v>23</v>
      </c>
      <c r="DX5" s="30" t="s">
        <v>60</v>
      </c>
    </row>
    <row r="6" spans="1:128" ht="15.75" customHeight="1">
      <c r="A6" s="1">
        <v>359</v>
      </c>
      <c r="B6" s="18" t="s">
        <v>82</v>
      </c>
      <c r="C6" s="29">
        <v>37</v>
      </c>
      <c r="D6" s="1">
        <v>2</v>
      </c>
      <c r="E6" s="1">
        <v>3</v>
      </c>
      <c r="F6" s="1">
        <v>1</v>
      </c>
      <c r="G6" s="1">
        <v>2</v>
      </c>
      <c r="H6" s="1">
        <v>1</v>
      </c>
      <c r="I6" s="1">
        <v>2</v>
      </c>
      <c r="J6" s="1">
        <v>4</v>
      </c>
      <c r="K6" s="1">
        <v>1</v>
      </c>
      <c r="L6" s="1">
        <v>2</v>
      </c>
      <c r="M6" s="1">
        <v>4</v>
      </c>
      <c r="N6" s="1">
        <v>4</v>
      </c>
      <c r="O6" s="1">
        <v>2</v>
      </c>
      <c r="P6" s="1">
        <v>3</v>
      </c>
      <c r="Q6" s="1">
        <v>2</v>
      </c>
      <c r="R6" s="1">
        <v>3</v>
      </c>
      <c r="S6" s="1">
        <v>2</v>
      </c>
      <c r="T6" s="1">
        <v>2</v>
      </c>
      <c r="U6" s="1">
        <f t="shared" si="18"/>
        <v>3</v>
      </c>
      <c r="V6" s="1">
        <f t="shared" si="19"/>
        <v>2</v>
      </c>
      <c r="W6" s="1">
        <f t="shared" si="20"/>
        <v>4</v>
      </c>
      <c r="X6" s="1">
        <f t="shared" si="21"/>
        <v>3</v>
      </c>
      <c r="Y6" s="1">
        <f t="shared" si="22"/>
        <v>4</v>
      </c>
      <c r="Z6" s="1">
        <f t="shared" si="23"/>
        <v>3</v>
      </c>
      <c r="AA6" s="1">
        <f t="shared" si="24"/>
        <v>1</v>
      </c>
      <c r="AB6" s="1">
        <f t="shared" si="25"/>
        <v>4</v>
      </c>
      <c r="AC6" s="1">
        <f t="shared" si="26"/>
        <v>2</v>
      </c>
      <c r="AD6" s="1">
        <f t="shared" si="27"/>
        <v>4</v>
      </c>
      <c r="AE6" s="1">
        <f t="shared" si="28"/>
        <v>1</v>
      </c>
      <c r="AF6" s="1">
        <f t="shared" si="29"/>
        <v>3</v>
      </c>
      <c r="AG6" s="1">
        <f t="shared" si="30"/>
        <v>2</v>
      </c>
      <c r="AH6" s="1">
        <f t="shared" si="31"/>
        <v>2</v>
      </c>
      <c r="AI6" s="1">
        <f t="shared" si="32"/>
        <v>2</v>
      </c>
      <c r="AJ6" s="1">
        <f t="shared" si="33"/>
        <v>2</v>
      </c>
      <c r="AK6" s="1">
        <f t="shared" si="34"/>
        <v>2</v>
      </c>
      <c r="AL6" s="1">
        <f t="shared" si="65"/>
        <v>9</v>
      </c>
      <c r="AM6" s="1">
        <f t="shared" si="2"/>
        <v>3</v>
      </c>
      <c r="AN6" s="1">
        <f t="shared" si="35"/>
        <v>10</v>
      </c>
      <c r="AO6" s="1">
        <f t="shared" si="3"/>
        <v>4</v>
      </c>
      <c r="AP6" s="1">
        <f t="shared" si="36"/>
        <v>1</v>
      </c>
      <c r="AQ6" s="1">
        <f t="shared" si="37"/>
        <v>2</v>
      </c>
      <c r="AR6" s="1">
        <f t="shared" si="38"/>
        <v>7</v>
      </c>
      <c r="AS6" s="1">
        <f t="shared" si="39"/>
        <v>3</v>
      </c>
      <c r="AT6" s="1">
        <f t="shared" si="40"/>
        <v>2</v>
      </c>
      <c r="AU6" s="1">
        <f t="shared" si="4"/>
        <v>3</v>
      </c>
      <c r="AV6" s="1">
        <f t="shared" si="41"/>
        <v>8</v>
      </c>
      <c r="AW6" s="1">
        <f t="shared" si="5"/>
        <v>3</v>
      </c>
      <c r="AX6" s="38">
        <f t="shared" si="42"/>
        <v>4</v>
      </c>
      <c r="AY6" s="1">
        <f t="shared" si="43"/>
        <v>2</v>
      </c>
      <c r="AZ6" s="1">
        <f t="shared" si="44"/>
        <v>3</v>
      </c>
      <c r="BA6" s="1">
        <f t="shared" si="45"/>
        <v>3</v>
      </c>
      <c r="BB6" s="1">
        <f t="shared" si="46"/>
        <v>3</v>
      </c>
      <c r="BC6" s="1">
        <f t="shared" si="47"/>
        <v>3</v>
      </c>
      <c r="BD6" s="1">
        <v>2</v>
      </c>
      <c r="BE6" s="1">
        <v>2</v>
      </c>
      <c r="BF6" s="1">
        <v>2</v>
      </c>
      <c r="BG6" s="1">
        <f t="shared" si="48"/>
        <v>3</v>
      </c>
      <c r="BH6" s="1">
        <f t="shared" si="49"/>
        <v>3</v>
      </c>
      <c r="BI6" s="1">
        <f t="shared" si="50"/>
        <v>3</v>
      </c>
      <c r="BJ6" s="1">
        <v>1</v>
      </c>
      <c r="BK6" s="1">
        <v>1</v>
      </c>
      <c r="BL6" s="1">
        <v>2</v>
      </c>
      <c r="BM6" s="1">
        <v>2</v>
      </c>
      <c r="BN6" s="1">
        <v>2</v>
      </c>
      <c r="BO6" s="1">
        <v>3</v>
      </c>
      <c r="BP6" s="1">
        <v>2</v>
      </c>
      <c r="BQ6" s="1">
        <v>2</v>
      </c>
      <c r="BR6" s="1">
        <v>2</v>
      </c>
      <c r="BS6" s="1">
        <v>1</v>
      </c>
      <c r="BT6" s="1">
        <v>2</v>
      </c>
      <c r="BU6" s="1">
        <v>2</v>
      </c>
      <c r="BV6" s="1">
        <v>2</v>
      </c>
      <c r="BW6" s="1">
        <v>3</v>
      </c>
      <c r="BX6" s="1">
        <v>1</v>
      </c>
      <c r="BY6" s="1">
        <v>3</v>
      </c>
      <c r="BZ6" s="1">
        <v>1</v>
      </c>
      <c r="CA6" s="1">
        <v>3</v>
      </c>
      <c r="CB6" s="1">
        <v>3</v>
      </c>
      <c r="CC6" s="1">
        <v>3</v>
      </c>
      <c r="CD6" s="1">
        <v>4</v>
      </c>
      <c r="CE6" s="1">
        <v>3</v>
      </c>
      <c r="CF6" s="1">
        <v>2</v>
      </c>
      <c r="CG6" s="1">
        <v>1</v>
      </c>
      <c r="CH6" s="1">
        <v>2</v>
      </c>
      <c r="CI6" s="1">
        <v>3</v>
      </c>
      <c r="CJ6" s="1">
        <f t="shared" si="51"/>
        <v>6</v>
      </c>
      <c r="CK6" s="1">
        <f t="shared" si="52"/>
        <v>3</v>
      </c>
      <c r="CL6" s="1">
        <f t="shared" si="53"/>
        <v>4</v>
      </c>
      <c r="CM6" s="1">
        <f t="shared" si="7"/>
        <v>2</v>
      </c>
      <c r="CN6" s="1">
        <f t="shared" si="8"/>
        <v>7</v>
      </c>
      <c r="CO6" s="1">
        <f t="shared" si="9"/>
        <v>3</v>
      </c>
      <c r="CP6" s="1">
        <f t="shared" si="54"/>
        <v>6</v>
      </c>
      <c r="CQ6" s="1">
        <f t="shared" si="10"/>
        <v>3</v>
      </c>
      <c r="CR6" s="1">
        <f t="shared" si="11"/>
        <v>11</v>
      </c>
      <c r="CS6" s="1">
        <f t="shared" si="12"/>
        <v>3</v>
      </c>
      <c r="CT6" s="1">
        <f t="shared" si="55"/>
        <v>28</v>
      </c>
      <c r="CU6" s="1">
        <f t="shared" si="13"/>
        <v>5</v>
      </c>
      <c r="CV6" s="1">
        <v>3</v>
      </c>
      <c r="CW6" s="1">
        <v>1</v>
      </c>
      <c r="CX6" s="1">
        <v>1</v>
      </c>
      <c r="CY6" s="1">
        <v>4</v>
      </c>
      <c r="CZ6" s="1">
        <v>3</v>
      </c>
      <c r="DA6" s="1">
        <v>2</v>
      </c>
      <c r="DB6" s="1">
        <v>3</v>
      </c>
      <c r="DC6" s="1">
        <v>3</v>
      </c>
      <c r="DD6" s="1">
        <v>1</v>
      </c>
      <c r="DE6" s="1">
        <v>2</v>
      </c>
      <c r="DF6" s="1">
        <v>2</v>
      </c>
      <c r="DG6" s="1">
        <f t="shared" si="56"/>
        <v>5</v>
      </c>
      <c r="DH6" s="1">
        <f t="shared" si="14"/>
        <v>4</v>
      </c>
      <c r="DI6" s="1">
        <f t="shared" si="57"/>
        <v>8</v>
      </c>
      <c r="DJ6" s="1">
        <f t="shared" si="15"/>
        <v>3</v>
      </c>
      <c r="DK6" s="1">
        <f t="shared" si="58"/>
        <v>11</v>
      </c>
      <c r="DL6" s="1">
        <f t="shared" si="59"/>
        <v>2</v>
      </c>
      <c r="DM6" s="1">
        <f t="shared" si="60"/>
        <v>6</v>
      </c>
      <c r="DN6" s="1">
        <f t="shared" si="16"/>
        <v>3</v>
      </c>
      <c r="DO6" s="1">
        <f t="shared" si="61"/>
        <v>19</v>
      </c>
      <c r="DP6" s="1">
        <f t="shared" si="62"/>
        <v>26</v>
      </c>
      <c r="DQ6" s="1">
        <f t="shared" si="17"/>
        <v>9</v>
      </c>
      <c r="DR6" s="23" t="str">
        <f t="shared" si="63"/>
        <v>中①</v>
      </c>
      <c r="DS6" s="23" t="str">
        <f t="shared" si="64"/>
        <v/>
      </c>
      <c r="DT6" s="32">
        <v>0.17399999999999999</v>
      </c>
      <c r="DU6" s="32">
        <v>120.01</v>
      </c>
      <c r="DV6" s="32">
        <v>0.57999999999999996</v>
      </c>
      <c r="DW6" s="32">
        <v>29</v>
      </c>
      <c r="DX6" s="30" t="s">
        <v>60</v>
      </c>
    </row>
    <row r="7" spans="1:128" ht="15.75" customHeight="1">
      <c r="A7" s="1">
        <v>408</v>
      </c>
      <c r="B7" s="18" t="s">
        <v>82</v>
      </c>
      <c r="C7" s="29">
        <v>29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1</v>
      </c>
      <c r="L7" s="1">
        <v>1</v>
      </c>
      <c r="M7" s="1">
        <v>1</v>
      </c>
      <c r="N7" s="1">
        <v>4</v>
      </c>
      <c r="O7" s="1">
        <v>2</v>
      </c>
      <c r="P7" s="1">
        <v>4</v>
      </c>
      <c r="Q7" s="1">
        <v>1</v>
      </c>
      <c r="R7" s="1">
        <v>4</v>
      </c>
      <c r="S7" s="1">
        <v>1</v>
      </c>
      <c r="T7" s="1">
        <v>1</v>
      </c>
      <c r="U7" s="1">
        <f t="shared" si="18"/>
        <v>1</v>
      </c>
      <c r="V7" s="1">
        <f t="shared" si="19"/>
        <v>1</v>
      </c>
      <c r="W7" s="1">
        <f t="shared" si="20"/>
        <v>1</v>
      </c>
      <c r="X7" s="1">
        <f t="shared" si="21"/>
        <v>1</v>
      </c>
      <c r="Y7" s="1">
        <f t="shared" si="22"/>
        <v>1</v>
      </c>
      <c r="Z7" s="1">
        <f t="shared" si="23"/>
        <v>1</v>
      </c>
      <c r="AA7" s="1">
        <f t="shared" si="24"/>
        <v>1</v>
      </c>
      <c r="AB7" s="1">
        <f t="shared" si="25"/>
        <v>4</v>
      </c>
      <c r="AC7" s="1">
        <f t="shared" si="26"/>
        <v>1</v>
      </c>
      <c r="AD7" s="1">
        <f t="shared" si="27"/>
        <v>1</v>
      </c>
      <c r="AE7" s="1">
        <f t="shared" si="28"/>
        <v>1</v>
      </c>
      <c r="AF7" s="1">
        <f t="shared" si="29"/>
        <v>3</v>
      </c>
      <c r="AG7" s="1">
        <f t="shared" si="30"/>
        <v>1</v>
      </c>
      <c r="AH7" s="1">
        <f t="shared" si="31"/>
        <v>1</v>
      </c>
      <c r="AI7" s="1">
        <f t="shared" si="32"/>
        <v>1</v>
      </c>
      <c r="AJ7" s="1">
        <f t="shared" si="33"/>
        <v>1</v>
      </c>
      <c r="AK7" s="1">
        <f t="shared" si="34"/>
        <v>1</v>
      </c>
      <c r="AL7" s="1">
        <f t="shared" si="65"/>
        <v>3</v>
      </c>
      <c r="AM7" s="1">
        <f t="shared" si="2"/>
        <v>1</v>
      </c>
      <c r="AN7" s="1">
        <f t="shared" si="35"/>
        <v>3</v>
      </c>
      <c r="AO7" s="1">
        <f t="shared" si="3"/>
        <v>1</v>
      </c>
      <c r="AP7" s="1">
        <f t="shared" si="36"/>
        <v>1</v>
      </c>
      <c r="AQ7" s="1">
        <f t="shared" si="37"/>
        <v>2</v>
      </c>
      <c r="AR7" s="1">
        <f t="shared" si="38"/>
        <v>5</v>
      </c>
      <c r="AS7" s="1">
        <f t="shared" si="39"/>
        <v>2</v>
      </c>
      <c r="AT7" s="1">
        <f t="shared" si="40"/>
        <v>1</v>
      </c>
      <c r="AU7" s="1">
        <f t="shared" si="4"/>
        <v>2</v>
      </c>
      <c r="AV7" s="1">
        <f t="shared" si="41"/>
        <v>12</v>
      </c>
      <c r="AW7" s="1">
        <f t="shared" si="5"/>
        <v>1</v>
      </c>
      <c r="AX7" s="1">
        <f t="shared" si="42"/>
        <v>4</v>
      </c>
      <c r="AY7" s="1">
        <f t="shared" si="43"/>
        <v>2</v>
      </c>
      <c r="AZ7" s="1">
        <f t="shared" si="44"/>
        <v>4</v>
      </c>
      <c r="BA7" s="1">
        <f t="shared" si="45"/>
        <v>1</v>
      </c>
      <c r="BB7" s="1">
        <f t="shared" si="46"/>
        <v>4</v>
      </c>
      <c r="BC7" s="1">
        <f t="shared" si="47"/>
        <v>1</v>
      </c>
      <c r="BD7" s="1">
        <v>3</v>
      </c>
      <c r="BE7" s="1">
        <v>3</v>
      </c>
      <c r="BF7" s="1">
        <v>3</v>
      </c>
      <c r="BG7" s="1">
        <f t="shared" si="48"/>
        <v>2</v>
      </c>
      <c r="BH7" s="1">
        <f t="shared" si="49"/>
        <v>2</v>
      </c>
      <c r="BI7" s="1">
        <f t="shared" si="50"/>
        <v>2</v>
      </c>
      <c r="BJ7" s="1">
        <v>1</v>
      </c>
      <c r="BK7" s="1">
        <v>2</v>
      </c>
      <c r="BL7" s="1">
        <v>2</v>
      </c>
      <c r="BM7" s="1">
        <v>1</v>
      </c>
      <c r="BN7" s="1">
        <v>1</v>
      </c>
      <c r="BO7" s="1">
        <v>2</v>
      </c>
      <c r="BP7" s="1">
        <v>1</v>
      </c>
      <c r="BQ7" s="1">
        <v>2</v>
      </c>
      <c r="BR7" s="1">
        <v>2</v>
      </c>
      <c r="BS7" s="1">
        <v>1</v>
      </c>
      <c r="BT7" s="1">
        <v>1</v>
      </c>
      <c r="BU7" s="1">
        <v>1</v>
      </c>
      <c r="BV7" s="1">
        <v>2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2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f t="shared" si="51"/>
        <v>9</v>
      </c>
      <c r="CK7" s="1">
        <f t="shared" si="52"/>
        <v>2</v>
      </c>
      <c r="CL7" s="1">
        <f t="shared" si="53"/>
        <v>5</v>
      </c>
      <c r="CM7" s="1">
        <f t="shared" si="7"/>
        <v>2</v>
      </c>
      <c r="CN7" s="1">
        <f t="shared" si="8"/>
        <v>4</v>
      </c>
      <c r="CO7" s="1">
        <f t="shared" si="9"/>
        <v>2</v>
      </c>
      <c r="CP7" s="1">
        <f t="shared" si="54"/>
        <v>5</v>
      </c>
      <c r="CQ7" s="1">
        <f t="shared" si="10"/>
        <v>3</v>
      </c>
      <c r="CR7" s="1">
        <f t="shared" si="11"/>
        <v>7</v>
      </c>
      <c r="CS7" s="1">
        <f t="shared" si="12"/>
        <v>2</v>
      </c>
      <c r="CT7" s="1">
        <f t="shared" si="55"/>
        <v>12</v>
      </c>
      <c r="CU7" s="1">
        <f t="shared" si="13"/>
        <v>2</v>
      </c>
      <c r="CV7" s="1">
        <v>1</v>
      </c>
      <c r="CW7" s="1">
        <v>1</v>
      </c>
      <c r="CX7" s="1">
        <v>1</v>
      </c>
      <c r="CY7" s="1">
        <v>2</v>
      </c>
      <c r="CZ7" s="1">
        <v>1</v>
      </c>
      <c r="DA7" s="1">
        <v>1</v>
      </c>
      <c r="DB7" s="1">
        <v>3</v>
      </c>
      <c r="DC7" s="1">
        <v>3</v>
      </c>
      <c r="DD7" s="1">
        <v>1</v>
      </c>
      <c r="DE7" s="1">
        <v>1</v>
      </c>
      <c r="DF7" s="1">
        <v>1</v>
      </c>
      <c r="DG7" s="1">
        <f t="shared" si="56"/>
        <v>9</v>
      </c>
      <c r="DH7" s="1">
        <f t="shared" si="14"/>
        <v>2</v>
      </c>
      <c r="DI7" s="1">
        <f t="shared" si="57"/>
        <v>10</v>
      </c>
      <c r="DJ7" s="1">
        <f t="shared" si="15"/>
        <v>1</v>
      </c>
      <c r="DK7" s="1">
        <f t="shared" si="58"/>
        <v>12</v>
      </c>
      <c r="DL7" s="1">
        <f t="shared" si="59"/>
        <v>1</v>
      </c>
      <c r="DM7" s="1">
        <f t="shared" si="60"/>
        <v>8</v>
      </c>
      <c r="DN7" s="1">
        <f t="shared" si="16"/>
        <v>1</v>
      </c>
      <c r="DO7" s="1">
        <f t="shared" si="61"/>
        <v>13</v>
      </c>
      <c r="DP7" s="1">
        <f t="shared" si="62"/>
        <v>13</v>
      </c>
      <c r="DQ7" s="1">
        <f t="shared" si="17"/>
        <v>4</v>
      </c>
      <c r="DR7" s="23" t="str">
        <f t="shared" si="63"/>
        <v>低</v>
      </c>
      <c r="DS7" s="23" t="str">
        <f t="shared" si="64"/>
        <v/>
      </c>
      <c r="DT7" s="32">
        <v>0.47</v>
      </c>
      <c r="DU7" s="32">
        <v>179.98</v>
      </c>
      <c r="DV7" s="32">
        <v>1.04</v>
      </c>
      <c r="DW7" s="32">
        <v>52</v>
      </c>
      <c r="DX7" s="30" t="s">
        <v>60</v>
      </c>
    </row>
    <row r="8" spans="1:128" ht="15.75" customHeight="1">
      <c r="A8" s="1">
        <v>409</v>
      </c>
      <c r="B8" s="18" t="s">
        <v>82</v>
      </c>
      <c r="C8" s="29">
        <v>32</v>
      </c>
      <c r="D8" s="1">
        <v>2</v>
      </c>
      <c r="E8" s="1">
        <v>3</v>
      </c>
      <c r="F8" s="1">
        <v>2</v>
      </c>
      <c r="G8" s="1">
        <v>2</v>
      </c>
      <c r="H8" s="1">
        <v>3</v>
      </c>
      <c r="I8" s="1">
        <v>2</v>
      </c>
      <c r="J8" s="1">
        <v>4</v>
      </c>
      <c r="K8" s="1">
        <v>1</v>
      </c>
      <c r="L8" s="1">
        <v>1</v>
      </c>
      <c r="M8" s="1">
        <v>1</v>
      </c>
      <c r="N8" s="1">
        <v>3</v>
      </c>
      <c r="O8" s="1">
        <v>3</v>
      </c>
      <c r="P8" s="1">
        <v>3</v>
      </c>
      <c r="Q8" s="1">
        <v>1</v>
      </c>
      <c r="R8" s="1">
        <v>4</v>
      </c>
      <c r="S8" s="1">
        <v>1</v>
      </c>
      <c r="T8" s="1">
        <v>2</v>
      </c>
      <c r="U8" s="1">
        <f t="shared" si="18"/>
        <v>3</v>
      </c>
      <c r="V8" s="1">
        <f t="shared" si="19"/>
        <v>2</v>
      </c>
      <c r="W8" s="1">
        <f t="shared" si="20"/>
        <v>3</v>
      </c>
      <c r="X8" s="1">
        <f t="shared" si="21"/>
        <v>3</v>
      </c>
      <c r="Y8" s="1">
        <f t="shared" si="22"/>
        <v>2</v>
      </c>
      <c r="Z8" s="1">
        <f t="shared" si="23"/>
        <v>3</v>
      </c>
      <c r="AA8" s="1">
        <f t="shared" si="24"/>
        <v>1</v>
      </c>
      <c r="AB8" s="1">
        <f t="shared" si="25"/>
        <v>4</v>
      </c>
      <c r="AC8" s="1">
        <f t="shared" si="26"/>
        <v>1</v>
      </c>
      <c r="AD8" s="1">
        <f t="shared" si="27"/>
        <v>1</v>
      </c>
      <c r="AE8" s="1">
        <f t="shared" si="28"/>
        <v>2</v>
      </c>
      <c r="AF8" s="1">
        <f t="shared" si="29"/>
        <v>2</v>
      </c>
      <c r="AG8" s="1">
        <f t="shared" si="30"/>
        <v>2</v>
      </c>
      <c r="AH8" s="1">
        <f t="shared" si="31"/>
        <v>1</v>
      </c>
      <c r="AI8" s="1">
        <f t="shared" si="32"/>
        <v>1</v>
      </c>
      <c r="AJ8" s="1">
        <f t="shared" si="33"/>
        <v>1</v>
      </c>
      <c r="AK8" s="1">
        <f t="shared" si="34"/>
        <v>2</v>
      </c>
      <c r="AL8" s="1">
        <f t="shared" si="65"/>
        <v>8</v>
      </c>
      <c r="AM8" s="1">
        <f t="shared" si="2"/>
        <v>3</v>
      </c>
      <c r="AN8" s="1">
        <f t="shared" si="35"/>
        <v>8</v>
      </c>
      <c r="AO8" s="1">
        <f t="shared" si="3"/>
        <v>3</v>
      </c>
      <c r="AP8" s="1">
        <f t="shared" si="36"/>
        <v>1</v>
      </c>
      <c r="AQ8" s="1">
        <f t="shared" si="37"/>
        <v>2</v>
      </c>
      <c r="AR8" s="1">
        <f t="shared" si="38"/>
        <v>5</v>
      </c>
      <c r="AS8" s="1">
        <f t="shared" si="39"/>
        <v>2</v>
      </c>
      <c r="AT8" s="1">
        <f t="shared" si="40"/>
        <v>1</v>
      </c>
      <c r="AU8" s="1">
        <f t="shared" si="4"/>
        <v>2</v>
      </c>
      <c r="AV8" s="1">
        <f t="shared" si="41"/>
        <v>12</v>
      </c>
      <c r="AW8" s="1">
        <f t="shared" si="5"/>
        <v>1</v>
      </c>
      <c r="AX8" s="38">
        <f t="shared" si="42"/>
        <v>3</v>
      </c>
      <c r="AY8" s="1">
        <f t="shared" si="43"/>
        <v>3</v>
      </c>
      <c r="AZ8" s="1">
        <f t="shared" si="44"/>
        <v>4</v>
      </c>
      <c r="BA8" s="1">
        <f t="shared" si="45"/>
        <v>1</v>
      </c>
      <c r="BB8" s="1">
        <f t="shared" si="46"/>
        <v>3</v>
      </c>
      <c r="BC8" s="1">
        <f t="shared" si="47"/>
        <v>3</v>
      </c>
      <c r="BD8" s="1">
        <v>4</v>
      </c>
      <c r="BE8" s="1">
        <v>4</v>
      </c>
      <c r="BF8" s="1">
        <v>4</v>
      </c>
      <c r="BG8" s="1">
        <f t="shared" si="48"/>
        <v>1</v>
      </c>
      <c r="BH8" s="1">
        <f t="shared" si="49"/>
        <v>1</v>
      </c>
      <c r="BI8" s="1">
        <f t="shared" si="50"/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f t="shared" si="51"/>
        <v>12</v>
      </c>
      <c r="CK8" s="1">
        <f t="shared" si="52"/>
        <v>1</v>
      </c>
      <c r="CL8" s="1">
        <f t="shared" si="53"/>
        <v>3</v>
      </c>
      <c r="CM8" s="1">
        <f t="shared" si="7"/>
        <v>1</v>
      </c>
      <c r="CN8" s="1">
        <f t="shared" si="8"/>
        <v>3</v>
      </c>
      <c r="CO8" s="1">
        <f t="shared" si="9"/>
        <v>1</v>
      </c>
      <c r="CP8" s="1">
        <f t="shared" si="54"/>
        <v>3</v>
      </c>
      <c r="CQ8" s="1">
        <f t="shared" si="10"/>
        <v>1</v>
      </c>
      <c r="CR8" s="1">
        <f t="shared" si="11"/>
        <v>6</v>
      </c>
      <c r="CS8" s="1">
        <f t="shared" si="12"/>
        <v>1</v>
      </c>
      <c r="CT8" s="1">
        <f t="shared" si="55"/>
        <v>11</v>
      </c>
      <c r="CU8" s="1">
        <f t="shared" si="13"/>
        <v>1</v>
      </c>
      <c r="CV8" s="1">
        <v>2</v>
      </c>
      <c r="CW8" s="1">
        <v>2</v>
      </c>
      <c r="CX8" s="1">
        <v>2</v>
      </c>
      <c r="CY8" s="1">
        <v>2</v>
      </c>
      <c r="CZ8" s="1">
        <v>2</v>
      </c>
      <c r="DA8" s="1">
        <v>2</v>
      </c>
      <c r="DB8" s="1">
        <v>2</v>
      </c>
      <c r="DC8" s="1">
        <v>2</v>
      </c>
      <c r="DD8" s="1">
        <v>2</v>
      </c>
      <c r="DE8" s="1">
        <v>1</v>
      </c>
      <c r="DF8" s="1">
        <v>1</v>
      </c>
      <c r="DG8" s="1">
        <f t="shared" si="56"/>
        <v>9</v>
      </c>
      <c r="DH8" s="1">
        <f t="shared" si="14"/>
        <v>2</v>
      </c>
      <c r="DI8" s="1">
        <f t="shared" si="57"/>
        <v>9</v>
      </c>
      <c r="DJ8" s="1">
        <f t="shared" si="15"/>
        <v>3</v>
      </c>
      <c r="DK8" s="1">
        <f t="shared" si="58"/>
        <v>9</v>
      </c>
      <c r="DL8" s="1">
        <f t="shared" si="59"/>
        <v>3</v>
      </c>
      <c r="DM8" s="1">
        <f t="shared" si="60"/>
        <v>8</v>
      </c>
      <c r="DN8" s="1">
        <f t="shared" si="16"/>
        <v>1</v>
      </c>
      <c r="DO8" s="1">
        <f t="shared" si="61"/>
        <v>6</v>
      </c>
      <c r="DP8" s="1">
        <f t="shared" si="62"/>
        <v>20</v>
      </c>
      <c r="DQ8" s="1">
        <f t="shared" si="17"/>
        <v>8</v>
      </c>
      <c r="DR8" s="23" t="str">
        <f t="shared" si="63"/>
        <v>低</v>
      </c>
      <c r="DS8" s="23" t="str">
        <f t="shared" si="64"/>
        <v/>
      </c>
      <c r="DT8" s="32">
        <v>0.183</v>
      </c>
      <c r="DU8" s="32">
        <v>101.76</v>
      </c>
      <c r="DV8" s="32">
        <v>0.72</v>
      </c>
      <c r="DW8" s="32">
        <v>36</v>
      </c>
      <c r="DX8" s="30" t="s">
        <v>60</v>
      </c>
    </row>
    <row r="9" spans="1:128" ht="15.75" customHeight="1">
      <c r="A9" s="1">
        <v>410</v>
      </c>
      <c r="B9" s="18" t="s">
        <v>83</v>
      </c>
      <c r="C9" s="29">
        <v>39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3</v>
      </c>
      <c r="J9" s="1">
        <v>4</v>
      </c>
      <c r="K9" s="1">
        <v>2</v>
      </c>
      <c r="L9" s="1">
        <v>2</v>
      </c>
      <c r="M9" s="1">
        <v>2</v>
      </c>
      <c r="N9" s="1">
        <v>3</v>
      </c>
      <c r="O9" s="1">
        <v>4</v>
      </c>
      <c r="P9" s="1">
        <v>4</v>
      </c>
      <c r="Q9" s="1">
        <v>1</v>
      </c>
      <c r="R9" s="1">
        <v>3</v>
      </c>
      <c r="S9" s="1">
        <v>2</v>
      </c>
      <c r="T9" s="1">
        <v>2</v>
      </c>
      <c r="U9" s="1">
        <f t="shared" si="18"/>
        <v>3</v>
      </c>
      <c r="V9" s="1">
        <f t="shared" si="19"/>
        <v>3</v>
      </c>
      <c r="W9" s="1">
        <f t="shared" si="20"/>
        <v>3</v>
      </c>
      <c r="X9" s="1">
        <f t="shared" si="21"/>
        <v>3</v>
      </c>
      <c r="Y9" s="1">
        <f t="shared" si="22"/>
        <v>3</v>
      </c>
      <c r="Z9" s="1">
        <f t="shared" si="23"/>
        <v>2</v>
      </c>
      <c r="AA9" s="1">
        <f t="shared" si="24"/>
        <v>1</v>
      </c>
      <c r="AB9" s="1">
        <f t="shared" si="25"/>
        <v>3</v>
      </c>
      <c r="AC9" s="1">
        <f t="shared" si="26"/>
        <v>2</v>
      </c>
      <c r="AD9" s="1">
        <f t="shared" si="27"/>
        <v>2</v>
      </c>
      <c r="AE9" s="1">
        <f t="shared" si="28"/>
        <v>2</v>
      </c>
      <c r="AF9" s="1">
        <f t="shared" si="29"/>
        <v>1</v>
      </c>
      <c r="AG9" s="1">
        <f t="shared" si="30"/>
        <v>1</v>
      </c>
      <c r="AH9" s="1">
        <f t="shared" si="31"/>
        <v>1</v>
      </c>
      <c r="AI9" s="1">
        <f t="shared" si="32"/>
        <v>2</v>
      </c>
      <c r="AJ9" s="1">
        <f t="shared" si="33"/>
        <v>2</v>
      </c>
      <c r="AK9" s="1">
        <f t="shared" si="34"/>
        <v>2</v>
      </c>
      <c r="AL9" s="1">
        <f t="shared" si="65"/>
        <v>9</v>
      </c>
      <c r="AM9" s="1">
        <f t="shared" si="2"/>
        <v>3</v>
      </c>
      <c r="AN9" s="1">
        <f t="shared" si="35"/>
        <v>8</v>
      </c>
      <c r="AO9" s="1">
        <f t="shared" si="3"/>
        <v>3</v>
      </c>
      <c r="AP9" s="1">
        <f t="shared" si="36"/>
        <v>1</v>
      </c>
      <c r="AQ9" s="1">
        <f t="shared" si="37"/>
        <v>2</v>
      </c>
      <c r="AR9" s="1">
        <f t="shared" si="38"/>
        <v>3</v>
      </c>
      <c r="AS9" s="1">
        <f t="shared" si="39"/>
        <v>1</v>
      </c>
      <c r="AT9" s="1">
        <f t="shared" si="40"/>
        <v>2</v>
      </c>
      <c r="AU9" s="1">
        <f t="shared" si="4"/>
        <v>3</v>
      </c>
      <c r="AV9" s="1">
        <f t="shared" si="41"/>
        <v>9</v>
      </c>
      <c r="AW9" s="1">
        <f t="shared" si="5"/>
        <v>2</v>
      </c>
      <c r="AX9" s="38">
        <f t="shared" si="42"/>
        <v>3</v>
      </c>
      <c r="AY9" s="1">
        <f t="shared" si="43"/>
        <v>3</v>
      </c>
      <c r="AZ9" s="1">
        <f t="shared" si="44"/>
        <v>3</v>
      </c>
      <c r="BA9" s="1">
        <f t="shared" si="45"/>
        <v>3</v>
      </c>
      <c r="BB9" s="1">
        <f t="shared" si="46"/>
        <v>3</v>
      </c>
      <c r="BC9" s="1">
        <f t="shared" si="47"/>
        <v>3</v>
      </c>
      <c r="BD9" s="1">
        <v>2</v>
      </c>
      <c r="BE9" s="1">
        <v>2</v>
      </c>
      <c r="BF9" s="1">
        <v>2</v>
      </c>
      <c r="BG9" s="1">
        <f t="shared" si="48"/>
        <v>3</v>
      </c>
      <c r="BH9" s="1">
        <f t="shared" si="49"/>
        <v>3</v>
      </c>
      <c r="BI9" s="1">
        <f t="shared" si="50"/>
        <v>3</v>
      </c>
      <c r="BJ9" s="1">
        <v>3</v>
      </c>
      <c r="BK9" s="1">
        <v>1</v>
      </c>
      <c r="BL9" s="1">
        <v>1</v>
      </c>
      <c r="BM9" s="1">
        <v>2</v>
      </c>
      <c r="BN9" s="1">
        <v>2</v>
      </c>
      <c r="BO9" s="1">
        <v>2</v>
      </c>
      <c r="BP9" s="1">
        <v>3</v>
      </c>
      <c r="BQ9" s="1">
        <v>2</v>
      </c>
      <c r="BR9" s="1">
        <v>2</v>
      </c>
      <c r="BS9" s="1">
        <v>2</v>
      </c>
      <c r="BT9" s="1">
        <v>2</v>
      </c>
      <c r="BU9" s="1">
        <v>2</v>
      </c>
      <c r="BV9" s="1">
        <v>2</v>
      </c>
      <c r="BW9" s="1">
        <v>2</v>
      </c>
      <c r="BX9" s="1">
        <v>2</v>
      </c>
      <c r="BY9" s="1">
        <v>1</v>
      </c>
      <c r="BZ9" s="1">
        <v>2</v>
      </c>
      <c r="CA9" s="1">
        <v>2</v>
      </c>
      <c r="CB9" s="1">
        <v>3</v>
      </c>
      <c r="CC9" s="1">
        <v>2</v>
      </c>
      <c r="CD9" s="1">
        <v>2</v>
      </c>
      <c r="CE9" s="1">
        <v>1</v>
      </c>
      <c r="CF9" s="1">
        <v>1</v>
      </c>
      <c r="CG9" s="1">
        <v>1</v>
      </c>
      <c r="CH9" s="1">
        <v>1</v>
      </c>
      <c r="CI9" s="1">
        <v>3</v>
      </c>
      <c r="CJ9" s="1">
        <f t="shared" si="51"/>
        <v>6</v>
      </c>
      <c r="CK9" s="1">
        <f t="shared" si="52"/>
        <v>3</v>
      </c>
      <c r="CL9" s="1">
        <f t="shared" si="53"/>
        <v>5</v>
      </c>
      <c r="CM9" s="1">
        <f t="shared" si="7"/>
        <v>2</v>
      </c>
      <c r="CN9" s="1">
        <f t="shared" si="8"/>
        <v>6</v>
      </c>
      <c r="CO9" s="1">
        <f t="shared" si="9"/>
        <v>3</v>
      </c>
      <c r="CP9" s="1">
        <f t="shared" si="54"/>
        <v>7</v>
      </c>
      <c r="CQ9" s="1">
        <f t="shared" si="10"/>
        <v>3</v>
      </c>
      <c r="CR9" s="1">
        <f t="shared" si="11"/>
        <v>12</v>
      </c>
      <c r="CS9" s="1">
        <f t="shared" si="12"/>
        <v>3</v>
      </c>
      <c r="CT9" s="1">
        <f t="shared" si="55"/>
        <v>19</v>
      </c>
      <c r="CU9" s="1">
        <f t="shared" si="13"/>
        <v>3</v>
      </c>
      <c r="CV9" s="1">
        <v>2</v>
      </c>
      <c r="CW9" s="1">
        <v>2</v>
      </c>
      <c r="CX9" s="1">
        <v>2</v>
      </c>
      <c r="CY9" s="1">
        <v>2</v>
      </c>
      <c r="CZ9" s="1">
        <v>2</v>
      </c>
      <c r="DA9" s="1">
        <v>2</v>
      </c>
      <c r="DB9" s="1">
        <v>2</v>
      </c>
      <c r="DC9" s="1">
        <v>2</v>
      </c>
      <c r="DD9" s="1">
        <v>2</v>
      </c>
      <c r="DE9" s="1">
        <v>2</v>
      </c>
      <c r="DF9" s="1">
        <v>2</v>
      </c>
      <c r="DG9" s="1">
        <f t="shared" si="56"/>
        <v>9</v>
      </c>
      <c r="DH9" s="1">
        <f t="shared" si="14"/>
        <v>2</v>
      </c>
      <c r="DI9" s="1">
        <f t="shared" si="57"/>
        <v>9</v>
      </c>
      <c r="DJ9" s="1">
        <f t="shared" si="15"/>
        <v>3</v>
      </c>
      <c r="DK9" s="1">
        <f t="shared" si="58"/>
        <v>9</v>
      </c>
      <c r="DL9" s="1">
        <f t="shared" si="59"/>
        <v>3</v>
      </c>
      <c r="DM9" s="1">
        <f t="shared" si="60"/>
        <v>6</v>
      </c>
      <c r="DN9" s="1">
        <f t="shared" si="16"/>
        <v>3</v>
      </c>
      <c r="DO9" s="1">
        <f t="shared" si="61"/>
        <v>17</v>
      </c>
      <c r="DP9" s="1">
        <f t="shared" si="62"/>
        <v>23</v>
      </c>
      <c r="DQ9" s="1">
        <f t="shared" si="17"/>
        <v>8</v>
      </c>
      <c r="DR9" s="23" t="str">
        <f t="shared" si="63"/>
        <v>低</v>
      </c>
      <c r="DS9" s="23" t="str">
        <f t="shared" si="64"/>
        <v/>
      </c>
      <c r="DT9" s="32">
        <v>0.45</v>
      </c>
      <c r="DU9" s="32">
        <v>195.3</v>
      </c>
      <c r="DV9" s="32">
        <v>0.92</v>
      </c>
      <c r="DW9" s="32">
        <v>46</v>
      </c>
      <c r="DX9" s="30" t="s">
        <v>60</v>
      </c>
    </row>
    <row r="10" spans="1:128" ht="15.75" customHeight="1">
      <c r="A10" s="1">
        <v>361</v>
      </c>
      <c r="B10" s="18" t="s">
        <v>82</v>
      </c>
      <c r="C10" s="29">
        <v>35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2</v>
      </c>
      <c r="J10" s="1">
        <v>3</v>
      </c>
      <c r="K10" s="1">
        <v>2</v>
      </c>
      <c r="L10" s="1">
        <v>2</v>
      </c>
      <c r="M10" s="1">
        <v>2</v>
      </c>
      <c r="N10" s="1">
        <v>4</v>
      </c>
      <c r="O10" s="1">
        <v>1</v>
      </c>
      <c r="P10" s="1">
        <v>3</v>
      </c>
      <c r="Q10" s="1">
        <v>3</v>
      </c>
      <c r="R10" s="1">
        <v>2</v>
      </c>
      <c r="S10" s="1">
        <v>2</v>
      </c>
      <c r="T10" s="1">
        <v>1</v>
      </c>
      <c r="U10" s="1">
        <f t="shared" si="18"/>
        <v>4</v>
      </c>
      <c r="V10" s="1">
        <f t="shared" si="19"/>
        <v>4</v>
      </c>
      <c r="W10" s="1">
        <f t="shared" si="20"/>
        <v>4</v>
      </c>
      <c r="X10" s="1">
        <f t="shared" si="21"/>
        <v>4</v>
      </c>
      <c r="Y10" s="1">
        <f t="shared" si="22"/>
        <v>4</v>
      </c>
      <c r="Z10" s="1">
        <f t="shared" si="23"/>
        <v>3</v>
      </c>
      <c r="AA10" s="1">
        <f t="shared" si="24"/>
        <v>2</v>
      </c>
      <c r="AB10" s="1">
        <f t="shared" si="25"/>
        <v>3</v>
      </c>
      <c r="AC10" s="1">
        <f t="shared" si="26"/>
        <v>2</v>
      </c>
      <c r="AD10" s="1">
        <f t="shared" si="27"/>
        <v>2</v>
      </c>
      <c r="AE10" s="1">
        <f t="shared" si="28"/>
        <v>1</v>
      </c>
      <c r="AF10" s="1">
        <f t="shared" si="29"/>
        <v>4</v>
      </c>
      <c r="AG10" s="1">
        <f t="shared" si="30"/>
        <v>2</v>
      </c>
      <c r="AH10" s="1">
        <f t="shared" si="31"/>
        <v>3</v>
      </c>
      <c r="AI10" s="1">
        <f t="shared" si="32"/>
        <v>3</v>
      </c>
      <c r="AJ10" s="1">
        <f t="shared" si="33"/>
        <v>2</v>
      </c>
      <c r="AK10" s="1">
        <f t="shared" si="34"/>
        <v>1</v>
      </c>
      <c r="AL10" s="1">
        <f t="shared" si="65"/>
        <v>12</v>
      </c>
      <c r="AM10" s="1">
        <f t="shared" si="2"/>
        <v>5</v>
      </c>
      <c r="AN10" s="1">
        <f t="shared" si="35"/>
        <v>11</v>
      </c>
      <c r="AO10" s="1">
        <f t="shared" si="3"/>
        <v>4</v>
      </c>
      <c r="AP10" s="1">
        <f t="shared" si="36"/>
        <v>2</v>
      </c>
      <c r="AQ10" s="1">
        <f t="shared" si="37"/>
        <v>3</v>
      </c>
      <c r="AR10" s="1">
        <f t="shared" si="38"/>
        <v>9</v>
      </c>
      <c r="AS10" s="1">
        <f t="shared" si="39"/>
        <v>4</v>
      </c>
      <c r="AT10" s="1">
        <f t="shared" si="40"/>
        <v>3</v>
      </c>
      <c r="AU10" s="1">
        <f t="shared" si="4"/>
        <v>4</v>
      </c>
      <c r="AV10" s="1">
        <f t="shared" si="41"/>
        <v>9</v>
      </c>
      <c r="AW10" s="1">
        <f t="shared" si="5"/>
        <v>2</v>
      </c>
      <c r="AX10" s="38">
        <f t="shared" si="42"/>
        <v>4</v>
      </c>
      <c r="AY10" s="1">
        <f t="shared" si="43"/>
        <v>2</v>
      </c>
      <c r="AZ10" s="1">
        <f t="shared" si="44"/>
        <v>3</v>
      </c>
      <c r="BA10" s="1">
        <f t="shared" si="45"/>
        <v>3</v>
      </c>
      <c r="BB10" s="1">
        <f t="shared" si="46"/>
        <v>4</v>
      </c>
      <c r="BC10" s="1">
        <f t="shared" si="47"/>
        <v>1</v>
      </c>
      <c r="BD10" s="1">
        <v>2</v>
      </c>
      <c r="BE10" s="1">
        <v>2</v>
      </c>
      <c r="BF10" s="1">
        <v>2</v>
      </c>
      <c r="BG10" s="1">
        <f t="shared" si="48"/>
        <v>3</v>
      </c>
      <c r="BH10" s="1">
        <f t="shared" si="49"/>
        <v>3</v>
      </c>
      <c r="BI10" s="1">
        <f t="shared" si="50"/>
        <v>3</v>
      </c>
      <c r="BJ10" s="1">
        <v>2</v>
      </c>
      <c r="BK10" s="1">
        <v>2</v>
      </c>
      <c r="BL10" s="1">
        <v>2</v>
      </c>
      <c r="BM10" s="1">
        <v>3</v>
      </c>
      <c r="BN10" s="1">
        <v>3</v>
      </c>
      <c r="BO10" s="1">
        <v>3</v>
      </c>
      <c r="BP10" s="1">
        <v>2</v>
      </c>
      <c r="BQ10" s="1">
        <v>2</v>
      </c>
      <c r="BR10" s="1">
        <v>2</v>
      </c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1</v>
      </c>
      <c r="BY10" s="1">
        <v>1</v>
      </c>
      <c r="BZ10" s="1">
        <v>2</v>
      </c>
      <c r="CA10" s="1">
        <v>2</v>
      </c>
      <c r="CB10" s="1">
        <v>2</v>
      </c>
      <c r="CC10" s="1">
        <v>2</v>
      </c>
      <c r="CD10" s="1">
        <v>3</v>
      </c>
      <c r="CE10" s="1">
        <v>2</v>
      </c>
      <c r="CF10" s="1">
        <v>2</v>
      </c>
      <c r="CG10" s="1">
        <v>2</v>
      </c>
      <c r="CH10" s="1">
        <v>2</v>
      </c>
      <c r="CI10" s="1">
        <v>3</v>
      </c>
      <c r="CJ10" s="1">
        <f t="shared" si="51"/>
        <v>6</v>
      </c>
      <c r="CK10" s="1">
        <f t="shared" si="52"/>
        <v>3</v>
      </c>
      <c r="CL10" s="1">
        <f t="shared" si="53"/>
        <v>6</v>
      </c>
      <c r="CM10" s="1">
        <f t="shared" si="7"/>
        <v>3</v>
      </c>
      <c r="CN10" s="1">
        <f t="shared" si="8"/>
        <v>9</v>
      </c>
      <c r="CO10" s="1">
        <f t="shared" si="9"/>
        <v>4</v>
      </c>
      <c r="CP10" s="1">
        <f t="shared" si="54"/>
        <v>6</v>
      </c>
      <c r="CQ10" s="1">
        <f t="shared" si="10"/>
        <v>3</v>
      </c>
      <c r="CR10" s="1">
        <f t="shared" si="11"/>
        <v>11</v>
      </c>
      <c r="CS10" s="1">
        <f t="shared" si="12"/>
        <v>3</v>
      </c>
      <c r="CT10" s="1">
        <f t="shared" si="55"/>
        <v>23</v>
      </c>
      <c r="CU10" s="1">
        <f t="shared" si="13"/>
        <v>4</v>
      </c>
      <c r="CV10" s="1">
        <v>2</v>
      </c>
      <c r="CW10" s="1">
        <v>2</v>
      </c>
      <c r="CX10" s="1">
        <v>2</v>
      </c>
      <c r="CY10" s="1">
        <v>3</v>
      </c>
      <c r="CZ10" s="1">
        <v>3</v>
      </c>
      <c r="DA10" s="1">
        <v>2</v>
      </c>
      <c r="DB10" s="1">
        <v>3</v>
      </c>
      <c r="DC10" s="1">
        <v>3</v>
      </c>
      <c r="DD10" s="1">
        <v>2</v>
      </c>
      <c r="DE10" s="1">
        <v>1</v>
      </c>
      <c r="DF10" s="1">
        <v>3</v>
      </c>
      <c r="DG10" s="1">
        <f t="shared" si="56"/>
        <v>7</v>
      </c>
      <c r="DH10" s="1">
        <f t="shared" si="14"/>
        <v>3</v>
      </c>
      <c r="DI10" s="1">
        <f t="shared" si="57"/>
        <v>7</v>
      </c>
      <c r="DJ10" s="1">
        <f t="shared" si="15"/>
        <v>4</v>
      </c>
      <c r="DK10" s="1">
        <f t="shared" si="58"/>
        <v>9</v>
      </c>
      <c r="DL10" s="1">
        <f t="shared" si="59"/>
        <v>3</v>
      </c>
      <c r="DM10" s="1">
        <f t="shared" si="60"/>
        <v>6</v>
      </c>
      <c r="DN10" s="1">
        <f t="shared" si="16"/>
        <v>3</v>
      </c>
      <c r="DO10" s="1">
        <f t="shared" si="61"/>
        <v>20</v>
      </c>
      <c r="DP10" s="1">
        <f t="shared" si="62"/>
        <v>28</v>
      </c>
      <c r="DQ10" s="1">
        <f t="shared" si="17"/>
        <v>10</v>
      </c>
      <c r="DR10" s="23" t="str">
        <f t="shared" si="63"/>
        <v>中①</v>
      </c>
      <c r="DS10" s="23" t="str">
        <f t="shared" si="64"/>
        <v/>
      </c>
      <c r="DT10" s="32">
        <v>0.16700000000000001</v>
      </c>
      <c r="DU10" s="32">
        <v>106.18</v>
      </c>
      <c r="DV10" s="32">
        <v>0.63</v>
      </c>
      <c r="DW10" s="32">
        <v>32</v>
      </c>
      <c r="DX10" s="30" t="s">
        <v>60</v>
      </c>
    </row>
    <row r="11" spans="1:128" ht="15.75" customHeight="1">
      <c r="A11" s="1">
        <v>414</v>
      </c>
      <c r="B11" s="18" t="s">
        <v>82</v>
      </c>
      <c r="C11" s="29">
        <v>40</v>
      </c>
      <c r="D11" s="1">
        <v>1</v>
      </c>
      <c r="E11" s="1">
        <v>1</v>
      </c>
      <c r="F11" s="1">
        <v>1</v>
      </c>
      <c r="G11" s="1">
        <v>2</v>
      </c>
      <c r="H11" s="1">
        <v>2</v>
      </c>
      <c r="I11" s="1">
        <v>1</v>
      </c>
      <c r="J11" s="1">
        <v>3</v>
      </c>
      <c r="K11" s="1">
        <v>3</v>
      </c>
      <c r="L11" s="1">
        <v>2</v>
      </c>
      <c r="M11" s="1">
        <v>2</v>
      </c>
      <c r="N11" s="1">
        <v>3</v>
      </c>
      <c r="O11" s="1">
        <v>1</v>
      </c>
      <c r="P11" s="1">
        <v>2</v>
      </c>
      <c r="Q11" s="1">
        <v>2</v>
      </c>
      <c r="R11" s="1">
        <v>4</v>
      </c>
      <c r="S11" s="1">
        <v>2</v>
      </c>
      <c r="T11" s="1">
        <v>2</v>
      </c>
      <c r="U11" s="1">
        <f t="shared" si="18"/>
        <v>4</v>
      </c>
      <c r="V11" s="1">
        <f t="shared" si="19"/>
        <v>4</v>
      </c>
      <c r="W11" s="1">
        <f t="shared" si="20"/>
        <v>4</v>
      </c>
      <c r="X11" s="1">
        <f t="shared" si="21"/>
        <v>3</v>
      </c>
      <c r="Y11" s="1">
        <f t="shared" si="22"/>
        <v>3</v>
      </c>
      <c r="Z11" s="1">
        <f t="shared" si="23"/>
        <v>4</v>
      </c>
      <c r="AA11" s="1">
        <f t="shared" si="24"/>
        <v>2</v>
      </c>
      <c r="AB11" s="1">
        <f t="shared" si="25"/>
        <v>2</v>
      </c>
      <c r="AC11" s="1">
        <f t="shared" si="26"/>
        <v>2</v>
      </c>
      <c r="AD11" s="1">
        <f t="shared" si="27"/>
        <v>2</v>
      </c>
      <c r="AE11" s="1">
        <f t="shared" si="28"/>
        <v>2</v>
      </c>
      <c r="AF11" s="1">
        <f t="shared" si="29"/>
        <v>4</v>
      </c>
      <c r="AG11" s="1">
        <f t="shared" si="30"/>
        <v>3</v>
      </c>
      <c r="AH11" s="1">
        <f t="shared" si="31"/>
        <v>2</v>
      </c>
      <c r="AI11" s="1">
        <f t="shared" si="32"/>
        <v>1</v>
      </c>
      <c r="AJ11" s="1">
        <f t="shared" si="33"/>
        <v>2</v>
      </c>
      <c r="AK11" s="1">
        <f t="shared" si="34"/>
        <v>2</v>
      </c>
      <c r="AL11" s="1">
        <f t="shared" si="65"/>
        <v>12</v>
      </c>
      <c r="AM11" s="1">
        <f t="shared" si="2"/>
        <v>5</v>
      </c>
      <c r="AN11" s="1">
        <f t="shared" si="35"/>
        <v>10</v>
      </c>
      <c r="AO11" s="1">
        <f t="shared" si="3"/>
        <v>4</v>
      </c>
      <c r="AP11" s="1">
        <f t="shared" si="36"/>
        <v>2</v>
      </c>
      <c r="AQ11" s="1">
        <f t="shared" si="37"/>
        <v>3</v>
      </c>
      <c r="AR11" s="1">
        <f t="shared" si="38"/>
        <v>9</v>
      </c>
      <c r="AS11" s="1">
        <f t="shared" si="39"/>
        <v>4</v>
      </c>
      <c r="AT11" s="1">
        <f t="shared" si="40"/>
        <v>1</v>
      </c>
      <c r="AU11" s="1">
        <f t="shared" si="4"/>
        <v>2</v>
      </c>
      <c r="AV11" s="1">
        <f t="shared" si="41"/>
        <v>8</v>
      </c>
      <c r="AW11" s="1">
        <f t="shared" si="5"/>
        <v>3</v>
      </c>
      <c r="AX11" s="38">
        <f t="shared" si="42"/>
        <v>3</v>
      </c>
      <c r="AY11" s="1">
        <f t="shared" si="43"/>
        <v>3</v>
      </c>
      <c r="AZ11" s="1">
        <f t="shared" si="44"/>
        <v>3</v>
      </c>
      <c r="BA11" s="1">
        <f t="shared" si="45"/>
        <v>3</v>
      </c>
      <c r="BB11" s="1">
        <f t="shared" si="46"/>
        <v>3</v>
      </c>
      <c r="BC11" s="1">
        <f t="shared" si="47"/>
        <v>3</v>
      </c>
      <c r="BD11" s="1">
        <v>2</v>
      </c>
      <c r="BE11" s="1">
        <v>2</v>
      </c>
      <c r="BF11" s="1">
        <v>2</v>
      </c>
      <c r="BG11" s="1">
        <f t="shared" si="48"/>
        <v>3</v>
      </c>
      <c r="BH11" s="1">
        <f t="shared" si="49"/>
        <v>3</v>
      </c>
      <c r="BI11" s="1">
        <f t="shared" si="50"/>
        <v>3</v>
      </c>
      <c r="BJ11" s="1">
        <v>2</v>
      </c>
      <c r="BK11" s="1">
        <v>2</v>
      </c>
      <c r="BL11" s="1">
        <v>3</v>
      </c>
      <c r="BM11" s="1">
        <v>3</v>
      </c>
      <c r="BN11" s="1">
        <v>3</v>
      </c>
      <c r="BO11" s="1">
        <v>1</v>
      </c>
      <c r="BP11" s="1">
        <v>3</v>
      </c>
      <c r="BQ11" s="1">
        <v>2</v>
      </c>
      <c r="BR11" s="1">
        <v>1</v>
      </c>
      <c r="BS11" s="1">
        <v>2</v>
      </c>
      <c r="BT11" s="1">
        <v>1</v>
      </c>
      <c r="BU11" s="1">
        <v>1</v>
      </c>
      <c r="BV11" s="1">
        <v>2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2</v>
      </c>
      <c r="CC11" s="1">
        <v>1</v>
      </c>
      <c r="CD11" s="1">
        <v>3</v>
      </c>
      <c r="CE11" s="1">
        <v>1</v>
      </c>
      <c r="CF11" s="1">
        <v>2</v>
      </c>
      <c r="CG11" s="1">
        <v>1</v>
      </c>
      <c r="CH11" s="1">
        <v>3</v>
      </c>
      <c r="CI11" s="1">
        <v>1</v>
      </c>
      <c r="CJ11" s="1">
        <f t="shared" si="51"/>
        <v>6</v>
      </c>
      <c r="CK11" s="1">
        <f t="shared" si="52"/>
        <v>3</v>
      </c>
      <c r="CL11" s="1">
        <f t="shared" si="53"/>
        <v>7</v>
      </c>
      <c r="CM11" s="1">
        <f t="shared" si="7"/>
        <v>3</v>
      </c>
      <c r="CN11" s="1">
        <f t="shared" si="8"/>
        <v>7</v>
      </c>
      <c r="CO11" s="1">
        <f t="shared" si="9"/>
        <v>3</v>
      </c>
      <c r="CP11" s="1">
        <f t="shared" si="54"/>
        <v>6</v>
      </c>
      <c r="CQ11" s="1">
        <f t="shared" si="10"/>
        <v>3</v>
      </c>
      <c r="CR11" s="1">
        <f t="shared" si="11"/>
        <v>8</v>
      </c>
      <c r="CS11" s="1">
        <f t="shared" si="12"/>
        <v>2</v>
      </c>
      <c r="CT11" s="1">
        <f t="shared" si="55"/>
        <v>17</v>
      </c>
      <c r="CU11" s="1">
        <f t="shared" si="13"/>
        <v>3</v>
      </c>
      <c r="CV11" s="1">
        <v>2</v>
      </c>
      <c r="CW11" s="1">
        <v>3</v>
      </c>
      <c r="CX11" s="1">
        <v>1</v>
      </c>
      <c r="CY11" s="1">
        <v>2</v>
      </c>
      <c r="CZ11" s="1">
        <v>3</v>
      </c>
      <c r="DA11" s="1">
        <v>1</v>
      </c>
      <c r="DB11" s="1">
        <v>1</v>
      </c>
      <c r="DC11" s="1">
        <v>3</v>
      </c>
      <c r="DD11" s="1">
        <v>1</v>
      </c>
      <c r="DE11" s="1">
        <v>2</v>
      </c>
      <c r="DF11" s="1">
        <v>2</v>
      </c>
      <c r="DG11" s="1">
        <f t="shared" si="56"/>
        <v>10</v>
      </c>
      <c r="DH11" s="1">
        <f t="shared" si="14"/>
        <v>2</v>
      </c>
      <c r="DI11" s="1">
        <f t="shared" si="57"/>
        <v>6</v>
      </c>
      <c r="DJ11" s="1">
        <f t="shared" si="15"/>
        <v>4</v>
      </c>
      <c r="DK11" s="1">
        <f t="shared" si="58"/>
        <v>12</v>
      </c>
      <c r="DL11" s="1">
        <f t="shared" si="59"/>
        <v>1</v>
      </c>
      <c r="DM11" s="1">
        <f t="shared" si="60"/>
        <v>6</v>
      </c>
      <c r="DN11" s="1">
        <f t="shared" si="16"/>
        <v>3</v>
      </c>
      <c r="DO11" s="1">
        <f t="shared" si="61"/>
        <v>17</v>
      </c>
      <c r="DP11" s="1">
        <f t="shared" si="62"/>
        <v>30</v>
      </c>
      <c r="DQ11" s="1">
        <f t="shared" si="17"/>
        <v>7</v>
      </c>
      <c r="DR11" s="23" t="str">
        <f t="shared" si="63"/>
        <v>低</v>
      </c>
      <c r="DS11" s="23" t="str">
        <f t="shared" si="64"/>
        <v/>
      </c>
      <c r="DT11" s="32">
        <v>0.11700000000000001</v>
      </c>
      <c r="DU11" s="32">
        <v>46.4</v>
      </c>
      <c r="DV11" s="32">
        <v>1.01</v>
      </c>
      <c r="DW11" s="32">
        <v>51</v>
      </c>
      <c r="DX11" s="30" t="s">
        <v>60</v>
      </c>
    </row>
    <row r="12" spans="1:128" ht="15.75" customHeight="1">
      <c r="A12" s="1">
        <v>415</v>
      </c>
      <c r="B12" s="18" t="s">
        <v>82</v>
      </c>
      <c r="C12" s="29">
        <v>25</v>
      </c>
      <c r="D12" s="1">
        <v>2</v>
      </c>
      <c r="E12" s="1">
        <v>2</v>
      </c>
      <c r="F12" s="1">
        <v>1</v>
      </c>
      <c r="G12" s="1">
        <v>1</v>
      </c>
      <c r="H12" s="1">
        <v>2</v>
      </c>
      <c r="I12" s="1">
        <v>2</v>
      </c>
      <c r="J12" s="1">
        <v>2</v>
      </c>
      <c r="K12" s="1">
        <v>1</v>
      </c>
      <c r="L12" s="1">
        <v>1</v>
      </c>
      <c r="M12" s="1">
        <v>2</v>
      </c>
      <c r="N12" s="1">
        <v>3</v>
      </c>
      <c r="O12" s="1">
        <v>2</v>
      </c>
      <c r="P12" s="1">
        <v>4</v>
      </c>
      <c r="Q12" s="1">
        <v>1</v>
      </c>
      <c r="R12" s="1">
        <v>4</v>
      </c>
      <c r="S12" s="1">
        <v>2</v>
      </c>
      <c r="T12" s="1">
        <v>2</v>
      </c>
      <c r="U12" s="1">
        <f t="shared" si="18"/>
        <v>3</v>
      </c>
      <c r="V12" s="1">
        <f t="shared" si="19"/>
        <v>3</v>
      </c>
      <c r="W12" s="1">
        <f t="shared" si="20"/>
        <v>4</v>
      </c>
      <c r="X12" s="1">
        <f t="shared" si="21"/>
        <v>4</v>
      </c>
      <c r="Y12" s="1">
        <f t="shared" si="22"/>
        <v>3</v>
      </c>
      <c r="Z12" s="1">
        <f t="shared" si="23"/>
        <v>3</v>
      </c>
      <c r="AA12" s="1">
        <f t="shared" si="24"/>
        <v>3</v>
      </c>
      <c r="AB12" s="1">
        <f t="shared" si="25"/>
        <v>4</v>
      </c>
      <c r="AC12" s="1">
        <f t="shared" si="26"/>
        <v>1</v>
      </c>
      <c r="AD12" s="1">
        <f t="shared" si="27"/>
        <v>2</v>
      </c>
      <c r="AE12" s="1">
        <f t="shared" si="28"/>
        <v>2</v>
      </c>
      <c r="AF12" s="1">
        <f t="shared" si="29"/>
        <v>3</v>
      </c>
      <c r="AG12" s="1">
        <f t="shared" si="30"/>
        <v>1</v>
      </c>
      <c r="AH12" s="1">
        <f t="shared" si="31"/>
        <v>1</v>
      </c>
      <c r="AI12" s="1">
        <f t="shared" si="32"/>
        <v>1</v>
      </c>
      <c r="AJ12" s="1">
        <f t="shared" si="33"/>
        <v>2</v>
      </c>
      <c r="AK12" s="1">
        <f t="shared" si="34"/>
        <v>2</v>
      </c>
      <c r="AL12" s="1">
        <f t="shared" si="65"/>
        <v>10</v>
      </c>
      <c r="AM12" s="1">
        <f t="shared" si="2"/>
        <v>4</v>
      </c>
      <c r="AN12" s="1">
        <f t="shared" si="35"/>
        <v>10</v>
      </c>
      <c r="AO12" s="1">
        <f t="shared" si="3"/>
        <v>4</v>
      </c>
      <c r="AP12" s="1">
        <f t="shared" si="36"/>
        <v>3</v>
      </c>
      <c r="AQ12" s="1">
        <f t="shared" si="37"/>
        <v>4</v>
      </c>
      <c r="AR12" s="1">
        <f t="shared" si="38"/>
        <v>5</v>
      </c>
      <c r="AS12" s="1">
        <f t="shared" si="39"/>
        <v>2</v>
      </c>
      <c r="AT12" s="1">
        <f t="shared" si="40"/>
        <v>1</v>
      </c>
      <c r="AU12" s="1">
        <f t="shared" si="4"/>
        <v>2</v>
      </c>
      <c r="AV12" s="1">
        <f t="shared" si="41"/>
        <v>11</v>
      </c>
      <c r="AW12" s="1">
        <f t="shared" si="5"/>
        <v>1</v>
      </c>
      <c r="AX12" s="38">
        <f t="shared" si="42"/>
        <v>3</v>
      </c>
      <c r="AY12" s="1">
        <f t="shared" si="43"/>
        <v>3</v>
      </c>
      <c r="AZ12" s="1">
        <f t="shared" si="44"/>
        <v>3</v>
      </c>
      <c r="BA12" s="1">
        <f t="shared" si="45"/>
        <v>3</v>
      </c>
      <c r="BB12" s="1">
        <f t="shared" si="46"/>
        <v>3</v>
      </c>
      <c r="BC12" s="1">
        <f t="shared" si="47"/>
        <v>3</v>
      </c>
      <c r="BD12" s="1">
        <v>3</v>
      </c>
      <c r="BE12" s="1">
        <v>3</v>
      </c>
      <c r="BF12" s="1">
        <v>3</v>
      </c>
      <c r="BG12" s="1">
        <f t="shared" si="48"/>
        <v>2</v>
      </c>
      <c r="BH12" s="1">
        <f t="shared" si="49"/>
        <v>2</v>
      </c>
      <c r="BI12" s="1">
        <f t="shared" si="50"/>
        <v>2</v>
      </c>
      <c r="BJ12" s="1">
        <v>2</v>
      </c>
      <c r="BK12" s="1">
        <v>2</v>
      </c>
      <c r="BL12" s="1">
        <v>1</v>
      </c>
      <c r="BM12" s="1">
        <v>3</v>
      </c>
      <c r="BN12" s="1">
        <v>2</v>
      </c>
      <c r="BO12" s="1">
        <v>1</v>
      </c>
      <c r="BP12" s="1">
        <v>1</v>
      </c>
      <c r="BQ12" s="1">
        <v>3</v>
      </c>
      <c r="BR12" s="1">
        <v>3</v>
      </c>
      <c r="BS12" s="1">
        <v>1</v>
      </c>
      <c r="BT12" s="1">
        <v>1</v>
      </c>
      <c r="BU12" s="1">
        <v>2</v>
      </c>
      <c r="BV12" s="1">
        <v>2</v>
      </c>
      <c r="BW12" s="1">
        <v>2</v>
      </c>
      <c r="BX12" s="1">
        <v>1</v>
      </c>
      <c r="BY12" s="1">
        <v>1</v>
      </c>
      <c r="BZ12" s="1">
        <v>1</v>
      </c>
      <c r="CA12" s="1">
        <v>1</v>
      </c>
      <c r="CB12" s="1">
        <v>4</v>
      </c>
      <c r="CC12" s="1">
        <v>2</v>
      </c>
      <c r="CD12" s="1">
        <v>3</v>
      </c>
      <c r="CE12" s="1">
        <v>1</v>
      </c>
      <c r="CF12" s="1">
        <v>1</v>
      </c>
      <c r="CG12" s="1">
        <v>1</v>
      </c>
      <c r="CH12" s="1">
        <v>1</v>
      </c>
      <c r="CI12" s="1">
        <v>2</v>
      </c>
      <c r="CJ12" s="1">
        <f t="shared" si="51"/>
        <v>9</v>
      </c>
      <c r="CK12" s="1">
        <f t="shared" si="52"/>
        <v>2</v>
      </c>
      <c r="CL12" s="1">
        <f t="shared" si="53"/>
        <v>5</v>
      </c>
      <c r="CM12" s="1">
        <f t="shared" si="7"/>
        <v>2</v>
      </c>
      <c r="CN12" s="1">
        <f t="shared" si="8"/>
        <v>6</v>
      </c>
      <c r="CO12" s="1">
        <f t="shared" si="9"/>
        <v>3</v>
      </c>
      <c r="CP12" s="1">
        <f t="shared" si="54"/>
        <v>7</v>
      </c>
      <c r="CQ12" s="1">
        <f t="shared" si="10"/>
        <v>3</v>
      </c>
      <c r="CR12" s="1">
        <f t="shared" si="11"/>
        <v>9</v>
      </c>
      <c r="CS12" s="1">
        <f t="shared" si="12"/>
        <v>3</v>
      </c>
      <c r="CT12" s="1">
        <f t="shared" si="55"/>
        <v>18</v>
      </c>
      <c r="CU12" s="1">
        <f t="shared" si="13"/>
        <v>3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2</v>
      </c>
      <c r="DF12" s="1">
        <v>2</v>
      </c>
      <c r="DG12" s="1">
        <f t="shared" si="56"/>
        <v>12</v>
      </c>
      <c r="DH12" s="1">
        <f t="shared" si="14"/>
        <v>1</v>
      </c>
      <c r="DI12" s="1">
        <f t="shared" si="57"/>
        <v>12</v>
      </c>
      <c r="DJ12" s="1">
        <f t="shared" si="15"/>
        <v>2</v>
      </c>
      <c r="DK12" s="1">
        <f t="shared" si="58"/>
        <v>12</v>
      </c>
      <c r="DL12" s="1">
        <f t="shared" si="59"/>
        <v>1</v>
      </c>
      <c r="DM12" s="1">
        <f t="shared" si="60"/>
        <v>6</v>
      </c>
      <c r="DN12" s="1">
        <f t="shared" si="16"/>
        <v>3</v>
      </c>
      <c r="DO12" s="1">
        <f t="shared" si="61"/>
        <v>16</v>
      </c>
      <c r="DP12" s="1">
        <f t="shared" si="62"/>
        <v>26</v>
      </c>
      <c r="DQ12" s="1">
        <f t="shared" si="17"/>
        <v>4</v>
      </c>
      <c r="DR12" s="23" t="str">
        <f t="shared" si="63"/>
        <v>低</v>
      </c>
      <c r="DS12" s="23" t="str">
        <f t="shared" si="64"/>
        <v/>
      </c>
      <c r="DT12" s="32">
        <v>0.73899999999999999</v>
      </c>
      <c r="DU12" s="32">
        <v>207.46</v>
      </c>
      <c r="DV12" s="32">
        <v>1.42</v>
      </c>
      <c r="DW12" s="32">
        <v>71</v>
      </c>
      <c r="DX12" s="30" t="s">
        <v>60</v>
      </c>
    </row>
    <row r="13" spans="1:128" ht="15.75" customHeight="1">
      <c r="A13" s="1">
        <v>418</v>
      </c>
      <c r="B13" s="18" t="s">
        <v>82</v>
      </c>
      <c r="C13" s="29">
        <v>43</v>
      </c>
      <c r="D13" s="1">
        <v>2</v>
      </c>
      <c r="E13" s="1">
        <v>4</v>
      </c>
      <c r="F13" s="1">
        <v>1</v>
      </c>
      <c r="G13" s="1">
        <v>2</v>
      </c>
      <c r="H13" s="1">
        <v>1</v>
      </c>
      <c r="I13" s="1">
        <v>4</v>
      </c>
      <c r="J13" s="1">
        <v>3</v>
      </c>
      <c r="K13" s="1">
        <v>1</v>
      </c>
      <c r="L13" s="1">
        <v>1</v>
      </c>
      <c r="M13" s="1">
        <v>1</v>
      </c>
      <c r="N13" s="1">
        <v>4</v>
      </c>
      <c r="O13" s="1">
        <v>2</v>
      </c>
      <c r="P13" s="1">
        <v>3</v>
      </c>
      <c r="Q13" s="1">
        <v>2</v>
      </c>
      <c r="R13" s="1">
        <v>3</v>
      </c>
      <c r="S13" s="1">
        <v>2</v>
      </c>
      <c r="T13" s="1">
        <v>1</v>
      </c>
      <c r="U13" s="1">
        <f t="shared" si="18"/>
        <v>3</v>
      </c>
      <c r="V13" s="1">
        <f t="shared" si="19"/>
        <v>1</v>
      </c>
      <c r="W13" s="1">
        <f t="shared" si="20"/>
        <v>4</v>
      </c>
      <c r="X13" s="1">
        <f t="shared" si="21"/>
        <v>3</v>
      </c>
      <c r="Y13" s="1">
        <f t="shared" si="22"/>
        <v>4</v>
      </c>
      <c r="Z13" s="1">
        <f t="shared" si="23"/>
        <v>1</v>
      </c>
      <c r="AA13" s="1">
        <f t="shared" si="24"/>
        <v>2</v>
      </c>
      <c r="AB13" s="1">
        <f t="shared" si="25"/>
        <v>4</v>
      </c>
      <c r="AC13" s="1">
        <f t="shared" si="26"/>
        <v>1</v>
      </c>
      <c r="AD13" s="1">
        <f t="shared" si="27"/>
        <v>1</v>
      </c>
      <c r="AE13" s="1">
        <f t="shared" si="28"/>
        <v>1</v>
      </c>
      <c r="AF13" s="1">
        <f t="shared" si="29"/>
        <v>3</v>
      </c>
      <c r="AG13" s="1">
        <f t="shared" si="30"/>
        <v>2</v>
      </c>
      <c r="AH13" s="1">
        <f t="shared" si="31"/>
        <v>2</v>
      </c>
      <c r="AI13" s="1">
        <f t="shared" si="32"/>
        <v>2</v>
      </c>
      <c r="AJ13" s="1">
        <f t="shared" si="33"/>
        <v>2</v>
      </c>
      <c r="AK13" s="1">
        <f t="shared" si="34"/>
        <v>1</v>
      </c>
      <c r="AL13" s="1">
        <f t="shared" si="65"/>
        <v>8</v>
      </c>
      <c r="AM13" s="1">
        <f t="shared" si="2"/>
        <v>3</v>
      </c>
      <c r="AN13" s="1">
        <f t="shared" si="35"/>
        <v>8</v>
      </c>
      <c r="AO13" s="1">
        <f t="shared" si="3"/>
        <v>3</v>
      </c>
      <c r="AP13" s="1">
        <f t="shared" si="36"/>
        <v>2</v>
      </c>
      <c r="AQ13" s="1">
        <f t="shared" si="37"/>
        <v>3</v>
      </c>
      <c r="AR13" s="1">
        <f t="shared" si="38"/>
        <v>7</v>
      </c>
      <c r="AS13" s="1">
        <f t="shared" si="39"/>
        <v>3</v>
      </c>
      <c r="AT13" s="1">
        <f t="shared" si="40"/>
        <v>2</v>
      </c>
      <c r="AU13" s="1">
        <f t="shared" si="4"/>
        <v>3</v>
      </c>
      <c r="AV13" s="1">
        <f t="shared" si="41"/>
        <v>12</v>
      </c>
      <c r="AW13" s="1">
        <f t="shared" si="5"/>
        <v>1</v>
      </c>
      <c r="AX13" s="1">
        <f t="shared" si="42"/>
        <v>4</v>
      </c>
      <c r="AY13" s="1">
        <f t="shared" si="43"/>
        <v>2</v>
      </c>
      <c r="AZ13" s="1">
        <f t="shared" si="44"/>
        <v>3</v>
      </c>
      <c r="BA13" s="1">
        <f t="shared" si="45"/>
        <v>3</v>
      </c>
      <c r="BB13" s="1">
        <f t="shared" si="46"/>
        <v>4</v>
      </c>
      <c r="BC13" s="1">
        <f t="shared" si="47"/>
        <v>1</v>
      </c>
      <c r="BD13" s="1">
        <v>3</v>
      </c>
      <c r="BE13" s="1">
        <v>3</v>
      </c>
      <c r="BF13" s="1">
        <v>3</v>
      </c>
      <c r="BG13" s="1">
        <f t="shared" si="48"/>
        <v>2</v>
      </c>
      <c r="BH13" s="1">
        <f t="shared" si="49"/>
        <v>2</v>
      </c>
      <c r="BI13" s="1">
        <f t="shared" si="50"/>
        <v>2</v>
      </c>
      <c r="BJ13" s="1">
        <v>2</v>
      </c>
      <c r="BK13" s="1">
        <v>2</v>
      </c>
      <c r="BL13" s="1">
        <v>1</v>
      </c>
      <c r="BM13" s="1">
        <v>2</v>
      </c>
      <c r="BN13" s="1">
        <v>2</v>
      </c>
      <c r="BO13" s="1">
        <v>2</v>
      </c>
      <c r="BP13" s="1">
        <v>3</v>
      </c>
      <c r="BQ13" s="1">
        <v>1</v>
      </c>
      <c r="BR13" s="1">
        <v>1</v>
      </c>
      <c r="BS13" s="1">
        <v>1</v>
      </c>
      <c r="BT13" s="1">
        <v>1</v>
      </c>
      <c r="BU13" s="1">
        <v>2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f t="shared" si="51"/>
        <v>9</v>
      </c>
      <c r="CK13" s="1">
        <f t="shared" si="52"/>
        <v>2</v>
      </c>
      <c r="CL13" s="1">
        <f t="shared" si="53"/>
        <v>5</v>
      </c>
      <c r="CM13" s="1">
        <f t="shared" si="7"/>
        <v>2</v>
      </c>
      <c r="CN13" s="1">
        <f t="shared" si="8"/>
        <v>6</v>
      </c>
      <c r="CO13" s="1">
        <f t="shared" si="9"/>
        <v>3</v>
      </c>
      <c r="CP13" s="1">
        <f t="shared" si="54"/>
        <v>5</v>
      </c>
      <c r="CQ13" s="1">
        <f t="shared" si="10"/>
        <v>3</v>
      </c>
      <c r="CR13" s="1">
        <f t="shared" si="11"/>
        <v>7</v>
      </c>
      <c r="CS13" s="1">
        <f t="shared" si="12"/>
        <v>2</v>
      </c>
      <c r="CT13" s="1">
        <f t="shared" si="55"/>
        <v>11</v>
      </c>
      <c r="CU13" s="1">
        <f t="shared" si="13"/>
        <v>1</v>
      </c>
      <c r="CV13" s="1">
        <v>2</v>
      </c>
      <c r="CW13" s="1">
        <v>1</v>
      </c>
      <c r="CX13" s="1">
        <v>1</v>
      </c>
      <c r="CY13" s="1">
        <v>3</v>
      </c>
      <c r="CZ13" s="1">
        <v>2</v>
      </c>
      <c r="DA13" s="1">
        <v>2</v>
      </c>
      <c r="DB13" s="1">
        <v>3</v>
      </c>
      <c r="DC13" s="1">
        <v>2</v>
      </c>
      <c r="DD13" s="1">
        <v>2</v>
      </c>
      <c r="DE13" s="1">
        <v>2</v>
      </c>
      <c r="DF13" s="1">
        <v>2</v>
      </c>
      <c r="DG13" s="1">
        <f t="shared" si="56"/>
        <v>7</v>
      </c>
      <c r="DH13" s="1">
        <f t="shared" si="14"/>
        <v>3</v>
      </c>
      <c r="DI13" s="1">
        <f t="shared" si="57"/>
        <v>10</v>
      </c>
      <c r="DJ13" s="1">
        <f t="shared" si="15"/>
        <v>1</v>
      </c>
      <c r="DK13" s="1">
        <f t="shared" si="58"/>
        <v>10</v>
      </c>
      <c r="DL13" s="1">
        <f t="shared" si="59"/>
        <v>2</v>
      </c>
      <c r="DM13" s="1">
        <f t="shared" si="60"/>
        <v>6</v>
      </c>
      <c r="DN13" s="1">
        <f t="shared" si="16"/>
        <v>3</v>
      </c>
      <c r="DO13" s="1">
        <f t="shared" si="61"/>
        <v>13</v>
      </c>
      <c r="DP13" s="1">
        <f t="shared" si="62"/>
        <v>22</v>
      </c>
      <c r="DQ13" s="1">
        <f t="shared" si="17"/>
        <v>6</v>
      </c>
      <c r="DR13" s="23" t="str">
        <f t="shared" si="63"/>
        <v>低</v>
      </c>
      <c r="DS13" s="23" t="str">
        <f t="shared" si="64"/>
        <v/>
      </c>
      <c r="DT13" s="32">
        <v>0.23</v>
      </c>
      <c r="DU13" s="32">
        <v>192.06</v>
      </c>
      <c r="DV13" s="32">
        <v>0.48</v>
      </c>
      <c r="DW13" s="32">
        <v>24</v>
      </c>
      <c r="DX13" s="30" t="s">
        <v>60</v>
      </c>
    </row>
    <row r="14" spans="1:128" ht="15.75" customHeight="1">
      <c r="A14" s="1">
        <v>419</v>
      </c>
      <c r="B14" s="18" t="s">
        <v>83</v>
      </c>
      <c r="C14" s="29">
        <v>27</v>
      </c>
      <c r="D14" s="1">
        <v>4</v>
      </c>
      <c r="E14" s="1">
        <v>4</v>
      </c>
      <c r="F14" s="1">
        <v>1</v>
      </c>
      <c r="G14" s="1">
        <v>2</v>
      </c>
      <c r="H14" s="1">
        <v>1</v>
      </c>
      <c r="I14" s="1">
        <v>1</v>
      </c>
      <c r="J14" s="1">
        <v>4</v>
      </c>
      <c r="K14" s="1">
        <v>2</v>
      </c>
      <c r="L14" s="1">
        <v>2</v>
      </c>
      <c r="M14" s="1">
        <v>1</v>
      </c>
      <c r="N14" s="1">
        <v>4</v>
      </c>
      <c r="O14" s="1">
        <v>3</v>
      </c>
      <c r="P14" s="1">
        <v>4</v>
      </c>
      <c r="Q14" s="1">
        <v>1</v>
      </c>
      <c r="R14" s="1">
        <v>4</v>
      </c>
      <c r="S14" s="1">
        <v>2</v>
      </c>
      <c r="T14" s="1">
        <v>1</v>
      </c>
      <c r="U14" s="1">
        <f t="shared" si="18"/>
        <v>1</v>
      </c>
      <c r="V14" s="1">
        <f t="shared" si="19"/>
        <v>1</v>
      </c>
      <c r="W14" s="1">
        <f t="shared" si="20"/>
        <v>4</v>
      </c>
      <c r="X14" s="1">
        <f t="shared" si="21"/>
        <v>3</v>
      </c>
      <c r="Y14" s="1">
        <f t="shared" si="22"/>
        <v>4</v>
      </c>
      <c r="Z14" s="1">
        <f t="shared" si="23"/>
        <v>4</v>
      </c>
      <c r="AA14" s="1">
        <f t="shared" si="24"/>
        <v>1</v>
      </c>
      <c r="AB14" s="1">
        <f t="shared" si="25"/>
        <v>3</v>
      </c>
      <c r="AC14" s="1">
        <f t="shared" si="26"/>
        <v>2</v>
      </c>
      <c r="AD14" s="1">
        <f t="shared" si="27"/>
        <v>1</v>
      </c>
      <c r="AE14" s="1">
        <f t="shared" si="28"/>
        <v>1</v>
      </c>
      <c r="AF14" s="1">
        <f t="shared" si="29"/>
        <v>2</v>
      </c>
      <c r="AG14" s="1">
        <f t="shared" si="30"/>
        <v>1</v>
      </c>
      <c r="AH14" s="1">
        <f t="shared" si="31"/>
        <v>1</v>
      </c>
      <c r="AI14" s="1">
        <f t="shared" si="32"/>
        <v>1</v>
      </c>
      <c r="AJ14" s="1">
        <f t="shared" si="33"/>
        <v>2</v>
      </c>
      <c r="AK14" s="1">
        <f t="shared" si="34"/>
        <v>1</v>
      </c>
      <c r="AL14" s="1">
        <f t="shared" si="65"/>
        <v>6</v>
      </c>
      <c r="AM14" s="1">
        <f t="shared" si="2"/>
        <v>2</v>
      </c>
      <c r="AN14" s="1">
        <f t="shared" si="35"/>
        <v>11</v>
      </c>
      <c r="AO14" s="1">
        <f t="shared" si="3"/>
        <v>5</v>
      </c>
      <c r="AP14" s="1">
        <f t="shared" si="36"/>
        <v>1</v>
      </c>
      <c r="AQ14" s="1">
        <f t="shared" si="37"/>
        <v>2</v>
      </c>
      <c r="AR14" s="1">
        <f t="shared" si="38"/>
        <v>4</v>
      </c>
      <c r="AS14" s="1">
        <f t="shared" si="39"/>
        <v>2</v>
      </c>
      <c r="AT14" s="1">
        <f t="shared" si="40"/>
        <v>1</v>
      </c>
      <c r="AU14" s="1">
        <f t="shared" si="4"/>
        <v>1</v>
      </c>
      <c r="AV14" s="1">
        <f t="shared" si="41"/>
        <v>10</v>
      </c>
      <c r="AW14" s="1">
        <f t="shared" si="5"/>
        <v>2</v>
      </c>
      <c r="AX14" s="38">
        <f t="shared" si="42"/>
        <v>4</v>
      </c>
      <c r="AY14" s="1">
        <f t="shared" si="43"/>
        <v>2</v>
      </c>
      <c r="AZ14" s="1">
        <f t="shared" si="44"/>
        <v>3</v>
      </c>
      <c r="BA14" s="1">
        <f t="shared" si="45"/>
        <v>3</v>
      </c>
      <c r="BB14" s="1">
        <f t="shared" si="46"/>
        <v>4</v>
      </c>
      <c r="BC14" s="1">
        <f t="shared" si="47"/>
        <v>1</v>
      </c>
      <c r="BD14" s="1">
        <v>3</v>
      </c>
      <c r="BE14" s="1">
        <v>4</v>
      </c>
      <c r="BF14" s="1">
        <v>3</v>
      </c>
      <c r="BG14" s="1">
        <f t="shared" si="48"/>
        <v>2</v>
      </c>
      <c r="BH14" s="1">
        <f t="shared" si="49"/>
        <v>1</v>
      </c>
      <c r="BI14" s="1">
        <f t="shared" si="50"/>
        <v>2</v>
      </c>
      <c r="BJ14" s="1">
        <v>1</v>
      </c>
      <c r="BK14" s="1">
        <v>1</v>
      </c>
      <c r="BL14" s="1">
        <v>1</v>
      </c>
      <c r="BM14" s="1">
        <v>2</v>
      </c>
      <c r="BN14" s="1">
        <v>2</v>
      </c>
      <c r="BO14" s="1">
        <v>1</v>
      </c>
      <c r="BP14" s="1">
        <v>2</v>
      </c>
      <c r="BQ14" s="1">
        <v>2</v>
      </c>
      <c r="BR14" s="1">
        <v>1</v>
      </c>
      <c r="BS14" s="1">
        <v>1</v>
      </c>
      <c r="BT14" s="1">
        <v>1</v>
      </c>
      <c r="BU14" s="1">
        <v>2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2</v>
      </c>
      <c r="CB14" s="1">
        <v>2</v>
      </c>
      <c r="CC14" s="1">
        <v>1</v>
      </c>
      <c r="CD14" s="1">
        <v>2</v>
      </c>
      <c r="CE14" s="1">
        <v>1</v>
      </c>
      <c r="CF14" s="1">
        <v>2</v>
      </c>
      <c r="CG14" s="1">
        <v>2</v>
      </c>
      <c r="CH14" s="1">
        <v>2</v>
      </c>
      <c r="CI14" s="1">
        <v>1</v>
      </c>
      <c r="CJ14" s="1">
        <f t="shared" si="51"/>
        <v>10</v>
      </c>
      <c r="CK14" s="1">
        <f t="shared" si="52"/>
        <v>1</v>
      </c>
      <c r="CL14" s="1">
        <f t="shared" si="53"/>
        <v>3</v>
      </c>
      <c r="CM14" s="1">
        <f t="shared" si="7"/>
        <v>1</v>
      </c>
      <c r="CN14" s="1">
        <f t="shared" si="8"/>
        <v>5</v>
      </c>
      <c r="CO14" s="1">
        <f t="shared" si="9"/>
        <v>2</v>
      </c>
      <c r="CP14" s="1">
        <f t="shared" si="54"/>
        <v>5</v>
      </c>
      <c r="CQ14" s="1">
        <f t="shared" si="10"/>
        <v>3</v>
      </c>
      <c r="CR14" s="1">
        <f t="shared" si="11"/>
        <v>7</v>
      </c>
      <c r="CS14" s="1">
        <f t="shared" si="12"/>
        <v>2</v>
      </c>
      <c r="CT14" s="1">
        <f t="shared" si="55"/>
        <v>17</v>
      </c>
      <c r="CU14" s="1">
        <f t="shared" si="13"/>
        <v>2</v>
      </c>
      <c r="CV14" s="1">
        <v>2</v>
      </c>
      <c r="CW14" s="1">
        <v>2</v>
      </c>
      <c r="CX14" s="1">
        <v>1</v>
      </c>
      <c r="CY14" s="1">
        <v>2</v>
      </c>
      <c r="CZ14" s="1">
        <v>2</v>
      </c>
      <c r="DA14" s="1">
        <v>2</v>
      </c>
      <c r="DB14" s="1">
        <v>2</v>
      </c>
      <c r="DC14" s="1">
        <v>2</v>
      </c>
      <c r="DD14" s="1">
        <v>1</v>
      </c>
      <c r="DE14" s="1">
        <v>1</v>
      </c>
      <c r="DF14" s="1">
        <v>2</v>
      </c>
      <c r="DG14" s="1">
        <f t="shared" si="56"/>
        <v>9</v>
      </c>
      <c r="DH14" s="1">
        <f t="shared" si="14"/>
        <v>2</v>
      </c>
      <c r="DI14" s="1">
        <f t="shared" si="57"/>
        <v>9</v>
      </c>
      <c r="DJ14" s="1">
        <f t="shared" si="15"/>
        <v>3</v>
      </c>
      <c r="DK14" s="1">
        <f t="shared" si="58"/>
        <v>11</v>
      </c>
      <c r="DL14" s="1">
        <f t="shared" si="59"/>
        <v>2</v>
      </c>
      <c r="DM14" s="1">
        <f t="shared" si="60"/>
        <v>7</v>
      </c>
      <c r="DN14" s="1">
        <f t="shared" si="16"/>
        <v>2</v>
      </c>
      <c r="DO14" s="1">
        <f t="shared" si="61"/>
        <v>11</v>
      </c>
      <c r="DP14" s="1">
        <f t="shared" si="62"/>
        <v>20</v>
      </c>
      <c r="DQ14" s="1">
        <f t="shared" si="17"/>
        <v>7</v>
      </c>
      <c r="DR14" s="23" t="str">
        <f t="shared" si="63"/>
        <v>低</v>
      </c>
      <c r="DS14" s="23" t="str">
        <f t="shared" si="64"/>
        <v/>
      </c>
      <c r="DT14" s="32">
        <v>0.14799999999999999</v>
      </c>
      <c r="DU14" s="32">
        <v>46.93</v>
      </c>
      <c r="DV14" s="32">
        <v>1.26</v>
      </c>
      <c r="DW14" s="32">
        <v>63</v>
      </c>
      <c r="DX14" s="30" t="s">
        <v>60</v>
      </c>
    </row>
    <row r="15" spans="1:128" ht="15.75" customHeight="1">
      <c r="A15" s="1">
        <v>472</v>
      </c>
      <c r="B15" s="18" t="s">
        <v>83</v>
      </c>
      <c r="C15" s="29">
        <v>29</v>
      </c>
      <c r="D15" s="1">
        <v>1</v>
      </c>
      <c r="E15" s="1">
        <v>2</v>
      </c>
      <c r="F15" s="1">
        <v>1</v>
      </c>
      <c r="G15" s="1">
        <v>2</v>
      </c>
      <c r="H15" s="1">
        <v>2</v>
      </c>
      <c r="I15" s="1">
        <v>2</v>
      </c>
      <c r="J15" s="1">
        <v>3</v>
      </c>
      <c r="K15" s="1">
        <v>1</v>
      </c>
      <c r="L15" s="1">
        <v>2</v>
      </c>
      <c r="M15" s="1">
        <v>1</v>
      </c>
      <c r="N15" s="1">
        <v>4</v>
      </c>
      <c r="O15" s="1">
        <v>3</v>
      </c>
      <c r="P15" s="1">
        <v>3</v>
      </c>
      <c r="Q15" s="1">
        <v>2</v>
      </c>
      <c r="R15" s="1">
        <v>3</v>
      </c>
      <c r="S15" s="1">
        <v>2</v>
      </c>
      <c r="T15" s="1">
        <v>2</v>
      </c>
      <c r="U15" s="1">
        <f t="shared" si="18"/>
        <v>4</v>
      </c>
      <c r="V15" s="1">
        <f t="shared" si="19"/>
        <v>3</v>
      </c>
      <c r="W15" s="1">
        <f t="shared" si="20"/>
        <v>4</v>
      </c>
      <c r="X15" s="1">
        <f t="shared" si="21"/>
        <v>3</v>
      </c>
      <c r="Y15" s="1">
        <f t="shared" si="22"/>
        <v>3</v>
      </c>
      <c r="Z15" s="1">
        <f t="shared" si="23"/>
        <v>3</v>
      </c>
      <c r="AA15" s="1">
        <f t="shared" si="24"/>
        <v>2</v>
      </c>
      <c r="AB15" s="1">
        <f t="shared" si="25"/>
        <v>4</v>
      </c>
      <c r="AC15" s="1">
        <f t="shared" si="26"/>
        <v>2</v>
      </c>
      <c r="AD15" s="1">
        <f t="shared" si="27"/>
        <v>1</v>
      </c>
      <c r="AE15" s="1">
        <f t="shared" si="28"/>
        <v>1</v>
      </c>
      <c r="AF15" s="1">
        <f t="shared" si="29"/>
        <v>2</v>
      </c>
      <c r="AG15" s="1">
        <f t="shared" si="30"/>
        <v>2</v>
      </c>
      <c r="AH15" s="1">
        <f t="shared" si="31"/>
        <v>2</v>
      </c>
      <c r="AI15" s="1">
        <f t="shared" si="32"/>
        <v>2</v>
      </c>
      <c r="AJ15" s="1">
        <f t="shared" si="33"/>
        <v>2</v>
      </c>
      <c r="AK15" s="1">
        <f t="shared" si="34"/>
        <v>2</v>
      </c>
      <c r="AL15" s="1">
        <f t="shared" si="65"/>
        <v>11</v>
      </c>
      <c r="AM15" s="1">
        <f t="shared" si="2"/>
        <v>4</v>
      </c>
      <c r="AN15" s="1">
        <f t="shared" si="35"/>
        <v>9</v>
      </c>
      <c r="AO15" s="1">
        <f t="shared" si="3"/>
        <v>4</v>
      </c>
      <c r="AP15" s="1">
        <f t="shared" si="36"/>
        <v>2</v>
      </c>
      <c r="AQ15" s="1">
        <f t="shared" si="37"/>
        <v>3</v>
      </c>
      <c r="AR15" s="1">
        <f t="shared" si="38"/>
        <v>6</v>
      </c>
      <c r="AS15" s="1">
        <f t="shared" si="39"/>
        <v>3</v>
      </c>
      <c r="AT15" s="1">
        <f t="shared" si="40"/>
        <v>2</v>
      </c>
      <c r="AU15" s="1">
        <f t="shared" si="4"/>
        <v>3</v>
      </c>
      <c r="AV15" s="1">
        <f t="shared" si="41"/>
        <v>11</v>
      </c>
      <c r="AW15" s="1">
        <f t="shared" si="5"/>
        <v>1</v>
      </c>
      <c r="AX15" s="38">
        <f t="shared" si="42"/>
        <v>4</v>
      </c>
      <c r="AY15" s="1">
        <f t="shared" si="43"/>
        <v>2</v>
      </c>
      <c r="AZ15" s="1">
        <f t="shared" si="44"/>
        <v>3</v>
      </c>
      <c r="BA15" s="1">
        <f t="shared" si="45"/>
        <v>3</v>
      </c>
      <c r="BB15" s="1">
        <f t="shared" si="46"/>
        <v>3</v>
      </c>
      <c r="BC15" s="1">
        <f t="shared" si="47"/>
        <v>3</v>
      </c>
      <c r="BD15" s="1">
        <v>1</v>
      </c>
      <c r="BE15" s="1">
        <v>1</v>
      </c>
      <c r="BF15" s="1">
        <v>1</v>
      </c>
      <c r="BG15" s="1">
        <f t="shared" si="48"/>
        <v>4</v>
      </c>
      <c r="BH15" s="1">
        <f t="shared" si="49"/>
        <v>4</v>
      </c>
      <c r="BI15" s="1">
        <f t="shared" si="50"/>
        <v>4</v>
      </c>
      <c r="BJ15" s="1">
        <v>1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3</v>
      </c>
      <c r="BQ15" s="1">
        <v>3</v>
      </c>
      <c r="BR15" s="1">
        <v>1</v>
      </c>
      <c r="BS15" s="1">
        <v>3</v>
      </c>
      <c r="BT15" s="1">
        <v>1</v>
      </c>
      <c r="BU15" s="1">
        <v>1</v>
      </c>
      <c r="BV15" s="1">
        <v>3</v>
      </c>
      <c r="BW15" s="1">
        <v>1</v>
      </c>
      <c r="BX15" s="1">
        <v>2</v>
      </c>
      <c r="BY15" s="1">
        <v>3</v>
      </c>
      <c r="BZ15" s="1">
        <v>1</v>
      </c>
      <c r="CA15" s="1">
        <v>3</v>
      </c>
      <c r="CB15" s="1">
        <v>3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2</v>
      </c>
      <c r="CI15" s="1">
        <v>1</v>
      </c>
      <c r="CJ15" s="1">
        <f t="shared" si="51"/>
        <v>3</v>
      </c>
      <c r="CK15" s="1">
        <f t="shared" si="52"/>
        <v>5</v>
      </c>
      <c r="CL15" s="1">
        <f t="shared" si="53"/>
        <v>5</v>
      </c>
      <c r="CM15" s="1">
        <f t="shared" si="7"/>
        <v>2</v>
      </c>
      <c r="CN15" s="1">
        <f t="shared" si="8"/>
        <v>6</v>
      </c>
      <c r="CO15" s="1">
        <f t="shared" si="9"/>
        <v>3</v>
      </c>
      <c r="CP15" s="1">
        <f t="shared" si="54"/>
        <v>7</v>
      </c>
      <c r="CQ15" s="1">
        <f t="shared" si="10"/>
        <v>3</v>
      </c>
      <c r="CR15" s="1">
        <f t="shared" si="11"/>
        <v>11</v>
      </c>
      <c r="CS15" s="1">
        <f t="shared" si="12"/>
        <v>3</v>
      </c>
      <c r="CT15" s="1">
        <f t="shared" si="55"/>
        <v>18</v>
      </c>
      <c r="CU15" s="1">
        <f t="shared" si="13"/>
        <v>3</v>
      </c>
      <c r="CV15" s="1">
        <v>3</v>
      </c>
      <c r="CW15" s="1">
        <v>2</v>
      </c>
      <c r="CX15" s="1">
        <v>2</v>
      </c>
      <c r="CY15" s="1">
        <v>3</v>
      </c>
      <c r="CZ15" s="1">
        <v>1</v>
      </c>
      <c r="DA15" s="1">
        <v>2</v>
      </c>
      <c r="DB15" s="1">
        <v>3</v>
      </c>
      <c r="DC15" s="1">
        <v>2</v>
      </c>
      <c r="DD15" s="1">
        <v>1</v>
      </c>
      <c r="DE15" s="1">
        <v>2</v>
      </c>
      <c r="DF15" s="1">
        <v>2</v>
      </c>
      <c r="DG15" s="1">
        <f t="shared" si="56"/>
        <v>6</v>
      </c>
      <c r="DH15" s="1">
        <f t="shared" si="14"/>
        <v>3</v>
      </c>
      <c r="DI15" s="1">
        <f t="shared" si="57"/>
        <v>10</v>
      </c>
      <c r="DJ15" s="1">
        <f t="shared" si="15"/>
        <v>2</v>
      </c>
      <c r="DK15" s="1">
        <f t="shared" si="58"/>
        <v>10</v>
      </c>
      <c r="DL15" s="1">
        <f t="shared" si="59"/>
        <v>2</v>
      </c>
      <c r="DM15" s="1">
        <f t="shared" si="60"/>
        <v>6</v>
      </c>
      <c r="DN15" s="1">
        <f t="shared" si="16"/>
        <v>3</v>
      </c>
      <c r="DO15" s="1">
        <f t="shared" si="61"/>
        <v>19</v>
      </c>
      <c r="DP15" s="1">
        <f t="shared" si="62"/>
        <v>26</v>
      </c>
      <c r="DQ15" s="1">
        <f t="shared" si="17"/>
        <v>7</v>
      </c>
      <c r="DR15" s="23" t="str">
        <f t="shared" si="63"/>
        <v>中①</v>
      </c>
      <c r="DS15" s="23" t="str">
        <f t="shared" si="64"/>
        <v/>
      </c>
      <c r="DT15" s="32">
        <v>0.19900000000000001</v>
      </c>
      <c r="DU15" s="32">
        <v>59.17</v>
      </c>
      <c r="DV15" s="32">
        <v>1.35</v>
      </c>
      <c r="DW15" s="32">
        <v>68</v>
      </c>
      <c r="DX15" s="30" t="s">
        <v>60</v>
      </c>
    </row>
    <row r="16" spans="1:128" ht="15.75" customHeight="1">
      <c r="A16" s="1">
        <v>421</v>
      </c>
      <c r="B16" s="18" t="s">
        <v>82</v>
      </c>
      <c r="C16" s="29">
        <v>37</v>
      </c>
      <c r="D16" s="1">
        <v>2</v>
      </c>
      <c r="E16" s="1">
        <v>4</v>
      </c>
      <c r="F16" s="1">
        <v>1</v>
      </c>
      <c r="G16" s="1">
        <v>1</v>
      </c>
      <c r="H16" s="1">
        <v>1</v>
      </c>
      <c r="I16" s="1">
        <v>2</v>
      </c>
      <c r="J16" s="1">
        <v>4</v>
      </c>
      <c r="K16" s="1">
        <v>2</v>
      </c>
      <c r="L16" s="1">
        <v>2</v>
      </c>
      <c r="M16" s="1">
        <v>3</v>
      </c>
      <c r="N16" s="1">
        <v>2</v>
      </c>
      <c r="O16" s="1">
        <v>3</v>
      </c>
      <c r="P16" s="1">
        <v>3</v>
      </c>
      <c r="Q16" s="1">
        <v>3</v>
      </c>
      <c r="R16" s="1">
        <v>2</v>
      </c>
      <c r="S16" s="1">
        <v>2</v>
      </c>
      <c r="T16" s="1">
        <v>2</v>
      </c>
      <c r="U16" s="1">
        <f t="shared" si="18"/>
        <v>3</v>
      </c>
      <c r="V16" s="1">
        <f t="shared" si="19"/>
        <v>1</v>
      </c>
      <c r="W16" s="1">
        <f t="shared" si="20"/>
        <v>4</v>
      </c>
      <c r="X16" s="1">
        <f t="shared" si="21"/>
        <v>4</v>
      </c>
      <c r="Y16" s="1">
        <f t="shared" si="22"/>
        <v>4</v>
      </c>
      <c r="Z16" s="1">
        <f t="shared" si="23"/>
        <v>3</v>
      </c>
      <c r="AA16" s="1">
        <f t="shared" si="24"/>
        <v>1</v>
      </c>
      <c r="AB16" s="1">
        <f t="shared" si="25"/>
        <v>3</v>
      </c>
      <c r="AC16" s="1">
        <f t="shared" si="26"/>
        <v>2</v>
      </c>
      <c r="AD16" s="1">
        <f t="shared" si="27"/>
        <v>3</v>
      </c>
      <c r="AE16" s="1">
        <f t="shared" si="28"/>
        <v>3</v>
      </c>
      <c r="AF16" s="1">
        <f t="shared" si="29"/>
        <v>2</v>
      </c>
      <c r="AG16" s="1">
        <f t="shared" si="30"/>
        <v>2</v>
      </c>
      <c r="AH16" s="1">
        <f t="shared" si="31"/>
        <v>3</v>
      </c>
      <c r="AI16" s="1">
        <f t="shared" si="32"/>
        <v>3</v>
      </c>
      <c r="AJ16" s="1">
        <f t="shared" si="33"/>
        <v>2</v>
      </c>
      <c r="AK16" s="1">
        <f t="shared" si="34"/>
        <v>2</v>
      </c>
      <c r="AL16" s="1">
        <f t="shared" si="65"/>
        <v>8</v>
      </c>
      <c r="AM16" s="1">
        <f t="shared" si="2"/>
        <v>3</v>
      </c>
      <c r="AN16" s="1">
        <f t="shared" si="35"/>
        <v>11</v>
      </c>
      <c r="AO16" s="1">
        <f t="shared" si="3"/>
        <v>4</v>
      </c>
      <c r="AP16" s="1">
        <f t="shared" si="36"/>
        <v>1</v>
      </c>
      <c r="AQ16" s="1">
        <f t="shared" si="37"/>
        <v>2</v>
      </c>
      <c r="AR16" s="1">
        <f t="shared" si="38"/>
        <v>7</v>
      </c>
      <c r="AS16" s="1">
        <f t="shared" si="39"/>
        <v>3</v>
      </c>
      <c r="AT16" s="1">
        <f t="shared" si="40"/>
        <v>3</v>
      </c>
      <c r="AU16" s="1">
        <f t="shared" si="4"/>
        <v>4</v>
      </c>
      <c r="AV16" s="1">
        <f t="shared" si="41"/>
        <v>8</v>
      </c>
      <c r="AW16" s="1">
        <f t="shared" si="5"/>
        <v>3</v>
      </c>
      <c r="AX16" s="38">
        <f t="shared" si="42"/>
        <v>2</v>
      </c>
      <c r="AY16" s="1">
        <f t="shared" si="43"/>
        <v>4</v>
      </c>
      <c r="AZ16" s="1">
        <f t="shared" si="44"/>
        <v>3</v>
      </c>
      <c r="BA16" s="1">
        <f t="shared" si="45"/>
        <v>3</v>
      </c>
      <c r="BB16" s="1">
        <f t="shared" si="46"/>
        <v>3</v>
      </c>
      <c r="BC16" s="1">
        <f t="shared" si="47"/>
        <v>3</v>
      </c>
      <c r="BD16" s="1">
        <v>2</v>
      </c>
      <c r="BE16" s="1">
        <v>2</v>
      </c>
      <c r="BF16" s="1">
        <v>2</v>
      </c>
      <c r="BG16" s="1">
        <f t="shared" si="48"/>
        <v>3</v>
      </c>
      <c r="BH16" s="1">
        <f t="shared" si="49"/>
        <v>3</v>
      </c>
      <c r="BI16" s="1">
        <f t="shared" si="50"/>
        <v>3</v>
      </c>
      <c r="BJ16" s="1">
        <v>3</v>
      </c>
      <c r="BK16" s="1">
        <v>3</v>
      </c>
      <c r="BL16" s="1">
        <v>3</v>
      </c>
      <c r="BM16" s="1">
        <v>2</v>
      </c>
      <c r="BN16" s="1">
        <v>3</v>
      </c>
      <c r="BO16" s="1">
        <v>2</v>
      </c>
      <c r="BP16" s="1">
        <v>2</v>
      </c>
      <c r="BQ16" s="1">
        <v>2</v>
      </c>
      <c r="BR16" s="1">
        <v>2</v>
      </c>
      <c r="BS16" s="1">
        <v>1</v>
      </c>
      <c r="BT16" s="1">
        <v>3</v>
      </c>
      <c r="BU16" s="1">
        <v>3</v>
      </c>
      <c r="BV16" s="1">
        <v>2</v>
      </c>
      <c r="BW16" s="1">
        <v>3</v>
      </c>
      <c r="BX16" s="1">
        <v>2</v>
      </c>
      <c r="BY16" s="1">
        <v>1</v>
      </c>
      <c r="BZ16" s="1">
        <v>1</v>
      </c>
      <c r="CA16" s="1">
        <v>3</v>
      </c>
      <c r="CB16" s="1">
        <v>3</v>
      </c>
      <c r="CC16" s="1">
        <v>1</v>
      </c>
      <c r="CD16" s="1">
        <v>3</v>
      </c>
      <c r="CE16" s="1">
        <v>1</v>
      </c>
      <c r="CF16" s="1">
        <v>3</v>
      </c>
      <c r="CG16" s="1">
        <v>3</v>
      </c>
      <c r="CH16" s="1">
        <v>3</v>
      </c>
      <c r="CI16" s="1">
        <v>3</v>
      </c>
      <c r="CJ16" s="1">
        <f t="shared" si="51"/>
        <v>6</v>
      </c>
      <c r="CK16" s="1">
        <f t="shared" si="52"/>
        <v>3</v>
      </c>
      <c r="CL16" s="1">
        <f t="shared" si="53"/>
        <v>9</v>
      </c>
      <c r="CM16" s="1">
        <f t="shared" si="7"/>
        <v>4</v>
      </c>
      <c r="CN16" s="1">
        <f t="shared" si="8"/>
        <v>7</v>
      </c>
      <c r="CO16" s="1">
        <f t="shared" si="9"/>
        <v>3</v>
      </c>
      <c r="CP16" s="1">
        <f t="shared" si="54"/>
        <v>6</v>
      </c>
      <c r="CQ16" s="1">
        <f t="shared" si="10"/>
        <v>3</v>
      </c>
      <c r="CR16" s="1">
        <f t="shared" si="11"/>
        <v>14</v>
      </c>
      <c r="CS16" s="1">
        <f t="shared" si="12"/>
        <v>4</v>
      </c>
      <c r="CT16" s="1">
        <f t="shared" si="55"/>
        <v>25</v>
      </c>
      <c r="CU16" s="1">
        <f t="shared" si="13"/>
        <v>4</v>
      </c>
      <c r="CV16" s="1">
        <v>3</v>
      </c>
      <c r="CW16" s="1">
        <v>2</v>
      </c>
      <c r="CX16" s="1">
        <v>1</v>
      </c>
      <c r="CY16" s="1">
        <v>2</v>
      </c>
      <c r="CZ16" s="1">
        <v>3</v>
      </c>
      <c r="DA16" s="1">
        <v>3</v>
      </c>
      <c r="DB16" s="1">
        <v>2</v>
      </c>
      <c r="DC16" s="1">
        <v>2</v>
      </c>
      <c r="DD16" s="1">
        <v>2</v>
      </c>
      <c r="DE16" s="1">
        <v>2</v>
      </c>
      <c r="DF16" s="1">
        <v>2</v>
      </c>
      <c r="DG16" s="1">
        <f t="shared" si="56"/>
        <v>8</v>
      </c>
      <c r="DH16" s="1">
        <f t="shared" si="14"/>
        <v>3</v>
      </c>
      <c r="DI16" s="1">
        <f t="shared" si="57"/>
        <v>8</v>
      </c>
      <c r="DJ16" s="1">
        <f t="shared" si="15"/>
        <v>3</v>
      </c>
      <c r="DK16" s="1">
        <f t="shared" si="58"/>
        <v>9</v>
      </c>
      <c r="DL16" s="1">
        <f t="shared" si="59"/>
        <v>3</v>
      </c>
      <c r="DM16" s="1">
        <f t="shared" si="60"/>
        <v>6</v>
      </c>
      <c r="DN16" s="1">
        <f t="shared" si="16"/>
        <v>3</v>
      </c>
      <c r="DO16" s="1">
        <f t="shared" si="61"/>
        <v>21</v>
      </c>
      <c r="DP16" s="1">
        <f t="shared" si="62"/>
        <v>29</v>
      </c>
      <c r="DQ16" s="1">
        <f t="shared" si="17"/>
        <v>9</v>
      </c>
      <c r="DR16" s="23" t="str">
        <f t="shared" si="63"/>
        <v>中①</v>
      </c>
      <c r="DS16" s="23" t="str">
        <f t="shared" si="64"/>
        <v/>
      </c>
      <c r="DT16" s="32">
        <v>0.58099999999999996</v>
      </c>
      <c r="DU16" s="32">
        <v>235.71</v>
      </c>
      <c r="DV16" s="32">
        <v>0.99</v>
      </c>
      <c r="DW16" s="32">
        <v>50</v>
      </c>
      <c r="DX16" s="30" t="s">
        <v>60</v>
      </c>
    </row>
    <row r="17" spans="1:128" ht="15.75" customHeight="1">
      <c r="A17" s="1">
        <v>423</v>
      </c>
      <c r="B17" s="18" t="s">
        <v>83</v>
      </c>
      <c r="C17" s="29">
        <v>41</v>
      </c>
      <c r="D17" s="1">
        <v>2</v>
      </c>
      <c r="E17" s="1">
        <v>3</v>
      </c>
      <c r="F17" s="1">
        <v>2</v>
      </c>
      <c r="G17" s="1">
        <v>2</v>
      </c>
      <c r="H17" s="1">
        <v>2</v>
      </c>
      <c r="I17" s="1">
        <v>3</v>
      </c>
      <c r="J17" s="1">
        <v>4</v>
      </c>
      <c r="K17" s="1">
        <v>2</v>
      </c>
      <c r="L17" s="1">
        <v>2</v>
      </c>
      <c r="M17" s="1">
        <v>3</v>
      </c>
      <c r="N17" s="1">
        <v>1</v>
      </c>
      <c r="O17" s="1">
        <v>3</v>
      </c>
      <c r="P17" s="1">
        <v>3</v>
      </c>
      <c r="Q17" s="1">
        <v>2</v>
      </c>
      <c r="R17" s="1">
        <v>2</v>
      </c>
      <c r="S17" s="1">
        <v>2</v>
      </c>
      <c r="T17" s="1">
        <v>2</v>
      </c>
      <c r="U17" s="1">
        <f t="shared" si="18"/>
        <v>3</v>
      </c>
      <c r="V17" s="1">
        <f t="shared" si="19"/>
        <v>2</v>
      </c>
      <c r="W17" s="1">
        <f t="shared" si="20"/>
        <v>3</v>
      </c>
      <c r="X17" s="1">
        <f t="shared" si="21"/>
        <v>3</v>
      </c>
      <c r="Y17" s="1">
        <f t="shared" si="22"/>
        <v>3</v>
      </c>
      <c r="Z17" s="1">
        <f t="shared" si="23"/>
        <v>2</v>
      </c>
      <c r="AA17" s="1">
        <f t="shared" si="24"/>
        <v>1</v>
      </c>
      <c r="AB17" s="1">
        <f t="shared" si="25"/>
        <v>3</v>
      </c>
      <c r="AC17" s="1">
        <f t="shared" si="26"/>
        <v>2</v>
      </c>
      <c r="AD17" s="1">
        <f t="shared" si="27"/>
        <v>3</v>
      </c>
      <c r="AE17" s="1">
        <f t="shared" si="28"/>
        <v>4</v>
      </c>
      <c r="AF17" s="1">
        <f t="shared" si="29"/>
        <v>2</v>
      </c>
      <c r="AG17" s="1">
        <f t="shared" si="30"/>
        <v>2</v>
      </c>
      <c r="AH17" s="1">
        <f t="shared" si="31"/>
        <v>2</v>
      </c>
      <c r="AI17" s="1">
        <f t="shared" si="32"/>
        <v>3</v>
      </c>
      <c r="AJ17" s="1">
        <f t="shared" si="33"/>
        <v>2</v>
      </c>
      <c r="AK17" s="1">
        <f t="shared" si="34"/>
        <v>2</v>
      </c>
      <c r="AL17" s="1">
        <f t="shared" si="65"/>
        <v>8</v>
      </c>
      <c r="AM17" s="1">
        <f t="shared" si="2"/>
        <v>3</v>
      </c>
      <c r="AN17" s="1">
        <f t="shared" si="35"/>
        <v>8</v>
      </c>
      <c r="AO17" s="1">
        <f t="shared" si="3"/>
        <v>3</v>
      </c>
      <c r="AP17" s="1">
        <f t="shared" si="36"/>
        <v>1</v>
      </c>
      <c r="AQ17" s="1">
        <f t="shared" si="37"/>
        <v>2</v>
      </c>
      <c r="AR17" s="1">
        <f t="shared" si="38"/>
        <v>6</v>
      </c>
      <c r="AS17" s="1">
        <f t="shared" si="39"/>
        <v>3</v>
      </c>
      <c r="AT17" s="1">
        <f t="shared" si="40"/>
        <v>3</v>
      </c>
      <c r="AU17" s="1">
        <f t="shared" si="4"/>
        <v>4</v>
      </c>
      <c r="AV17" s="1">
        <f t="shared" si="41"/>
        <v>8</v>
      </c>
      <c r="AW17" s="1">
        <f t="shared" si="5"/>
        <v>3</v>
      </c>
      <c r="AX17" s="38">
        <f t="shared" si="42"/>
        <v>1</v>
      </c>
      <c r="AY17" s="1">
        <f t="shared" si="43"/>
        <v>5</v>
      </c>
      <c r="AZ17" s="1">
        <f t="shared" si="44"/>
        <v>3</v>
      </c>
      <c r="BA17" s="1">
        <f t="shared" si="45"/>
        <v>3</v>
      </c>
      <c r="BB17" s="1">
        <f t="shared" si="46"/>
        <v>3</v>
      </c>
      <c r="BC17" s="1">
        <f t="shared" si="47"/>
        <v>3</v>
      </c>
      <c r="BD17" s="1">
        <v>3</v>
      </c>
      <c r="BE17" s="1">
        <v>3</v>
      </c>
      <c r="BF17" s="1">
        <v>3</v>
      </c>
      <c r="BG17" s="1">
        <f t="shared" si="48"/>
        <v>2</v>
      </c>
      <c r="BH17" s="1">
        <f t="shared" si="49"/>
        <v>2</v>
      </c>
      <c r="BI17" s="1">
        <f t="shared" si="50"/>
        <v>2</v>
      </c>
      <c r="BJ17" s="1">
        <v>2</v>
      </c>
      <c r="BK17" s="1">
        <v>2</v>
      </c>
      <c r="BL17" s="1">
        <v>2</v>
      </c>
      <c r="BM17" s="1">
        <v>3</v>
      </c>
      <c r="BN17" s="1">
        <v>3</v>
      </c>
      <c r="BO17" s="1">
        <v>3</v>
      </c>
      <c r="BP17" s="1">
        <v>2</v>
      </c>
      <c r="BQ17" s="1">
        <v>3</v>
      </c>
      <c r="BR17" s="1">
        <v>3</v>
      </c>
      <c r="BS17" s="1">
        <v>3</v>
      </c>
      <c r="BT17" s="1">
        <v>3</v>
      </c>
      <c r="BU17" s="1">
        <v>3</v>
      </c>
      <c r="BV17" s="1">
        <v>3</v>
      </c>
      <c r="BW17" s="1">
        <v>3</v>
      </c>
      <c r="BX17" s="1">
        <v>3</v>
      </c>
      <c r="BY17" s="1">
        <v>1</v>
      </c>
      <c r="BZ17" s="1">
        <v>1</v>
      </c>
      <c r="CA17" s="1">
        <v>2</v>
      </c>
      <c r="CB17" s="1">
        <v>2</v>
      </c>
      <c r="CC17" s="1">
        <v>2</v>
      </c>
      <c r="CD17" s="1">
        <v>2</v>
      </c>
      <c r="CE17" s="1">
        <v>1</v>
      </c>
      <c r="CF17" s="1">
        <v>3</v>
      </c>
      <c r="CG17" s="1">
        <v>3</v>
      </c>
      <c r="CH17" s="1">
        <v>3</v>
      </c>
      <c r="CI17" s="1">
        <v>2</v>
      </c>
      <c r="CJ17" s="1">
        <f t="shared" si="51"/>
        <v>9</v>
      </c>
      <c r="CK17" s="1">
        <f t="shared" si="52"/>
        <v>2</v>
      </c>
      <c r="CL17" s="1">
        <f t="shared" si="53"/>
        <v>6</v>
      </c>
      <c r="CM17" s="1">
        <f t="shared" si="7"/>
        <v>3</v>
      </c>
      <c r="CN17" s="1">
        <f t="shared" si="8"/>
        <v>9</v>
      </c>
      <c r="CO17" s="1">
        <f t="shared" si="9"/>
        <v>4</v>
      </c>
      <c r="CP17" s="1">
        <f t="shared" si="54"/>
        <v>8</v>
      </c>
      <c r="CQ17" s="1">
        <f t="shared" si="10"/>
        <v>4</v>
      </c>
      <c r="CR17" s="1">
        <f t="shared" si="11"/>
        <v>18</v>
      </c>
      <c r="CS17" s="1">
        <f t="shared" si="12"/>
        <v>5</v>
      </c>
      <c r="CT17" s="1">
        <f t="shared" si="55"/>
        <v>22</v>
      </c>
      <c r="CU17" s="1">
        <f t="shared" si="13"/>
        <v>3</v>
      </c>
      <c r="CV17" s="1">
        <v>3</v>
      </c>
      <c r="CW17" s="1">
        <v>2</v>
      </c>
      <c r="CX17" s="1">
        <v>2</v>
      </c>
      <c r="CY17" s="1">
        <v>3</v>
      </c>
      <c r="CZ17" s="1">
        <v>2</v>
      </c>
      <c r="DA17" s="1">
        <v>3</v>
      </c>
      <c r="DB17" s="1">
        <v>3</v>
      </c>
      <c r="DC17" s="1">
        <v>2</v>
      </c>
      <c r="DD17" s="1">
        <v>3</v>
      </c>
      <c r="DE17" s="1">
        <v>2</v>
      </c>
      <c r="DF17" s="1">
        <v>2</v>
      </c>
      <c r="DG17" s="1">
        <f t="shared" si="56"/>
        <v>6</v>
      </c>
      <c r="DH17" s="1">
        <f t="shared" si="14"/>
        <v>3</v>
      </c>
      <c r="DI17" s="1">
        <f t="shared" si="57"/>
        <v>9</v>
      </c>
      <c r="DJ17" s="1">
        <f t="shared" si="15"/>
        <v>3</v>
      </c>
      <c r="DK17" s="1">
        <f t="shared" si="58"/>
        <v>7</v>
      </c>
      <c r="DL17" s="1">
        <f t="shared" si="59"/>
        <v>4</v>
      </c>
      <c r="DM17" s="1">
        <f t="shared" si="60"/>
        <v>6</v>
      </c>
      <c r="DN17" s="1">
        <f t="shared" si="16"/>
        <v>3</v>
      </c>
      <c r="DO17" s="1">
        <f t="shared" si="61"/>
        <v>21</v>
      </c>
      <c r="DP17" s="1">
        <f t="shared" si="62"/>
        <v>29</v>
      </c>
      <c r="DQ17" s="1">
        <f t="shared" si="17"/>
        <v>10</v>
      </c>
      <c r="DR17" s="23" t="str">
        <f t="shared" si="63"/>
        <v>中①</v>
      </c>
      <c r="DS17" s="23" t="str">
        <f t="shared" si="64"/>
        <v/>
      </c>
      <c r="DT17" s="32">
        <v>0.35299999999999998</v>
      </c>
      <c r="DU17" s="32">
        <v>105.29</v>
      </c>
      <c r="DV17" s="32">
        <v>1.34</v>
      </c>
      <c r="DW17" s="32">
        <v>67</v>
      </c>
      <c r="DX17" s="30" t="s">
        <v>60</v>
      </c>
    </row>
    <row r="18" spans="1:128" ht="15.75" customHeight="1">
      <c r="A18" s="1">
        <v>424</v>
      </c>
      <c r="B18" s="18" t="s">
        <v>83</v>
      </c>
      <c r="C18" s="29">
        <v>28</v>
      </c>
      <c r="D18" s="1">
        <v>1</v>
      </c>
      <c r="E18" s="1">
        <v>3</v>
      </c>
      <c r="F18" s="1">
        <v>2</v>
      </c>
      <c r="G18" s="1">
        <v>2</v>
      </c>
      <c r="H18" s="1">
        <v>4</v>
      </c>
      <c r="I18" s="1">
        <v>2</v>
      </c>
      <c r="J18" s="1">
        <v>3</v>
      </c>
      <c r="K18" s="1">
        <v>1</v>
      </c>
      <c r="L18" s="1">
        <v>2</v>
      </c>
      <c r="M18" s="1">
        <v>1</v>
      </c>
      <c r="N18" s="1">
        <v>3</v>
      </c>
      <c r="O18" s="1">
        <v>2</v>
      </c>
      <c r="P18" s="1">
        <v>4</v>
      </c>
      <c r="Q18" s="1">
        <v>1</v>
      </c>
      <c r="R18" s="1">
        <v>2</v>
      </c>
      <c r="S18" s="1">
        <v>2</v>
      </c>
      <c r="T18" s="1">
        <v>1</v>
      </c>
      <c r="U18" s="1">
        <f t="shared" si="18"/>
        <v>4</v>
      </c>
      <c r="V18" s="1">
        <f t="shared" si="19"/>
        <v>2</v>
      </c>
      <c r="W18" s="1">
        <f t="shared" si="20"/>
        <v>3</v>
      </c>
      <c r="X18" s="1">
        <f t="shared" si="21"/>
        <v>3</v>
      </c>
      <c r="Y18" s="1">
        <f t="shared" si="22"/>
        <v>1</v>
      </c>
      <c r="Z18" s="1">
        <f t="shared" si="23"/>
        <v>3</v>
      </c>
      <c r="AA18" s="1">
        <f t="shared" si="24"/>
        <v>2</v>
      </c>
      <c r="AB18" s="1">
        <f t="shared" si="25"/>
        <v>4</v>
      </c>
      <c r="AC18" s="1">
        <f t="shared" si="26"/>
        <v>2</v>
      </c>
      <c r="AD18" s="1">
        <f t="shared" si="27"/>
        <v>1</v>
      </c>
      <c r="AE18" s="1">
        <f t="shared" si="28"/>
        <v>2</v>
      </c>
      <c r="AF18" s="1">
        <f t="shared" si="29"/>
        <v>3</v>
      </c>
      <c r="AG18" s="1">
        <f t="shared" si="30"/>
        <v>1</v>
      </c>
      <c r="AH18" s="1">
        <f t="shared" si="31"/>
        <v>1</v>
      </c>
      <c r="AI18" s="1">
        <f t="shared" si="32"/>
        <v>3</v>
      </c>
      <c r="AJ18" s="1">
        <f t="shared" si="33"/>
        <v>2</v>
      </c>
      <c r="AK18" s="1">
        <f t="shared" si="34"/>
        <v>1</v>
      </c>
      <c r="AL18" s="1">
        <f t="shared" si="65"/>
        <v>9</v>
      </c>
      <c r="AM18" s="1">
        <f t="shared" si="2"/>
        <v>3</v>
      </c>
      <c r="AN18" s="1">
        <f t="shared" si="35"/>
        <v>7</v>
      </c>
      <c r="AO18" s="1">
        <f t="shared" si="3"/>
        <v>3</v>
      </c>
      <c r="AP18" s="1">
        <f t="shared" si="36"/>
        <v>2</v>
      </c>
      <c r="AQ18" s="1">
        <f t="shared" si="37"/>
        <v>3</v>
      </c>
      <c r="AR18" s="1">
        <f t="shared" si="38"/>
        <v>5</v>
      </c>
      <c r="AS18" s="1">
        <f t="shared" si="39"/>
        <v>2</v>
      </c>
      <c r="AT18" s="1">
        <f t="shared" si="40"/>
        <v>3</v>
      </c>
      <c r="AU18" s="1">
        <f t="shared" si="4"/>
        <v>4</v>
      </c>
      <c r="AV18" s="1">
        <f t="shared" si="41"/>
        <v>11</v>
      </c>
      <c r="AW18" s="1">
        <f t="shared" si="5"/>
        <v>1</v>
      </c>
      <c r="AX18" s="38">
        <f t="shared" si="42"/>
        <v>3</v>
      </c>
      <c r="AY18" s="1">
        <f t="shared" si="43"/>
        <v>3</v>
      </c>
      <c r="AZ18" s="1">
        <f t="shared" si="44"/>
        <v>3</v>
      </c>
      <c r="BA18" s="1">
        <f t="shared" si="45"/>
        <v>3</v>
      </c>
      <c r="BB18" s="1">
        <f t="shared" si="46"/>
        <v>4</v>
      </c>
      <c r="BC18" s="1">
        <f t="shared" si="47"/>
        <v>1</v>
      </c>
      <c r="BD18" s="1">
        <v>2</v>
      </c>
      <c r="BE18" s="1">
        <v>3</v>
      </c>
      <c r="BF18" s="1">
        <v>2</v>
      </c>
      <c r="BG18" s="1">
        <f t="shared" si="48"/>
        <v>3</v>
      </c>
      <c r="BH18" s="1">
        <f t="shared" si="49"/>
        <v>2</v>
      </c>
      <c r="BI18" s="1">
        <f t="shared" si="50"/>
        <v>3</v>
      </c>
      <c r="BJ18" s="1">
        <v>3</v>
      </c>
      <c r="BK18" s="1">
        <v>3</v>
      </c>
      <c r="BL18" s="1">
        <v>3</v>
      </c>
      <c r="BM18" s="1">
        <v>2</v>
      </c>
      <c r="BN18" s="1">
        <v>2</v>
      </c>
      <c r="BO18" s="1">
        <v>1</v>
      </c>
      <c r="BP18" s="1">
        <v>2</v>
      </c>
      <c r="BQ18" s="1">
        <v>2</v>
      </c>
      <c r="BR18" s="1">
        <v>1</v>
      </c>
      <c r="BS18" s="1">
        <v>2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2</v>
      </c>
      <c r="BZ18" s="1">
        <v>1</v>
      </c>
      <c r="CA18" s="1">
        <v>1</v>
      </c>
      <c r="CB18" s="1">
        <v>3</v>
      </c>
      <c r="CC18" s="1">
        <v>3</v>
      </c>
      <c r="CD18" s="1">
        <v>3</v>
      </c>
      <c r="CE18" s="1">
        <v>1</v>
      </c>
      <c r="CF18" s="1">
        <v>1</v>
      </c>
      <c r="CG18" s="1">
        <v>1</v>
      </c>
      <c r="CH18" s="1">
        <v>2</v>
      </c>
      <c r="CI18" s="1">
        <v>1</v>
      </c>
      <c r="CJ18" s="1">
        <f t="shared" si="51"/>
        <v>7</v>
      </c>
      <c r="CK18" s="1">
        <f t="shared" si="52"/>
        <v>3</v>
      </c>
      <c r="CL18" s="1">
        <f t="shared" si="53"/>
        <v>9</v>
      </c>
      <c r="CM18" s="1">
        <f t="shared" si="7"/>
        <v>4</v>
      </c>
      <c r="CN18" s="1">
        <f t="shared" si="8"/>
        <v>5</v>
      </c>
      <c r="CO18" s="1">
        <f t="shared" si="9"/>
        <v>2</v>
      </c>
      <c r="CP18" s="1">
        <f t="shared" si="54"/>
        <v>5</v>
      </c>
      <c r="CQ18" s="1">
        <f t="shared" si="10"/>
        <v>3</v>
      </c>
      <c r="CR18" s="1">
        <f t="shared" si="11"/>
        <v>7</v>
      </c>
      <c r="CS18" s="1">
        <f t="shared" si="12"/>
        <v>2</v>
      </c>
      <c r="CT18" s="1">
        <f t="shared" si="55"/>
        <v>19</v>
      </c>
      <c r="CU18" s="1">
        <f t="shared" si="13"/>
        <v>3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2</v>
      </c>
      <c r="DC18" s="1">
        <v>2</v>
      </c>
      <c r="DD18" s="1">
        <v>2</v>
      </c>
      <c r="DE18" s="1">
        <v>1</v>
      </c>
      <c r="DF18" s="1">
        <v>1</v>
      </c>
      <c r="DG18" s="1">
        <f t="shared" si="56"/>
        <v>11</v>
      </c>
      <c r="DH18" s="1">
        <f t="shared" si="14"/>
        <v>1</v>
      </c>
      <c r="DI18" s="1">
        <f t="shared" si="57"/>
        <v>11</v>
      </c>
      <c r="DJ18" s="1">
        <f t="shared" si="15"/>
        <v>2</v>
      </c>
      <c r="DK18" s="1">
        <f t="shared" si="58"/>
        <v>11</v>
      </c>
      <c r="DL18" s="1">
        <f t="shared" si="59"/>
        <v>2</v>
      </c>
      <c r="DM18" s="1">
        <f t="shared" si="60"/>
        <v>8</v>
      </c>
      <c r="DN18" s="1">
        <f t="shared" si="16"/>
        <v>1</v>
      </c>
      <c r="DO18" s="1">
        <f t="shared" si="61"/>
        <v>17</v>
      </c>
      <c r="DP18" s="1">
        <f t="shared" si="62"/>
        <v>23</v>
      </c>
      <c r="DQ18" s="1">
        <f t="shared" si="17"/>
        <v>5</v>
      </c>
      <c r="DR18" s="23" t="str">
        <f t="shared" si="63"/>
        <v>低</v>
      </c>
      <c r="DS18" s="23" t="str">
        <f t="shared" si="64"/>
        <v/>
      </c>
      <c r="DT18" s="32">
        <v>0.13600000000000001</v>
      </c>
      <c r="DU18" s="32">
        <v>53.28</v>
      </c>
      <c r="DV18" s="32">
        <v>1.02</v>
      </c>
      <c r="DW18" s="32">
        <v>51</v>
      </c>
      <c r="DX18" s="30" t="s">
        <v>60</v>
      </c>
    </row>
    <row r="19" spans="1:128" ht="15.75" customHeight="1">
      <c r="A19" s="2">
        <v>425</v>
      </c>
      <c r="B19" s="18" t="s">
        <v>83</v>
      </c>
      <c r="C19" s="29">
        <v>53</v>
      </c>
      <c r="D19" s="1">
        <v>3</v>
      </c>
      <c r="E19" s="1">
        <v>4</v>
      </c>
      <c r="F19" s="1">
        <v>1</v>
      </c>
      <c r="G19" s="1">
        <v>2</v>
      </c>
      <c r="H19" s="1">
        <v>1</v>
      </c>
      <c r="I19" s="1">
        <v>2</v>
      </c>
      <c r="J19" s="1">
        <v>3</v>
      </c>
      <c r="K19" s="1">
        <v>3</v>
      </c>
      <c r="L19" s="1">
        <v>3</v>
      </c>
      <c r="M19" s="1">
        <v>2</v>
      </c>
      <c r="N19" s="1">
        <v>4</v>
      </c>
      <c r="O19" s="1">
        <v>4</v>
      </c>
      <c r="P19" s="1">
        <v>4</v>
      </c>
      <c r="Q19" s="1">
        <v>1</v>
      </c>
      <c r="R19" s="1">
        <v>4</v>
      </c>
      <c r="S19" s="1">
        <v>1</v>
      </c>
      <c r="T19" s="1">
        <v>1</v>
      </c>
      <c r="U19" s="1">
        <f t="shared" si="18"/>
        <v>2</v>
      </c>
      <c r="V19" s="1">
        <f t="shared" si="19"/>
        <v>1</v>
      </c>
      <c r="W19" s="1">
        <f t="shared" si="20"/>
        <v>4</v>
      </c>
      <c r="X19" s="1">
        <f t="shared" si="21"/>
        <v>3</v>
      </c>
      <c r="Y19" s="1">
        <f t="shared" si="22"/>
        <v>4</v>
      </c>
      <c r="Z19" s="1">
        <f t="shared" si="23"/>
        <v>3</v>
      </c>
      <c r="AA19" s="1">
        <f t="shared" si="24"/>
        <v>2</v>
      </c>
      <c r="AB19" s="1">
        <f t="shared" si="25"/>
        <v>2</v>
      </c>
      <c r="AC19" s="1">
        <f t="shared" si="26"/>
        <v>3</v>
      </c>
      <c r="AD19" s="1">
        <f t="shared" si="27"/>
        <v>2</v>
      </c>
      <c r="AE19" s="1">
        <f t="shared" si="28"/>
        <v>1</v>
      </c>
      <c r="AF19" s="1">
        <f t="shared" si="29"/>
        <v>1</v>
      </c>
      <c r="AG19" s="1">
        <f t="shared" si="30"/>
        <v>1</v>
      </c>
      <c r="AH19" s="1">
        <f t="shared" si="31"/>
        <v>1</v>
      </c>
      <c r="AI19" s="1">
        <f t="shared" si="32"/>
        <v>1</v>
      </c>
      <c r="AJ19" s="1">
        <f t="shared" si="33"/>
        <v>1</v>
      </c>
      <c r="AK19" s="1">
        <f t="shared" si="34"/>
        <v>1</v>
      </c>
      <c r="AL19" s="1">
        <f t="shared" si="65"/>
        <v>7</v>
      </c>
      <c r="AM19" s="1">
        <f t="shared" si="2"/>
        <v>3</v>
      </c>
      <c r="AN19" s="1">
        <f t="shared" si="35"/>
        <v>10</v>
      </c>
      <c r="AO19" s="1">
        <f t="shared" si="3"/>
        <v>4</v>
      </c>
      <c r="AP19" s="1">
        <f t="shared" si="36"/>
        <v>2</v>
      </c>
      <c r="AQ19" s="1">
        <f t="shared" si="37"/>
        <v>3</v>
      </c>
      <c r="AR19" s="1">
        <f t="shared" si="38"/>
        <v>3</v>
      </c>
      <c r="AS19" s="1">
        <f t="shared" si="39"/>
        <v>1</v>
      </c>
      <c r="AT19" s="1">
        <f t="shared" si="40"/>
        <v>1</v>
      </c>
      <c r="AU19" s="1">
        <f t="shared" si="4"/>
        <v>1</v>
      </c>
      <c r="AV19" s="1">
        <f t="shared" si="41"/>
        <v>7</v>
      </c>
      <c r="AW19" s="1">
        <f t="shared" si="5"/>
        <v>3</v>
      </c>
      <c r="AX19" s="38">
        <f t="shared" si="42"/>
        <v>4</v>
      </c>
      <c r="AY19" s="1">
        <f t="shared" si="43"/>
        <v>2</v>
      </c>
      <c r="AZ19" s="1">
        <f t="shared" si="44"/>
        <v>4</v>
      </c>
      <c r="BA19" s="1">
        <f t="shared" si="45"/>
        <v>1</v>
      </c>
      <c r="BB19" s="1">
        <f t="shared" si="46"/>
        <v>4</v>
      </c>
      <c r="BC19" s="1">
        <f t="shared" si="47"/>
        <v>1</v>
      </c>
      <c r="BD19" s="1">
        <v>3</v>
      </c>
      <c r="BE19" s="1">
        <v>4</v>
      </c>
      <c r="BF19" s="1">
        <v>4</v>
      </c>
      <c r="BG19" s="1">
        <f t="shared" si="48"/>
        <v>2</v>
      </c>
      <c r="BH19" s="1">
        <f t="shared" si="49"/>
        <v>1</v>
      </c>
      <c r="BI19" s="1">
        <f t="shared" si="50"/>
        <v>1</v>
      </c>
      <c r="BJ19" s="1">
        <v>2</v>
      </c>
      <c r="BK19" s="1">
        <v>2</v>
      </c>
      <c r="BL19" s="1">
        <v>2</v>
      </c>
      <c r="BM19" s="1">
        <v>2</v>
      </c>
      <c r="BN19" s="1">
        <v>2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2</v>
      </c>
      <c r="CA19" s="1">
        <v>2</v>
      </c>
      <c r="CB19" s="1">
        <v>4</v>
      </c>
      <c r="CC19" s="1">
        <v>2</v>
      </c>
      <c r="CD19" s="1">
        <v>2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f t="shared" si="51"/>
        <v>11</v>
      </c>
      <c r="CK19" s="1">
        <f t="shared" si="52"/>
        <v>1</v>
      </c>
      <c r="CL19" s="1">
        <f t="shared" si="53"/>
        <v>6</v>
      </c>
      <c r="CM19" s="1">
        <f t="shared" si="7"/>
        <v>3</v>
      </c>
      <c r="CN19" s="1">
        <f t="shared" si="8"/>
        <v>5</v>
      </c>
      <c r="CO19" s="1">
        <f t="shared" si="9"/>
        <v>2</v>
      </c>
      <c r="CP19" s="1">
        <f t="shared" si="54"/>
        <v>3</v>
      </c>
      <c r="CQ19" s="1">
        <f t="shared" si="10"/>
        <v>1</v>
      </c>
      <c r="CR19" s="1">
        <f t="shared" si="11"/>
        <v>6</v>
      </c>
      <c r="CS19" s="1">
        <f t="shared" si="12"/>
        <v>1</v>
      </c>
      <c r="CT19" s="1">
        <f t="shared" si="55"/>
        <v>18</v>
      </c>
      <c r="CU19" s="1">
        <f t="shared" si="13"/>
        <v>3</v>
      </c>
      <c r="CV19" s="1">
        <v>2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2</v>
      </c>
      <c r="DF19" s="1">
        <v>1</v>
      </c>
      <c r="DG19" s="1">
        <f t="shared" si="56"/>
        <v>11</v>
      </c>
      <c r="DH19" s="1">
        <f t="shared" si="14"/>
        <v>1</v>
      </c>
      <c r="DI19" s="1">
        <f t="shared" si="57"/>
        <v>12</v>
      </c>
      <c r="DJ19" s="1">
        <f t="shared" si="15"/>
        <v>2</v>
      </c>
      <c r="DK19" s="1">
        <f t="shared" si="58"/>
        <v>12</v>
      </c>
      <c r="DL19" s="1">
        <f t="shared" si="59"/>
        <v>1</v>
      </c>
      <c r="DM19" s="1">
        <f t="shared" si="60"/>
        <v>7</v>
      </c>
      <c r="DN19" s="1">
        <f t="shared" si="16"/>
        <v>2</v>
      </c>
      <c r="DO19" s="1">
        <f t="shared" si="61"/>
        <v>11</v>
      </c>
      <c r="DP19" s="1">
        <f t="shared" si="62"/>
        <v>19</v>
      </c>
      <c r="DQ19" s="1">
        <f t="shared" si="17"/>
        <v>4</v>
      </c>
      <c r="DR19" s="23" t="str">
        <f t="shared" si="63"/>
        <v>低</v>
      </c>
      <c r="DS19" s="23" t="str">
        <f t="shared" si="64"/>
        <v/>
      </c>
      <c r="DT19" s="32">
        <v>0.123</v>
      </c>
      <c r="DU19" s="32">
        <v>37.94</v>
      </c>
      <c r="DV19" s="32">
        <v>1.3</v>
      </c>
      <c r="DW19" s="32">
        <v>65</v>
      </c>
      <c r="DX19" s="30" t="s">
        <v>60</v>
      </c>
    </row>
    <row r="20" spans="1:128" ht="15.75" customHeight="1">
      <c r="A20">
        <v>426</v>
      </c>
      <c r="B20" s="18" t="s">
        <v>82</v>
      </c>
      <c r="C20" s="29">
        <v>28</v>
      </c>
      <c r="D20" s="1">
        <v>2</v>
      </c>
      <c r="E20" s="1">
        <v>3</v>
      </c>
      <c r="F20" s="1">
        <v>2</v>
      </c>
      <c r="G20" s="1">
        <v>3</v>
      </c>
      <c r="H20" s="1">
        <v>3</v>
      </c>
      <c r="I20" s="1">
        <v>2</v>
      </c>
      <c r="J20" s="1">
        <v>3</v>
      </c>
      <c r="K20" s="1">
        <v>2</v>
      </c>
      <c r="L20" s="1">
        <v>2</v>
      </c>
      <c r="M20" s="1">
        <v>2</v>
      </c>
      <c r="N20" s="1">
        <v>3</v>
      </c>
      <c r="O20" s="1">
        <v>2</v>
      </c>
      <c r="P20" s="1">
        <v>2</v>
      </c>
      <c r="Q20" s="1">
        <v>2</v>
      </c>
      <c r="R20" s="1">
        <v>3</v>
      </c>
      <c r="S20" s="1">
        <v>2</v>
      </c>
      <c r="T20" s="1">
        <v>2</v>
      </c>
      <c r="U20" s="1">
        <f t="shared" si="18"/>
        <v>3</v>
      </c>
      <c r="V20" s="1">
        <f t="shared" si="19"/>
        <v>2</v>
      </c>
      <c r="W20" s="1">
        <f t="shared" si="20"/>
        <v>3</v>
      </c>
      <c r="X20" s="1">
        <f t="shared" si="21"/>
        <v>2</v>
      </c>
      <c r="Y20" s="1">
        <f t="shared" si="22"/>
        <v>2</v>
      </c>
      <c r="Z20" s="1">
        <f t="shared" si="23"/>
        <v>3</v>
      </c>
      <c r="AA20" s="1">
        <f t="shared" si="24"/>
        <v>2</v>
      </c>
      <c r="AB20" s="1">
        <f t="shared" si="25"/>
        <v>3</v>
      </c>
      <c r="AC20" s="1">
        <f t="shared" si="26"/>
        <v>2</v>
      </c>
      <c r="AD20" s="1">
        <f t="shared" si="27"/>
        <v>2</v>
      </c>
      <c r="AE20" s="1">
        <f t="shared" si="28"/>
        <v>2</v>
      </c>
      <c r="AF20" s="1">
        <f t="shared" si="29"/>
        <v>3</v>
      </c>
      <c r="AG20" s="1">
        <f t="shared" si="30"/>
        <v>3</v>
      </c>
      <c r="AH20" s="1">
        <f t="shared" si="31"/>
        <v>2</v>
      </c>
      <c r="AI20" s="1">
        <f t="shared" si="32"/>
        <v>2</v>
      </c>
      <c r="AJ20" s="1">
        <f t="shared" si="33"/>
        <v>2</v>
      </c>
      <c r="AK20" s="1">
        <f t="shared" si="34"/>
        <v>2</v>
      </c>
      <c r="AL20" s="1">
        <f t="shared" si="65"/>
        <v>8</v>
      </c>
      <c r="AM20" s="1">
        <f t="shared" si="2"/>
        <v>3</v>
      </c>
      <c r="AN20" s="1">
        <f t="shared" si="35"/>
        <v>7</v>
      </c>
      <c r="AO20" s="1">
        <f t="shared" si="3"/>
        <v>2</v>
      </c>
      <c r="AP20" s="1">
        <f t="shared" si="36"/>
        <v>2</v>
      </c>
      <c r="AQ20" s="1">
        <f t="shared" si="37"/>
        <v>3</v>
      </c>
      <c r="AR20" s="1">
        <f t="shared" si="38"/>
        <v>8</v>
      </c>
      <c r="AS20" s="1">
        <f t="shared" si="39"/>
        <v>4</v>
      </c>
      <c r="AT20" s="1">
        <f t="shared" si="40"/>
        <v>2</v>
      </c>
      <c r="AU20" s="1">
        <f t="shared" si="4"/>
        <v>3</v>
      </c>
      <c r="AV20" s="1">
        <f t="shared" si="41"/>
        <v>9</v>
      </c>
      <c r="AW20" s="1">
        <f t="shared" si="5"/>
        <v>2</v>
      </c>
      <c r="AX20" s="38">
        <f t="shared" si="42"/>
        <v>3</v>
      </c>
      <c r="AY20" s="1">
        <f t="shared" si="43"/>
        <v>3</v>
      </c>
      <c r="AZ20" s="1">
        <f t="shared" si="44"/>
        <v>3</v>
      </c>
      <c r="BA20" s="1">
        <f t="shared" si="45"/>
        <v>3</v>
      </c>
      <c r="BB20" s="1">
        <f t="shared" si="46"/>
        <v>3</v>
      </c>
      <c r="BC20" s="1">
        <f t="shared" si="47"/>
        <v>3</v>
      </c>
      <c r="BD20" s="1">
        <v>2</v>
      </c>
      <c r="BE20" s="1">
        <v>2</v>
      </c>
      <c r="BF20" s="1">
        <v>2</v>
      </c>
      <c r="BG20" s="1">
        <f t="shared" si="48"/>
        <v>3</v>
      </c>
      <c r="BH20" s="1">
        <f t="shared" si="49"/>
        <v>3</v>
      </c>
      <c r="BI20" s="1">
        <f t="shared" si="50"/>
        <v>3</v>
      </c>
      <c r="BJ20" s="1">
        <v>3</v>
      </c>
      <c r="BK20" s="1">
        <v>3</v>
      </c>
      <c r="BL20" s="1">
        <v>3</v>
      </c>
      <c r="BM20" s="1">
        <v>2</v>
      </c>
      <c r="BN20" s="1">
        <v>1</v>
      </c>
      <c r="BO20" s="1">
        <v>1</v>
      </c>
      <c r="BP20" s="1">
        <v>2</v>
      </c>
      <c r="BQ20" s="1">
        <v>1</v>
      </c>
      <c r="BR20" s="1">
        <v>2</v>
      </c>
      <c r="BS20" s="1">
        <v>1</v>
      </c>
      <c r="BT20" s="1">
        <v>1</v>
      </c>
      <c r="BU20" s="1">
        <v>2</v>
      </c>
      <c r="BV20" s="1">
        <v>2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2</v>
      </c>
      <c r="CC20" s="1">
        <v>2</v>
      </c>
      <c r="CD20" s="1">
        <v>1</v>
      </c>
      <c r="CE20" s="1">
        <v>1</v>
      </c>
      <c r="CF20" s="1">
        <v>1</v>
      </c>
      <c r="CG20" s="1">
        <v>1</v>
      </c>
      <c r="CH20" s="1">
        <v>2</v>
      </c>
      <c r="CI20" s="1">
        <v>1</v>
      </c>
      <c r="CJ20" s="1">
        <f t="shared" si="51"/>
        <v>6</v>
      </c>
      <c r="CK20" s="1">
        <f t="shared" si="52"/>
        <v>3</v>
      </c>
      <c r="CL20" s="1">
        <f t="shared" si="53"/>
        <v>9</v>
      </c>
      <c r="CM20" s="1">
        <f t="shared" si="7"/>
        <v>4</v>
      </c>
      <c r="CN20" s="1">
        <f t="shared" si="8"/>
        <v>4</v>
      </c>
      <c r="CO20" s="1">
        <f t="shared" si="9"/>
        <v>2</v>
      </c>
      <c r="CP20" s="1">
        <f t="shared" si="54"/>
        <v>5</v>
      </c>
      <c r="CQ20" s="1">
        <f t="shared" si="10"/>
        <v>3</v>
      </c>
      <c r="CR20" s="1">
        <f t="shared" si="11"/>
        <v>8</v>
      </c>
      <c r="CS20" s="1">
        <f t="shared" si="12"/>
        <v>2</v>
      </c>
      <c r="CT20" s="1">
        <f t="shared" si="55"/>
        <v>14</v>
      </c>
      <c r="CU20" s="1">
        <f t="shared" si="13"/>
        <v>2</v>
      </c>
      <c r="CV20" s="1">
        <v>2</v>
      </c>
      <c r="CW20" s="1">
        <v>2</v>
      </c>
      <c r="CX20" s="1">
        <v>1</v>
      </c>
      <c r="CY20" s="1">
        <v>2</v>
      </c>
      <c r="CZ20" s="1">
        <v>2</v>
      </c>
      <c r="DA20" s="1">
        <v>1</v>
      </c>
      <c r="DB20" s="1">
        <v>3</v>
      </c>
      <c r="DC20" s="1">
        <v>2</v>
      </c>
      <c r="DD20" s="1">
        <v>1</v>
      </c>
      <c r="DE20" s="1">
        <v>2</v>
      </c>
      <c r="DF20" s="1">
        <v>1</v>
      </c>
      <c r="DG20" s="1">
        <f t="shared" si="56"/>
        <v>8</v>
      </c>
      <c r="DH20" s="1">
        <f t="shared" si="14"/>
        <v>3</v>
      </c>
      <c r="DI20" s="1">
        <f t="shared" si="57"/>
        <v>9</v>
      </c>
      <c r="DJ20" s="1">
        <f t="shared" si="15"/>
        <v>3</v>
      </c>
      <c r="DK20" s="1">
        <f t="shared" si="58"/>
        <v>12</v>
      </c>
      <c r="DL20" s="1">
        <f t="shared" si="59"/>
        <v>1</v>
      </c>
      <c r="DM20" s="1">
        <f t="shared" si="60"/>
        <v>7</v>
      </c>
      <c r="DN20" s="1">
        <f t="shared" si="16"/>
        <v>2</v>
      </c>
      <c r="DO20" s="1">
        <f t="shared" si="61"/>
        <v>16</v>
      </c>
      <c r="DP20" s="1">
        <f t="shared" si="62"/>
        <v>26</v>
      </c>
      <c r="DQ20" s="1">
        <f t="shared" si="17"/>
        <v>7</v>
      </c>
      <c r="DR20" s="23" t="str">
        <f t="shared" si="63"/>
        <v>低</v>
      </c>
      <c r="DS20" s="23" t="str">
        <f t="shared" si="64"/>
        <v/>
      </c>
      <c r="DT20" s="32">
        <v>0.39100000000000001</v>
      </c>
      <c r="DU20" s="32">
        <v>135.87</v>
      </c>
      <c r="DV20" s="32">
        <v>1.1499999999999999</v>
      </c>
      <c r="DW20" s="32">
        <v>58</v>
      </c>
      <c r="DX20" s="30" t="s">
        <v>60</v>
      </c>
    </row>
    <row r="21" spans="1:128" ht="15.75" customHeight="1">
      <c r="A21" s="1">
        <v>475</v>
      </c>
      <c r="B21" s="18" t="s">
        <v>83</v>
      </c>
      <c r="C21" s="29">
        <v>26</v>
      </c>
      <c r="D21" s="1">
        <v>3</v>
      </c>
      <c r="E21" s="1">
        <v>2</v>
      </c>
      <c r="F21" s="1">
        <v>2</v>
      </c>
      <c r="G21" s="1">
        <v>2</v>
      </c>
      <c r="H21" s="1">
        <v>2</v>
      </c>
      <c r="I21" s="1">
        <v>3</v>
      </c>
      <c r="J21" s="1">
        <v>3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3</v>
      </c>
      <c r="Q21" s="1">
        <v>2</v>
      </c>
      <c r="R21" s="1">
        <v>2</v>
      </c>
      <c r="S21" s="1">
        <v>2</v>
      </c>
      <c r="T21" s="1">
        <v>2</v>
      </c>
      <c r="U21" s="1">
        <f t="shared" si="18"/>
        <v>2</v>
      </c>
      <c r="V21" s="1">
        <f t="shared" si="19"/>
        <v>3</v>
      </c>
      <c r="W21" s="1">
        <f t="shared" si="20"/>
        <v>3</v>
      </c>
      <c r="X21" s="1">
        <f t="shared" si="21"/>
        <v>3</v>
      </c>
      <c r="Y21" s="1">
        <f t="shared" si="22"/>
        <v>3</v>
      </c>
      <c r="Z21" s="1">
        <f t="shared" si="23"/>
        <v>2</v>
      </c>
      <c r="AA21" s="1">
        <f t="shared" si="24"/>
        <v>2</v>
      </c>
      <c r="AB21" s="1">
        <f t="shared" si="25"/>
        <v>3</v>
      </c>
      <c r="AC21" s="1">
        <f t="shared" si="26"/>
        <v>2</v>
      </c>
      <c r="AD21" s="1">
        <f t="shared" si="27"/>
        <v>2</v>
      </c>
      <c r="AE21" s="1">
        <f t="shared" si="28"/>
        <v>3</v>
      </c>
      <c r="AF21" s="1">
        <f t="shared" si="29"/>
        <v>3</v>
      </c>
      <c r="AG21" s="1">
        <f t="shared" si="30"/>
        <v>2</v>
      </c>
      <c r="AH21" s="1">
        <f t="shared" si="31"/>
        <v>2</v>
      </c>
      <c r="AI21" s="1">
        <f t="shared" si="32"/>
        <v>3</v>
      </c>
      <c r="AJ21" s="1">
        <f t="shared" si="33"/>
        <v>2</v>
      </c>
      <c r="AK21" s="1">
        <f t="shared" si="34"/>
        <v>2</v>
      </c>
      <c r="AL21" s="1">
        <f t="shared" si="65"/>
        <v>8</v>
      </c>
      <c r="AM21" s="1">
        <f t="shared" si="2"/>
        <v>3</v>
      </c>
      <c r="AN21" s="1">
        <f t="shared" si="35"/>
        <v>8</v>
      </c>
      <c r="AO21" s="1">
        <f t="shared" si="3"/>
        <v>3</v>
      </c>
      <c r="AP21" s="1">
        <f t="shared" si="36"/>
        <v>2</v>
      </c>
      <c r="AQ21" s="1">
        <f t="shared" si="37"/>
        <v>3</v>
      </c>
      <c r="AR21" s="1">
        <f t="shared" si="38"/>
        <v>7</v>
      </c>
      <c r="AS21" s="1">
        <f t="shared" si="39"/>
        <v>3</v>
      </c>
      <c r="AT21" s="1">
        <f t="shared" si="40"/>
        <v>3</v>
      </c>
      <c r="AU21" s="1">
        <f t="shared" si="4"/>
        <v>4</v>
      </c>
      <c r="AV21" s="1">
        <f t="shared" si="41"/>
        <v>9</v>
      </c>
      <c r="AW21" s="1">
        <f t="shared" si="5"/>
        <v>2</v>
      </c>
      <c r="AX21" s="38">
        <f t="shared" si="42"/>
        <v>2</v>
      </c>
      <c r="AY21" s="1">
        <f t="shared" si="43"/>
        <v>4</v>
      </c>
      <c r="AZ21" s="1">
        <f t="shared" si="44"/>
        <v>3</v>
      </c>
      <c r="BA21" s="1">
        <f t="shared" si="45"/>
        <v>3</v>
      </c>
      <c r="BB21" s="1">
        <f t="shared" si="46"/>
        <v>3</v>
      </c>
      <c r="BC21" s="1">
        <f t="shared" si="47"/>
        <v>3</v>
      </c>
      <c r="BD21" s="1">
        <v>3</v>
      </c>
      <c r="BE21" s="1">
        <v>3</v>
      </c>
      <c r="BF21" s="1">
        <v>3</v>
      </c>
      <c r="BG21" s="1">
        <f t="shared" si="48"/>
        <v>2</v>
      </c>
      <c r="BH21" s="1">
        <f t="shared" si="49"/>
        <v>2</v>
      </c>
      <c r="BI21" s="1">
        <f t="shared" si="50"/>
        <v>2</v>
      </c>
      <c r="BJ21" s="1">
        <v>2</v>
      </c>
      <c r="BK21" s="1">
        <v>1</v>
      </c>
      <c r="BL21" s="1">
        <v>1</v>
      </c>
      <c r="BM21" s="1">
        <v>2</v>
      </c>
      <c r="BN21" s="1">
        <v>1</v>
      </c>
      <c r="BO21" s="1">
        <v>2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2</v>
      </c>
      <c r="BV21" s="1">
        <v>2</v>
      </c>
      <c r="BW21" s="1">
        <v>1</v>
      </c>
      <c r="BX21" s="1">
        <v>1</v>
      </c>
      <c r="BY21" s="1">
        <v>1</v>
      </c>
      <c r="BZ21" s="1">
        <v>1</v>
      </c>
      <c r="CA21" s="1">
        <v>2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f t="shared" si="51"/>
        <v>9</v>
      </c>
      <c r="CK21" s="1">
        <f t="shared" si="52"/>
        <v>2</v>
      </c>
      <c r="CL21" s="1">
        <f t="shared" si="53"/>
        <v>4</v>
      </c>
      <c r="CM21" s="1">
        <f t="shared" si="7"/>
        <v>2</v>
      </c>
      <c r="CN21" s="1">
        <f t="shared" si="8"/>
        <v>5</v>
      </c>
      <c r="CO21" s="1">
        <f t="shared" si="9"/>
        <v>2</v>
      </c>
      <c r="CP21" s="1">
        <f t="shared" si="54"/>
        <v>3</v>
      </c>
      <c r="CQ21" s="1">
        <f t="shared" si="10"/>
        <v>1</v>
      </c>
      <c r="CR21" s="1">
        <f t="shared" si="11"/>
        <v>8</v>
      </c>
      <c r="CS21" s="1">
        <f t="shared" si="12"/>
        <v>2</v>
      </c>
      <c r="CT21" s="1">
        <f t="shared" si="55"/>
        <v>12</v>
      </c>
      <c r="CU21" s="1">
        <f t="shared" si="13"/>
        <v>1</v>
      </c>
      <c r="CV21" s="1">
        <v>3</v>
      </c>
      <c r="CW21" s="1">
        <v>3</v>
      </c>
      <c r="CX21" s="1">
        <v>1</v>
      </c>
      <c r="CY21" s="1">
        <v>3</v>
      </c>
      <c r="CZ21" s="1">
        <v>3</v>
      </c>
      <c r="DA21" s="1">
        <v>1</v>
      </c>
      <c r="DB21" s="1">
        <v>2</v>
      </c>
      <c r="DC21" s="1">
        <v>2</v>
      </c>
      <c r="DD21" s="1">
        <v>1</v>
      </c>
      <c r="DE21" s="1">
        <v>1</v>
      </c>
      <c r="DF21" s="1">
        <v>1</v>
      </c>
      <c r="DG21" s="1">
        <f t="shared" si="56"/>
        <v>7</v>
      </c>
      <c r="DH21" s="1">
        <f t="shared" si="14"/>
        <v>3</v>
      </c>
      <c r="DI21" s="1">
        <f t="shared" si="57"/>
        <v>7</v>
      </c>
      <c r="DJ21" s="1">
        <f t="shared" si="15"/>
        <v>4</v>
      </c>
      <c r="DK21" s="1">
        <f t="shared" si="58"/>
        <v>12</v>
      </c>
      <c r="DL21" s="1">
        <f t="shared" si="59"/>
        <v>1</v>
      </c>
      <c r="DM21" s="1">
        <f t="shared" si="60"/>
        <v>8</v>
      </c>
      <c r="DN21" s="1">
        <f t="shared" si="16"/>
        <v>1</v>
      </c>
      <c r="DO21" s="1">
        <f t="shared" si="61"/>
        <v>10</v>
      </c>
      <c r="DP21" s="1">
        <f t="shared" si="62"/>
        <v>28</v>
      </c>
      <c r="DQ21" s="1">
        <f t="shared" si="17"/>
        <v>8</v>
      </c>
      <c r="DR21" s="23" t="str">
        <f t="shared" si="63"/>
        <v>低</v>
      </c>
      <c r="DS21" s="23" t="str">
        <f t="shared" si="64"/>
        <v/>
      </c>
      <c r="DT21" s="32">
        <v>0.32100000000000001</v>
      </c>
      <c r="DU21" s="32">
        <v>126.53</v>
      </c>
      <c r="DV21" s="32">
        <v>1.01</v>
      </c>
      <c r="DW21" s="32">
        <v>51</v>
      </c>
      <c r="DX21" s="30" t="s">
        <v>60</v>
      </c>
    </row>
    <row r="22" spans="1:128" ht="15.75" customHeight="1">
      <c r="A22" s="1">
        <v>428</v>
      </c>
      <c r="B22" s="18" t="s">
        <v>82</v>
      </c>
      <c r="C22" s="29">
        <v>27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3</v>
      </c>
      <c r="K22" s="1">
        <v>1</v>
      </c>
      <c r="L22" s="1">
        <v>1</v>
      </c>
      <c r="M22" s="1">
        <v>3</v>
      </c>
      <c r="N22" s="1">
        <v>4</v>
      </c>
      <c r="O22" s="1">
        <v>4</v>
      </c>
      <c r="P22" s="1">
        <v>1</v>
      </c>
      <c r="Q22" s="1">
        <v>1</v>
      </c>
      <c r="R22" s="1">
        <v>4</v>
      </c>
      <c r="S22" s="1">
        <v>3</v>
      </c>
      <c r="T22" s="1">
        <v>2</v>
      </c>
      <c r="U22" s="1">
        <f t="shared" si="18"/>
        <v>4</v>
      </c>
      <c r="V22" s="1">
        <f t="shared" si="19"/>
        <v>4</v>
      </c>
      <c r="W22" s="1">
        <f t="shared" si="20"/>
        <v>4</v>
      </c>
      <c r="X22" s="1">
        <f t="shared" si="21"/>
        <v>4</v>
      </c>
      <c r="Y22" s="1">
        <f t="shared" si="22"/>
        <v>4</v>
      </c>
      <c r="Z22" s="1">
        <f t="shared" si="23"/>
        <v>4</v>
      </c>
      <c r="AA22" s="1">
        <f t="shared" si="24"/>
        <v>2</v>
      </c>
      <c r="AB22" s="1">
        <f t="shared" si="25"/>
        <v>4</v>
      </c>
      <c r="AC22" s="1">
        <f t="shared" si="26"/>
        <v>1</v>
      </c>
      <c r="AD22" s="1">
        <f t="shared" si="27"/>
        <v>3</v>
      </c>
      <c r="AE22" s="1">
        <f t="shared" si="28"/>
        <v>1</v>
      </c>
      <c r="AF22" s="1">
        <f t="shared" si="29"/>
        <v>1</v>
      </c>
      <c r="AG22" s="1">
        <f t="shared" si="30"/>
        <v>4</v>
      </c>
      <c r="AH22" s="1">
        <f t="shared" si="31"/>
        <v>1</v>
      </c>
      <c r="AI22" s="1">
        <f t="shared" si="32"/>
        <v>1</v>
      </c>
      <c r="AJ22" s="1">
        <f t="shared" si="33"/>
        <v>3</v>
      </c>
      <c r="AK22" s="1">
        <f t="shared" si="34"/>
        <v>2</v>
      </c>
      <c r="AL22" s="1">
        <f t="shared" si="65"/>
        <v>12</v>
      </c>
      <c r="AM22" s="1">
        <f t="shared" si="2"/>
        <v>5</v>
      </c>
      <c r="AN22" s="1">
        <f t="shared" si="35"/>
        <v>12</v>
      </c>
      <c r="AO22" s="1">
        <f t="shared" si="3"/>
        <v>5</v>
      </c>
      <c r="AP22" s="1">
        <f t="shared" si="36"/>
        <v>2</v>
      </c>
      <c r="AQ22" s="1">
        <f t="shared" si="37"/>
        <v>3</v>
      </c>
      <c r="AR22" s="1">
        <f t="shared" si="38"/>
        <v>6</v>
      </c>
      <c r="AS22" s="1">
        <f t="shared" si="39"/>
        <v>3</v>
      </c>
      <c r="AT22" s="1">
        <f t="shared" si="40"/>
        <v>1</v>
      </c>
      <c r="AU22" s="1">
        <f t="shared" si="4"/>
        <v>2</v>
      </c>
      <c r="AV22" s="1">
        <f t="shared" si="41"/>
        <v>10</v>
      </c>
      <c r="AW22" s="1">
        <f t="shared" si="5"/>
        <v>2</v>
      </c>
      <c r="AX22" s="38">
        <f t="shared" si="42"/>
        <v>4</v>
      </c>
      <c r="AY22" s="1">
        <f t="shared" si="43"/>
        <v>2</v>
      </c>
      <c r="AZ22" s="1">
        <f t="shared" si="44"/>
        <v>2</v>
      </c>
      <c r="BA22" s="1">
        <f t="shared" si="45"/>
        <v>4</v>
      </c>
      <c r="BB22" s="1">
        <f t="shared" si="46"/>
        <v>3</v>
      </c>
      <c r="BC22" s="1">
        <f t="shared" si="47"/>
        <v>3</v>
      </c>
      <c r="BD22" s="1">
        <v>3</v>
      </c>
      <c r="BE22" s="1">
        <v>3</v>
      </c>
      <c r="BF22" s="1">
        <v>3</v>
      </c>
      <c r="BG22" s="1">
        <f t="shared" si="48"/>
        <v>2</v>
      </c>
      <c r="BH22" s="1">
        <f t="shared" si="49"/>
        <v>2</v>
      </c>
      <c r="BI22" s="1">
        <f t="shared" si="50"/>
        <v>2</v>
      </c>
      <c r="BJ22" s="1">
        <v>1</v>
      </c>
      <c r="BK22" s="1">
        <v>2</v>
      </c>
      <c r="BL22" s="1">
        <v>2</v>
      </c>
      <c r="BM22" s="1">
        <v>4</v>
      </c>
      <c r="BN22" s="1">
        <v>3</v>
      </c>
      <c r="BO22" s="1">
        <v>2</v>
      </c>
      <c r="BP22" s="1">
        <v>4</v>
      </c>
      <c r="BQ22" s="1">
        <v>4</v>
      </c>
      <c r="BR22" s="1">
        <v>4</v>
      </c>
      <c r="BS22" s="1">
        <v>3</v>
      </c>
      <c r="BT22" s="1">
        <v>1</v>
      </c>
      <c r="BU22" s="1">
        <v>2</v>
      </c>
      <c r="BV22" s="1">
        <v>4</v>
      </c>
      <c r="BW22" s="1">
        <v>1</v>
      </c>
      <c r="BX22" s="1">
        <v>2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4</v>
      </c>
      <c r="CE22" s="1">
        <v>1</v>
      </c>
      <c r="CF22" s="1">
        <v>2</v>
      </c>
      <c r="CG22" s="1">
        <v>1</v>
      </c>
      <c r="CH22" s="1">
        <v>2</v>
      </c>
      <c r="CI22" s="1">
        <v>1</v>
      </c>
      <c r="CJ22" s="1">
        <f t="shared" si="51"/>
        <v>9</v>
      </c>
      <c r="CK22" s="1">
        <f t="shared" si="52"/>
        <v>2</v>
      </c>
      <c r="CL22" s="1">
        <f t="shared" si="53"/>
        <v>5</v>
      </c>
      <c r="CM22" s="1">
        <f t="shared" si="7"/>
        <v>2</v>
      </c>
      <c r="CN22" s="1">
        <f t="shared" si="8"/>
        <v>9</v>
      </c>
      <c r="CO22" s="1">
        <f t="shared" si="9"/>
        <v>4</v>
      </c>
      <c r="CP22" s="1">
        <f t="shared" si="54"/>
        <v>12</v>
      </c>
      <c r="CQ22" s="1">
        <f t="shared" si="10"/>
        <v>5</v>
      </c>
      <c r="CR22" s="1">
        <f t="shared" si="11"/>
        <v>13</v>
      </c>
      <c r="CS22" s="1">
        <f t="shared" si="12"/>
        <v>4</v>
      </c>
      <c r="CT22" s="1">
        <f t="shared" si="55"/>
        <v>16</v>
      </c>
      <c r="CU22" s="1">
        <f t="shared" si="13"/>
        <v>3</v>
      </c>
      <c r="CV22" s="1">
        <v>1</v>
      </c>
      <c r="CW22" s="1">
        <v>1</v>
      </c>
      <c r="CX22" s="1">
        <v>1</v>
      </c>
      <c r="CY22" s="1">
        <v>1</v>
      </c>
      <c r="CZ22" s="1">
        <v>1</v>
      </c>
      <c r="DA22" s="1">
        <v>3</v>
      </c>
      <c r="DB22" s="1">
        <v>1</v>
      </c>
      <c r="DC22" s="1">
        <v>3</v>
      </c>
      <c r="DD22" s="1">
        <v>1</v>
      </c>
      <c r="DE22" s="1">
        <v>4</v>
      </c>
      <c r="DF22" s="1">
        <v>1</v>
      </c>
      <c r="DG22" s="1">
        <f t="shared" si="56"/>
        <v>12</v>
      </c>
      <c r="DH22" s="1">
        <f t="shared" si="14"/>
        <v>1</v>
      </c>
      <c r="DI22" s="1">
        <f t="shared" si="57"/>
        <v>10</v>
      </c>
      <c r="DJ22" s="1">
        <f t="shared" si="15"/>
        <v>2</v>
      </c>
      <c r="DK22" s="1">
        <f t="shared" si="58"/>
        <v>10</v>
      </c>
      <c r="DL22" s="1">
        <f t="shared" si="59"/>
        <v>2</v>
      </c>
      <c r="DM22" s="1">
        <f t="shared" si="60"/>
        <v>5</v>
      </c>
      <c r="DN22" s="1">
        <f t="shared" si="16"/>
        <v>3</v>
      </c>
      <c r="DO22" s="1">
        <f t="shared" si="61"/>
        <v>20</v>
      </c>
      <c r="DP22" s="1">
        <f t="shared" si="62"/>
        <v>29</v>
      </c>
      <c r="DQ22" s="1">
        <f t="shared" si="17"/>
        <v>5</v>
      </c>
      <c r="DR22" s="23" t="str">
        <f t="shared" si="63"/>
        <v>中①</v>
      </c>
      <c r="DS22" s="23" t="str">
        <f t="shared" si="64"/>
        <v/>
      </c>
      <c r="DT22" s="32">
        <v>0.17899999999999999</v>
      </c>
      <c r="DU22" s="32">
        <v>125.5</v>
      </c>
      <c r="DV22" s="32">
        <v>0.56999999999999995</v>
      </c>
      <c r="DW22" s="32">
        <v>29</v>
      </c>
      <c r="DX22" s="30" t="s">
        <v>60</v>
      </c>
    </row>
    <row r="23" spans="1:128" ht="15.75" customHeight="1">
      <c r="A23" s="1">
        <v>429</v>
      </c>
      <c r="B23" s="18" t="s">
        <v>82</v>
      </c>
      <c r="C23" s="29">
        <v>40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1</v>
      </c>
      <c r="J23" s="1">
        <v>3</v>
      </c>
      <c r="K23" s="1">
        <v>4</v>
      </c>
      <c r="L23" s="1">
        <v>3</v>
      </c>
      <c r="M23" s="1">
        <v>4</v>
      </c>
      <c r="N23" s="1">
        <v>3</v>
      </c>
      <c r="O23" s="1">
        <v>1</v>
      </c>
      <c r="P23" s="1">
        <v>1</v>
      </c>
      <c r="Q23" s="1">
        <v>4</v>
      </c>
      <c r="R23" s="1">
        <v>2</v>
      </c>
      <c r="S23" s="1">
        <v>4</v>
      </c>
      <c r="T23" s="1">
        <v>4</v>
      </c>
      <c r="U23" s="1">
        <f t="shared" si="18"/>
        <v>3</v>
      </c>
      <c r="V23" s="1">
        <f t="shared" si="19"/>
        <v>3</v>
      </c>
      <c r="W23" s="1">
        <f t="shared" si="20"/>
        <v>4</v>
      </c>
      <c r="X23" s="1">
        <f t="shared" si="21"/>
        <v>4</v>
      </c>
      <c r="Y23" s="1">
        <f t="shared" si="22"/>
        <v>4</v>
      </c>
      <c r="Z23" s="1">
        <f t="shared" si="23"/>
        <v>4</v>
      </c>
      <c r="AA23" s="1">
        <f t="shared" si="24"/>
        <v>2</v>
      </c>
      <c r="AB23" s="1">
        <f t="shared" si="25"/>
        <v>1</v>
      </c>
      <c r="AC23" s="1">
        <f t="shared" si="26"/>
        <v>3</v>
      </c>
      <c r="AD23" s="1">
        <f t="shared" si="27"/>
        <v>4</v>
      </c>
      <c r="AE23" s="1">
        <f t="shared" si="28"/>
        <v>2</v>
      </c>
      <c r="AF23" s="1">
        <f t="shared" si="29"/>
        <v>4</v>
      </c>
      <c r="AG23" s="1">
        <f t="shared" si="30"/>
        <v>4</v>
      </c>
      <c r="AH23" s="1">
        <f t="shared" si="31"/>
        <v>4</v>
      </c>
      <c r="AI23" s="1">
        <f t="shared" si="32"/>
        <v>3</v>
      </c>
      <c r="AJ23" s="1">
        <f t="shared" si="33"/>
        <v>4</v>
      </c>
      <c r="AK23" s="1">
        <f t="shared" si="34"/>
        <v>4</v>
      </c>
      <c r="AL23" s="1">
        <f t="shared" si="65"/>
        <v>10</v>
      </c>
      <c r="AM23" s="1">
        <f t="shared" si="2"/>
        <v>4</v>
      </c>
      <c r="AN23" s="1">
        <f t="shared" si="35"/>
        <v>12</v>
      </c>
      <c r="AO23" s="1">
        <f t="shared" si="3"/>
        <v>5</v>
      </c>
      <c r="AP23" s="1">
        <f t="shared" si="36"/>
        <v>2</v>
      </c>
      <c r="AQ23" s="1">
        <f t="shared" si="37"/>
        <v>3</v>
      </c>
      <c r="AR23" s="1">
        <f t="shared" si="38"/>
        <v>12</v>
      </c>
      <c r="AS23" s="1">
        <f t="shared" si="39"/>
        <v>5</v>
      </c>
      <c r="AT23" s="1">
        <f t="shared" si="40"/>
        <v>3</v>
      </c>
      <c r="AU23" s="1">
        <f t="shared" si="4"/>
        <v>4</v>
      </c>
      <c r="AV23" s="1">
        <f t="shared" si="41"/>
        <v>4</v>
      </c>
      <c r="AW23" s="1">
        <f t="shared" si="5"/>
        <v>5</v>
      </c>
      <c r="AX23" s="38">
        <f t="shared" si="42"/>
        <v>3</v>
      </c>
      <c r="AY23" s="1">
        <f t="shared" si="43"/>
        <v>3</v>
      </c>
      <c r="AZ23" s="1">
        <f t="shared" si="44"/>
        <v>1</v>
      </c>
      <c r="BA23" s="1">
        <f t="shared" si="45"/>
        <v>5</v>
      </c>
      <c r="BB23" s="1">
        <f t="shared" si="46"/>
        <v>1</v>
      </c>
      <c r="BC23" s="1">
        <f t="shared" si="47"/>
        <v>5</v>
      </c>
      <c r="BD23" s="1">
        <v>1</v>
      </c>
      <c r="BE23" s="1">
        <v>1</v>
      </c>
      <c r="BF23" s="1">
        <v>1</v>
      </c>
      <c r="BG23" s="1">
        <f t="shared" si="48"/>
        <v>4</v>
      </c>
      <c r="BH23" s="1">
        <f t="shared" si="49"/>
        <v>4</v>
      </c>
      <c r="BI23" s="1">
        <f t="shared" si="50"/>
        <v>4</v>
      </c>
      <c r="BJ23" s="1">
        <v>4</v>
      </c>
      <c r="BK23" s="1">
        <v>3</v>
      </c>
      <c r="BL23" s="1">
        <v>3</v>
      </c>
      <c r="BM23" s="1">
        <v>3</v>
      </c>
      <c r="BN23" s="1">
        <v>2</v>
      </c>
      <c r="BO23" s="1">
        <v>3</v>
      </c>
      <c r="BP23" s="1">
        <v>3</v>
      </c>
      <c r="BQ23" s="1">
        <v>3</v>
      </c>
      <c r="BR23" s="1">
        <v>3</v>
      </c>
      <c r="BS23" s="1">
        <v>3</v>
      </c>
      <c r="BT23" s="1">
        <v>2</v>
      </c>
      <c r="BU23" s="1">
        <v>2</v>
      </c>
      <c r="BV23" s="1">
        <v>3</v>
      </c>
      <c r="BW23" s="1">
        <v>2</v>
      </c>
      <c r="BX23" s="1">
        <v>3</v>
      </c>
      <c r="BY23" s="1">
        <v>1</v>
      </c>
      <c r="BZ23" s="1">
        <v>3</v>
      </c>
      <c r="CA23" s="1">
        <v>2</v>
      </c>
      <c r="CB23" s="1">
        <v>2</v>
      </c>
      <c r="CC23" s="1">
        <v>1</v>
      </c>
      <c r="CD23" s="1">
        <v>1</v>
      </c>
      <c r="CE23" s="1">
        <v>2</v>
      </c>
      <c r="CF23" s="1">
        <v>3</v>
      </c>
      <c r="CG23" s="1">
        <v>2</v>
      </c>
      <c r="CH23" s="1">
        <v>3</v>
      </c>
      <c r="CI23" s="1">
        <v>3</v>
      </c>
      <c r="CJ23" s="1">
        <f t="shared" si="51"/>
        <v>3</v>
      </c>
      <c r="CK23" s="1">
        <f t="shared" si="52"/>
        <v>5</v>
      </c>
      <c r="CL23" s="1">
        <f t="shared" si="53"/>
        <v>10</v>
      </c>
      <c r="CM23" s="1">
        <f t="shared" si="7"/>
        <v>5</v>
      </c>
      <c r="CN23" s="1">
        <f t="shared" si="8"/>
        <v>8</v>
      </c>
      <c r="CO23" s="1">
        <f t="shared" si="9"/>
        <v>4</v>
      </c>
      <c r="CP23" s="1">
        <f t="shared" si="54"/>
        <v>9</v>
      </c>
      <c r="CQ23" s="1">
        <f t="shared" si="10"/>
        <v>4</v>
      </c>
      <c r="CR23" s="1">
        <f t="shared" si="11"/>
        <v>15</v>
      </c>
      <c r="CS23" s="1">
        <f t="shared" si="12"/>
        <v>4</v>
      </c>
      <c r="CT23" s="1">
        <f t="shared" si="55"/>
        <v>23</v>
      </c>
      <c r="CU23" s="1">
        <f t="shared" si="13"/>
        <v>4</v>
      </c>
      <c r="CV23" s="1">
        <v>4</v>
      </c>
      <c r="CW23" s="1">
        <v>3</v>
      </c>
      <c r="CX23" s="1">
        <v>1</v>
      </c>
      <c r="CY23" s="1">
        <v>4</v>
      </c>
      <c r="CZ23" s="1">
        <v>3</v>
      </c>
      <c r="DA23" s="1">
        <v>1</v>
      </c>
      <c r="DB23" s="1">
        <v>4</v>
      </c>
      <c r="DC23" s="1">
        <v>3</v>
      </c>
      <c r="DD23" s="1">
        <v>1</v>
      </c>
      <c r="DE23" s="1">
        <v>3</v>
      </c>
      <c r="DF23" s="1">
        <v>1</v>
      </c>
      <c r="DG23" s="1">
        <f t="shared" si="56"/>
        <v>3</v>
      </c>
      <c r="DH23" s="1">
        <f t="shared" si="14"/>
        <v>5</v>
      </c>
      <c r="DI23" s="1">
        <f t="shared" si="57"/>
        <v>6</v>
      </c>
      <c r="DJ23" s="1">
        <f t="shared" si="15"/>
        <v>4</v>
      </c>
      <c r="DK23" s="1">
        <f t="shared" si="58"/>
        <v>12</v>
      </c>
      <c r="DL23" s="1">
        <f t="shared" si="59"/>
        <v>1</v>
      </c>
      <c r="DM23" s="1">
        <f t="shared" si="60"/>
        <v>6</v>
      </c>
      <c r="DN23" s="1">
        <f t="shared" si="16"/>
        <v>3</v>
      </c>
      <c r="DO23" s="1">
        <f t="shared" si="61"/>
        <v>26</v>
      </c>
      <c r="DP23" s="1">
        <f t="shared" si="62"/>
        <v>39</v>
      </c>
      <c r="DQ23" s="1">
        <f t="shared" si="17"/>
        <v>10</v>
      </c>
      <c r="DR23" s="23" t="str">
        <f t="shared" si="63"/>
        <v>高</v>
      </c>
      <c r="DS23" s="23" t="str">
        <f t="shared" si="64"/>
        <v>高</v>
      </c>
      <c r="DT23" s="32">
        <v>0.26700000000000002</v>
      </c>
      <c r="DU23" s="32">
        <v>169.28</v>
      </c>
      <c r="DV23" s="32">
        <v>0.63</v>
      </c>
      <c r="DW23" s="32">
        <v>32</v>
      </c>
      <c r="DX23" s="30" t="s">
        <v>60</v>
      </c>
    </row>
    <row r="24" spans="1:128" ht="15.75" customHeight="1">
      <c r="A24" s="1">
        <v>430</v>
      </c>
      <c r="B24" s="18" t="s">
        <v>82</v>
      </c>
      <c r="C24" s="29">
        <v>27</v>
      </c>
      <c r="D24" s="1">
        <v>2</v>
      </c>
      <c r="E24" s="1">
        <v>2</v>
      </c>
      <c r="F24" s="1">
        <v>3</v>
      </c>
      <c r="G24" s="1">
        <v>2</v>
      </c>
      <c r="H24" s="1">
        <v>2</v>
      </c>
      <c r="I24" s="1">
        <v>3</v>
      </c>
      <c r="J24" s="1">
        <v>3</v>
      </c>
      <c r="K24" s="1">
        <v>2</v>
      </c>
      <c r="L24" s="1">
        <v>2</v>
      </c>
      <c r="M24" s="1">
        <v>2</v>
      </c>
      <c r="N24" s="1">
        <v>2</v>
      </c>
      <c r="O24" s="1">
        <v>4</v>
      </c>
      <c r="P24" s="1">
        <v>3</v>
      </c>
      <c r="Q24" s="1">
        <v>2</v>
      </c>
      <c r="R24" s="1">
        <v>3</v>
      </c>
      <c r="S24" s="1">
        <v>4</v>
      </c>
      <c r="T24" s="1">
        <v>2</v>
      </c>
      <c r="U24" s="1">
        <f t="shared" si="18"/>
        <v>3</v>
      </c>
      <c r="V24" s="1">
        <f t="shared" si="19"/>
        <v>3</v>
      </c>
      <c r="W24" s="1">
        <f t="shared" si="20"/>
        <v>2</v>
      </c>
      <c r="X24" s="1">
        <f t="shared" si="21"/>
        <v>3</v>
      </c>
      <c r="Y24" s="1">
        <f t="shared" si="22"/>
        <v>3</v>
      </c>
      <c r="Z24" s="1">
        <f t="shared" si="23"/>
        <v>2</v>
      </c>
      <c r="AA24" s="1">
        <f t="shared" si="24"/>
        <v>2</v>
      </c>
      <c r="AB24" s="1">
        <f t="shared" si="25"/>
        <v>3</v>
      </c>
      <c r="AC24" s="1">
        <f t="shared" si="26"/>
        <v>2</v>
      </c>
      <c r="AD24" s="1">
        <f t="shared" si="27"/>
        <v>2</v>
      </c>
      <c r="AE24" s="1">
        <f t="shared" si="28"/>
        <v>3</v>
      </c>
      <c r="AF24" s="1">
        <f t="shared" si="29"/>
        <v>1</v>
      </c>
      <c r="AG24" s="1">
        <f t="shared" si="30"/>
        <v>2</v>
      </c>
      <c r="AH24" s="1">
        <f t="shared" si="31"/>
        <v>2</v>
      </c>
      <c r="AI24" s="1">
        <f t="shared" si="32"/>
        <v>2</v>
      </c>
      <c r="AJ24" s="1">
        <f t="shared" si="33"/>
        <v>4</v>
      </c>
      <c r="AK24" s="1">
        <f t="shared" si="34"/>
        <v>2</v>
      </c>
      <c r="AL24" s="1">
        <f t="shared" si="65"/>
        <v>8</v>
      </c>
      <c r="AM24" s="1">
        <f t="shared" si="2"/>
        <v>3</v>
      </c>
      <c r="AN24" s="1">
        <f t="shared" si="35"/>
        <v>8</v>
      </c>
      <c r="AO24" s="1">
        <f t="shared" si="3"/>
        <v>3</v>
      </c>
      <c r="AP24" s="1">
        <f t="shared" si="36"/>
        <v>2</v>
      </c>
      <c r="AQ24" s="1">
        <f t="shared" si="37"/>
        <v>3</v>
      </c>
      <c r="AR24" s="1">
        <f t="shared" si="38"/>
        <v>5</v>
      </c>
      <c r="AS24" s="1">
        <f t="shared" si="39"/>
        <v>2</v>
      </c>
      <c r="AT24" s="1">
        <f t="shared" si="40"/>
        <v>2</v>
      </c>
      <c r="AU24" s="1">
        <f t="shared" si="4"/>
        <v>3</v>
      </c>
      <c r="AV24" s="1">
        <f t="shared" si="41"/>
        <v>9</v>
      </c>
      <c r="AW24" s="1">
        <f t="shared" si="5"/>
        <v>2</v>
      </c>
      <c r="AX24" s="38">
        <f t="shared" si="42"/>
        <v>2</v>
      </c>
      <c r="AY24" s="1">
        <f t="shared" si="43"/>
        <v>4</v>
      </c>
      <c r="AZ24" s="1">
        <f t="shared" si="44"/>
        <v>1</v>
      </c>
      <c r="BA24" s="1">
        <f t="shared" si="45"/>
        <v>5</v>
      </c>
      <c r="BB24" s="1">
        <f t="shared" si="46"/>
        <v>3</v>
      </c>
      <c r="BC24" s="1">
        <f t="shared" si="47"/>
        <v>3</v>
      </c>
      <c r="BD24" s="1">
        <v>2</v>
      </c>
      <c r="BE24" s="1">
        <v>2</v>
      </c>
      <c r="BF24" s="1">
        <v>2</v>
      </c>
      <c r="BG24" s="1">
        <f t="shared" si="48"/>
        <v>3</v>
      </c>
      <c r="BH24" s="1">
        <f t="shared" si="49"/>
        <v>3</v>
      </c>
      <c r="BI24" s="1">
        <f t="shared" si="50"/>
        <v>3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3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1</v>
      </c>
      <c r="BZ24" s="1">
        <v>1</v>
      </c>
      <c r="CA24" s="1">
        <v>2</v>
      </c>
      <c r="CB24" s="1">
        <v>1</v>
      </c>
      <c r="CC24" s="1">
        <v>1</v>
      </c>
      <c r="CD24" s="1">
        <v>2</v>
      </c>
      <c r="CE24" s="1">
        <v>1</v>
      </c>
      <c r="CF24" s="1">
        <v>2</v>
      </c>
      <c r="CG24" s="1">
        <v>1</v>
      </c>
      <c r="CH24" s="1">
        <v>2</v>
      </c>
      <c r="CI24" s="1">
        <v>2</v>
      </c>
      <c r="CJ24" s="1">
        <f t="shared" si="51"/>
        <v>6</v>
      </c>
      <c r="CK24" s="1">
        <f t="shared" si="52"/>
        <v>3</v>
      </c>
      <c r="CL24" s="1">
        <f t="shared" si="53"/>
        <v>6</v>
      </c>
      <c r="CM24" s="1">
        <f t="shared" si="7"/>
        <v>3</v>
      </c>
      <c r="CN24" s="1">
        <f t="shared" si="8"/>
        <v>7</v>
      </c>
      <c r="CO24" s="1">
        <f t="shared" si="9"/>
        <v>3</v>
      </c>
      <c r="CP24" s="1">
        <f t="shared" si="54"/>
        <v>6</v>
      </c>
      <c r="CQ24" s="1">
        <f t="shared" si="10"/>
        <v>3</v>
      </c>
      <c r="CR24" s="1">
        <f t="shared" si="11"/>
        <v>12</v>
      </c>
      <c r="CS24" s="1">
        <f t="shared" si="12"/>
        <v>3</v>
      </c>
      <c r="CT24" s="1">
        <f t="shared" si="55"/>
        <v>16</v>
      </c>
      <c r="CU24" s="1">
        <f t="shared" si="13"/>
        <v>3</v>
      </c>
      <c r="CV24" s="1">
        <v>3</v>
      </c>
      <c r="CW24" s="1">
        <v>3</v>
      </c>
      <c r="CX24" s="1">
        <v>3</v>
      </c>
      <c r="CY24" s="1">
        <v>2</v>
      </c>
      <c r="CZ24" s="1">
        <v>3</v>
      </c>
      <c r="DA24" s="1">
        <v>3</v>
      </c>
      <c r="DB24" s="1">
        <v>2</v>
      </c>
      <c r="DC24" s="1">
        <v>3</v>
      </c>
      <c r="DD24" s="1">
        <v>3</v>
      </c>
      <c r="DE24" s="1">
        <v>2</v>
      </c>
      <c r="DF24" s="1">
        <v>2</v>
      </c>
      <c r="DG24" s="1">
        <f t="shared" si="56"/>
        <v>8</v>
      </c>
      <c r="DH24" s="1">
        <f t="shared" si="14"/>
        <v>3</v>
      </c>
      <c r="DI24" s="1">
        <f t="shared" si="57"/>
        <v>6</v>
      </c>
      <c r="DJ24" s="1">
        <f t="shared" si="15"/>
        <v>4</v>
      </c>
      <c r="DK24" s="1">
        <f t="shared" si="58"/>
        <v>6</v>
      </c>
      <c r="DL24" s="1">
        <f t="shared" si="59"/>
        <v>5</v>
      </c>
      <c r="DM24" s="1">
        <f t="shared" si="60"/>
        <v>6</v>
      </c>
      <c r="DN24" s="1">
        <f t="shared" si="16"/>
        <v>3</v>
      </c>
      <c r="DO24" s="1">
        <f t="shared" si="61"/>
        <v>18</v>
      </c>
      <c r="DP24" s="1">
        <f t="shared" si="62"/>
        <v>28</v>
      </c>
      <c r="DQ24" s="1">
        <f t="shared" si="17"/>
        <v>12</v>
      </c>
      <c r="DR24" s="23" t="str">
        <f t="shared" si="63"/>
        <v>低</v>
      </c>
      <c r="DS24" s="23" t="str">
        <f t="shared" si="64"/>
        <v/>
      </c>
      <c r="DT24" s="32">
        <v>0.221</v>
      </c>
      <c r="DU24" s="32">
        <v>80.790000000000006</v>
      </c>
      <c r="DV24" s="32">
        <v>1.0900000000000001</v>
      </c>
      <c r="DW24" s="32">
        <v>55</v>
      </c>
      <c r="DX24" s="30" t="s">
        <v>60</v>
      </c>
    </row>
    <row r="25" spans="1:128" ht="15.75" customHeight="1">
      <c r="A25" s="1">
        <v>473</v>
      </c>
      <c r="B25" s="18" t="s">
        <v>82</v>
      </c>
      <c r="C25" s="29">
        <v>22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3</v>
      </c>
      <c r="O25" s="1">
        <v>4</v>
      </c>
      <c r="P25" s="1">
        <v>4</v>
      </c>
      <c r="Q25" s="1">
        <v>2</v>
      </c>
      <c r="R25" s="1">
        <v>4</v>
      </c>
      <c r="S25" s="1">
        <v>2</v>
      </c>
      <c r="T25" s="1">
        <v>2</v>
      </c>
      <c r="U25" s="1">
        <f t="shared" si="18"/>
        <v>4</v>
      </c>
      <c r="V25" s="1">
        <f t="shared" si="19"/>
        <v>4</v>
      </c>
      <c r="W25" s="1">
        <f t="shared" si="20"/>
        <v>4</v>
      </c>
      <c r="X25" s="1">
        <f t="shared" si="21"/>
        <v>3</v>
      </c>
      <c r="Y25" s="1">
        <f t="shared" si="22"/>
        <v>4</v>
      </c>
      <c r="Z25" s="1">
        <f t="shared" si="23"/>
        <v>3</v>
      </c>
      <c r="AA25" s="1">
        <f t="shared" si="24"/>
        <v>3</v>
      </c>
      <c r="AB25" s="1">
        <f t="shared" si="25"/>
        <v>3</v>
      </c>
      <c r="AC25" s="1">
        <f t="shared" si="26"/>
        <v>2</v>
      </c>
      <c r="AD25" s="1">
        <f t="shared" si="27"/>
        <v>2</v>
      </c>
      <c r="AE25" s="1">
        <f t="shared" si="28"/>
        <v>2</v>
      </c>
      <c r="AF25" s="1">
        <f t="shared" si="29"/>
        <v>1</v>
      </c>
      <c r="AG25" s="1">
        <f t="shared" si="30"/>
        <v>1</v>
      </c>
      <c r="AH25" s="1">
        <f t="shared" si="31"/>
        <v>2</v>
      </c>
      <c r="AI25" s="1">
        <f t="shared" si="32"/>
        <v>1</v>
      </c>
      <c r="AJ25" s="1">
        <f t="shared" si="33"/>
        <v>2</v>
      </c>
      <c r="AK25" s="1">
        <f t="shared" si="34"/>
        <v>2</v>
      </c>
      <c r="AL25" s="1">
        <f t="shared" si="65"/>
        <v>12</v>
      </c>
      <c r="AM25" s="1">
        <f t="shared" si="2"/>
        <v>5</v>
      </c>
      <c r="AN25" s="1">
        <f t="shared" si="35"/>
        <v>10</v>
      </c>
      <c r="AO25" s="1">
        <f t="shared" si="3"/>
        <v>4</v>
      </c>
      <c r="AP25" s="1">
        <f t="shared" si="36"/>
        <v>3</v>
      </c>
      <c r="AQ25" s="1">
        <f t="shared" si="37"/>
        <v>4</v>
      </c>
      <c r="AR25" s="1">
        <f t="shared" si="38"/>
        <v>4</v>
      </c>
      <c r="AS25" s="1">
        <f t="shared" si="39"/>
        <v>2</v>
      </c>
      <c r="AT25" s="1">
        <f t="shared" si="40"/>
        <v>1</v>
      </c>
      <c r="AU25" s="1">
        <f t="shared" si="4"/>
        <v>2</v>
      </c>
      <c r="AV25" s="1">
        <f t="shared" si="41"/>
        <v>9</v>
      </c>
      <c r="AW25" s="1">
        <f t="shared" si="5"/>
        <v>2</v>
      </c>
      <c r="AX25" s="38">
        <f t="shared" si="42"/>
        <v>3</v>
      </c>
      <c r="AY25" s="1">
        <f t="shared" si="43"/>
        <v>3</v>
      </c>
      <c r="AZ25" s="1">
        <f t="shared" si="44"/>
        <v>3</v>
      </c>
      <c r="BA25" s="1">
        <f t="shared" si="45"/>
        <v>3</v>
      </c>
      <c r="BB25" s="1">
        <f t="shared" si="46"/>
        <v>3</v>
      </c>
      <c r="BC25" s="1">
        <f t="shared" si="47"/>
        <v>3</v>
      </c>
      <c r="BD25" s="1">
        <v>3</v>
      </c>
      <c r="BE25" s="1">
        <v>2</v>
      </c>
      <c r="BF25" s="1">
        <v>2</v>
      </c>
      <c r="BG25" s="1">
        <f t="shared" si="48"/>
        <v>2</v>
      </c>
      <c r="BH25" s="1">
        <f t="shared" si="49"/>
        <v>3</v>
      </c>
      <c r="BI25" s="1">
        <f t="shared" si="50"/>
        <v>3</v>
      </c>
      <c r="BJ25" s="1">
        <v>1</v>
      </c>
      <c r="BK25" s="1">
        <v>1</v>
      </c>
      <c r="BL25" s="1">
        <v>2</v>
      </c>
      <c r="BM25" s="1">
        <v>2</v>
      </c>
      <c r="BN25" s="1">
        <v>2</v>
      </c>
      <c r="BO25" s="1">
        <v>3</v>
      </c>
      <c r="BP25" s="1">
        <v>1</v>
      </c>
      <c r="BQ25" s="1">
        <v>2</v>
      </c>
      <c r="BR25" s="1">
        <v>1</v>
      </c>
      <c r="BS25" s="1">
        <v>1</v>
      </c>
      <c r="BT25" s="1">
        <v>2</v>
      </c>
      <c r="BU25" s="1">
        <v>2</v>
      </c>
      <c r="BV25" s="1">
        <v>3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2</v>
      </c>
      <c r="CC25" s="1">
        <v>1</v>
      </c>
      <c r="CD25" s="1">
        <v>2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f t="shared" si="51"/>
        <v>7</v>
      </c>
      <c r="CK25" s="1">
        <f t="shared" si="52"/>
        <v>3</v>
      </c>
      <c r="CL25" s="1">
        <f t="shared" si="53"/>
        <v>4</v>
      </c>
      <c r="CM25" s="1">
        <f t="shared" si="7"/>
        <v>2</v>
      </c>
      <c r="CN25" s="1">
        <f t="shared" si="8"/>
        <v>7</v>
      </c>
      <c r="CO25" s="1">
        <f t="shared" si="9"/>
        <v>3</v>
      </c>
      <c r="CP25" s="1">
        <f t="shared" si="54"/>
        <v>4</v>
      </c>
      <c r="CQ25" s="1">
        <f t="shared" si="10"/>
        <v>2</v>
      </c>
      <c r="CR25" s="1">
        <f t="shared" si="11"/>
        <v>10</v>
      </c>
      <c r="CS25" s="1">
        <f t="shared" si="12"/>
        <v>3</v>
      </c>
      <c r="CT25" s="1">
        <f t="shared" si="55"/>
        <v>13</v>
      </c>
      <c r="CU25" s="1">
        <f t="shared" si="13"/>
        <v>2</v>
      </c>
      <c r="CV25" s="1">
        <v>2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2</v>
      </c>
      <c r="DF25" s="1">
        <v>2</v>
      </c>
      <c r="DG25" s="1">
        <f t="shared" si="56"/>
        <v>11</v>
      </c>
      <c r="DH25" s="1">
        <f t="shared" si="14"/>
        <v>1</v>
      </c>
      <c r="DI25" s="1">
        <f t="shared" si="57"/>
        <v>12</v>
      </c>
      <c r="DJ25" s="1">
        <f t="shared" si="15"/>
        <v>2</v>
      </c>
      <c r="DK25" s="1">
        <f t="shared" si="58"/>
        <v>12</v>
      </c>
      <c r="DL25" s="1">
        <f t="shared" si="59"/>
        <v>1</v>
      </c>
      <c r="DM25" s="1">
        <f t="shared" si="60"/>
        <v>6</v>
      </c>
      <c r="DN25" s="1">
        <f t="shared" si="16"/>
        <v>3</v>
      </c>
      <c r="DO25" s="1">
        <f t="shared" si="61"/>
        <v>15</v>
      </c>
      <c r="DP25" s="1">
        <f t="shared" si="62"/>
        <v>28</v>
      </c>
      <c r="DQ25" s="1">
        <f t="shared" si="17"/>
        <v>4</v>
      </c>
      <c r="DR25" s="23" t="str">
        <f t="shared" si="63"/>
        <v>低</v>
      </c>
      <c r="DS25" s="23" t="str">
        <f t="shared" si="64"/>
        <v/>
      </c>
      <c r="DT25" s="32">
        <v>0.38700000000000001</v>
      </c>
      <c r="DU25" s="32">
        <v>159.21</v>
      </c>
      <c r="DV25" s="32">
        <v>0.97</v>
      </c>
      <c r="DW25" s="32">
        <v>49</v>
      </c>
      <c r="DX25" s="30" t="s">
        <v>60</v>
      </c>
    </row>
    <row r="26" spans="1:128" ht="15.75" customHeight="1">
      <c r="A26" s="2">
        <v>431</v>
      </c>
      <c r="B26" s="18" t="s">
        <v>83</v>
      </c>
      <c r="C26" s="29">
        <v>23</v>
      </c>
      <c r="D26" s="1">
        <v>2</v>
      </c>
      <c r="E26" s="1">
        <v>3</v>
      </c>
      <c r="F26" s="1">
        <v>1</v>
      </c>
      <c r="G26" s="1">
        <v>2</v>
      </c>
      <c r="H26" s="1">
        <v>1</v>
      </c>
      <c r="I26" s="1">
        <v>3</v>
      </c>
      <c r="J26" s="1">
        <v>3</v>
      </c>
      <c r="K26" s="1">
        <v>2</v>
      </c>
      <c r="L26" s="1">
        <v>2</v>
      </c>
      <c r="M26" s="1">
        <v>1</v>
      </c>
      <c r="N26" s="1">
        <v>4</v>
      </c>
      <c r="O26" s="1">
        <v>4</v>
      </c>
      <c r="P26" s="1">
        <v>4</v>
      </c>
      <c r="Q26" s="1">
        <v>1</v>
      </c>
      <c r="R26" s="1">
        <v>4</v>
      </c>
      <c r="S26" s="1">
        <v>4</v>
      </c>
      <c r="T26" s="1">
        <v>2</v>
      </c>
      <c r="U26" s="1">
        <f t="shared" si="18"/>
        <v>3</v>
      </c>
      <c r="V26" s="1">
        <f t="shared" si="19"/>
        <v>2</v>
      </c>
      <c r="W26" s="1">
        <f t="shared" si="20"/>
        <v>4</v>
      </c>
      <c r="X26" s="1">
        <f t="shared" si="21"/>
        <v>3</v>
      </c>
      <c r="Y26" s="1">
        <f t="shared" si="22"/>
        <v>4</v>
      </c>
      <c r="Z26" s="1">
        <f t="shared" si="23"/>
        <v>2</v>
      </c>
      <c r="AA26" s="1">
        <f t="shared" si="24"/>
        <v>2</v>
      </c>
      <c r="AB26" s="1">
        <f t="shared" si="25"/>
        <v>3</v>
      </c>
      <c r="AC26" s="1">
        <f t="shared" si="26"/>
        <v>2</v>
      </c>
      <c r="AD26" s="1">
        <f t="shared" si="27"/>
        <v>1</v>
      </c>
      <c r="AE26" s="1">
        <f t="shared" si="28"/>
        <v>1</v>
      </c>
      <c r="AF26" s="1">
        <f t="shared" si="29"/>
        <v>1</v>
      </c>
      <c r="AG26" s="1">
        <f t="shared" si="30"/>
        <v>1</v>
      </c>
      <c r="AH26" s="1">
        <f t="shared" si="31"/>
        <v>1</v>
      </c>
      <c r="AI26" s="1">
        <f t="shared" si="32"/>
        <v>1</v>
      </c>
      <c r="AJ26" s="1">
        <f t="shared" si="33"/>
        <v>4</v>
      </c>
      <c r="AK26" s="1">
        <f t="shared" si="34"/>
        <v>2</v>
      </c>
      <c r="AL26" s="1">
        <f t="shared" si="65"/>
        <v>9</v>
      </c>
      <c r="AM26" s="1">
        <f t="shared" si="2"/>
        <v>3</v>
      </c>
      <c r="AN26" s="1">
        <f t="shared" si="35"/>
        <v>9</v>
      </c>
      <c r="AO26" s="1">
        <f t="shared" si="3"/>
        <v>4</v>
      </c>
      <c r="AP26" s="1">
        <f t="shared" si="36"/>
        <v>2</v>
      </c>
      <c r="AQ26" s="1">
        <f t="shared" si="37"/>
        <v>3</v>
      </c>
      <c r="AR26" s="1">
        <f t="shared" si="38"/>
        <v>3</v>
      </c>
      <c r="AS26" s="1">
        <f t="shared" si="39"/>
        <v>1</v>
      </c>
      <c r="AT26" s="1">
        <f t="shared" si="40"/>
        <v>1</v>
      </c>
      <c r="AU26" s="1">
        <f t="shared" si="4"/>
        <v>1</v>
      </c>
      <c r="AV26" s="1">
        <f t="shared" si="41"/>
        <v>10</v>
      </c>
      <c r="AW26" s="1">
        <f t="shared" si="5"/>
        <v>2</v>
      </c>
      <c r="AX26" s="38">
        <f t="shared" si="42"/>
        <v>4</v>
      </c>
      <c r="AY26" s="1">
        <f t="shared" si="43"/>
        <v>2</v>
      </c>
      <c r="AZ26" s="1">
        <f t="shared" si="44"/>
        <v>1</v>
      </c>
      <c r="BA26" s="1">
        <f t="shared" si="45"/>
        <v>5</v>
      </c>
      <c r="BB26" s="1">
        <f t="shared" si="46"/>
        <v>3</v>
      </c>
      <c r="BC26" s="1">
        <f t="shared" si="47"/>
        <v>3</v>
      </c>
      <c r="BD26" s="1">
        <v>3</v>
      </c>
      <c r="BE26" s="1">
        <v>4</v>
      </c>
      <c r="BF26" s="1">
        <v>3</v>
      </c>
      <c r="BG26" s="1">
        <f t="shared" si="48"/>
        <v>2</v>
      </c>
      <c r="BH26" s="1">
        <f t="shared" si="49"/>
        <v>1</v>
      </c>
      <c r="BI26" s="1">
        <f t="shared" si="50"/>
        <v>2</v>
      </c>
      <c r="BJ26" s="1">
        <v>1</v>
      </c>
      <c r="BK26" s="1">
        <v>1</v>
      </c>
      <c r="BL26" s="1">
        <v>1</v>
      </c>
      <c r="BM26" s="1">
        <v>3</v>
      </c>
      <c r="BN26" s="1">
        <v>3</v>
      </c>
      <c r="BO26" s="1">
        <v>3</v>
      </c>
      <c r="BP26" s="1">
        <v>2</v>
      </c>
      <c r="BQ26" s="1">
        <v>2</v>
      </c>
      <c r="BR26" s="1">
        <v>1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1</v>
      </c>
      <c r="BZ26" s="1">
        <v>1</v>
      </c>
      <c r="CA26" s="1">
        <v>2</v>
      </c>
      <c r="CB26" s="1">
        <v>2</v>
      </c>
      <c r="CC26" s="1">
        <v>1</v>
      </c>
      <c r="CD26" s="1">
        <v>3</v>
      </c>
      <c r="CE26" s="1">
        <v>1</v>
      </c>
      <c r="CF26" s="1">
        <v>2</v>
      </c>
      <c r="CG26" s="1">
        <v>1</v>
      </c>
      <c r="CH26" s="1">
        <v>2</v>
      </c>
      <c r="CI26" s="1">
        <v>1</v>
      </c>
      <c r="CJ26" s="1">
        <f t="shared" si="51"/>
        <v>10</v>
      </c>
      <c r="CK26" s="1">
        <f t="shared" si="52"/>
        <v>1</v>
      </c>
      <c r="CL26" s="1">
        <f t="shared" si="53"/>
        <v>3</v>
      </c>
      <c r="CM26" s="1">
        <f t="shared" si="7"/>
        <v>1</v>
      </c>
      <c r="CN26" s="1">
        <f t="shared" si="8"/>
        <v>9</v>
      </c>
      <c r="CO26" s="1">
        <f t="shared" si="9"/>
        <v>4</v>
      </c>
      <c r="CP26" s="1">
        <f t="shared" si="54"/>
        <v>5</v>
      </c>
      <c r="CQ26" s="1">
        <f t="shared" si="10"/>
        <v>3</v>
      </c>
      <c r="CR26" s="1">
        <f t="shared" si="11"/>
        <v>12</v>
      </c>
      <c r="CS26" s="1">
        <f t="shared" si="12"/>
        <v>3</v>
      </c>
      <c r="CT26" s="1">
        <f t="shared" si="55"/>
        <v>17</v>
      </c>
      <c r="CU26" s="1">
        <f t="shared" si="13"/>
        <v>2</v>
      </c>
      <c r="CV26" s="1">
        <v>3</v>
      </c>
      <c r="CW26" s="1">
        <v>3</v>
      </c>
      <c r="CX26" s="1">
        <v>2</v>
      </c>
      <c r="CY26" s="1">
        <v>2</v>
      </c>
      <c r="CZ26" s="1">
        <v>3</v>
      </c>
      <c r="DA26" s="1">
        <v>2</v>
      </c>
      <c r="DB26" s="1">
        <v>4</v>
      </c>
      <c r="DC26" s="1">
        <v>4</v>
      </c>
      <c r="DD26" s="1">
        <v>1</v>
      </c>
      <c r="DE26" s="1">
        <v>3</v>
      </c>
      <c r="DF26" s="1">
        <v>1</v>
      </c>
      <c r="DG26" s="1">
        <f t="shared" si="56"/>
        <v>6</v>
      </c>
      <c r="DH26" s="1">
        <f t="shared" si="14"/>
        <v>3</v>
      </c>
      <c r="DI26" s="1">
        <f t="shared" si="57"/>
        <v>5</v>
      </c>
      <c r="DJ26" s="1">
        <f t="shared" si="15"/>
        <v>5</v>
      </c>
      <c r="DK26" s="1">
        <f t="shared" si="58"/>
        <v>10</v>
      </c>
      <c r="DL26" s="1">
        <f t="shared" si="59"/>
        <v>2</v>
      </c>
      <c r="DM26" s="1">
        <f t="shared" si="60"/>
        <v>6</v>
      </c>
      <c r="DN26" s="1">
        <f t="shared" si="16"/>
        <v>3</v>
      </c>
      <c r="DO26" s="1">
        <f t="shared" si="61"/>
        <v>14</v>
      </c>
      <c r="DP26" s="1">
        <f t="shared" si="62"/>
        <v>24</v>
      </c>
      <c r="DQ26" s="1">
        <f t="shared" si="17"/>
        <v>10</v>
      </c>
      <c r="DR26" s="23" t="str">
        <f t="shared" si="63"/>
        <v>低</v>
      </c>
      <c r="DS26" s="23" t="str">
        <f t="shared" si="64"/>
        <v/>
      </c>
      <c r="DT26" s="32">
        <v>0.46700000000000003</v>
      </c>
      <c r="DU26" s="32">
        <v>222.3</v>
      </c>
      <c r="DV26" s="32">
        <v>0.84</v>
      </c>
      <c r="DW26" s="32">
        <v>42</v>
      </c>
      <c r="DX26" s="30" t="s">
        <v>60</v>
      </c>
    </row>
    <row r="27" spans="1:128" ht="15.75" customHeight="1">
      <c r="A27" s="1">
        <v>364</v>
      </c>
      <c r="B27" s="18" t="s">
        <v>83</v>
      </c>
      <c r="C27" s="29">
        <v>45</v>
      </c>
      <c r="D27" s="1">
        <v>2</v>
      </c>
      <c r="E27" s="1">
        <v>2</v>
      </c>
      <c r="F27" s="1">
        <v>1</v>
      </c>
      <c r="G27" s="1">
        <v>2</v>
      </c>
      <c r="H27" s="1">
        <v>2</v>
      </c>
      <c r="I27" s="1">
        <v>1</v>
      </c>
      <c r="J27" s="1">
        <v>3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3</v>
      </c>
      <c r="Q27" s="1">
        <v>2</v>
      </c>
      <c r="R27" s="1">
        <v>2</v>
      </c>
      <c r="S27" s="1">
        <v>2</v>
      </c>
      <c r="T27" s="1">
        <v>2</v>
      </c>
      <c r="U27" s="1">
        <f t="shared" si="18"/>
        <v>3</v>
      </c>
      <c r="V27" s="1">
        <f t="shared" si="19"/>
        <v>3</v>
      </c>
      <c r="W27" s="1">
        <f t="shared" si="20"/>
        <v>4</v>
      </c>
      <c r="X27" s="1">
        <f t="shared" si="21"/>
        <v>3</v>
      </c>
      <c r="Y27" s="1">
        <f t="shared" si="22"/>
        <v>3</v>
      </c>
      <c r="Z27" s="1">
        <f t="shared" si="23"/>
        <v>4</v>
      </c>
      <c r="AA27" s="1">
        <f t="shared" si="24"/>
        <v>2</v>
      </c>
      <c r="AB27" s="1">
        <f t="shared" si="25"/>
        <v>3</v>
      </c>
      <c r="AC27" s="1">
        <f t="shared" si="26"/>
        <v>2</v>
      </c>
      <c r="AD27" s="1">
        <f t="shared" si="27"/>
        <v>2</v>
      </c>
      <c r="AE27" s="1">
        <f t="shared" si="28"/>
        <v>3</v>
      </c>
      <c r="AF27" s="1">
        <f t="shared" si="29"/>
        <v>3</v>
      </c>
      <c r="AG27" s="1">
        <f t="shared" si="30"/>
        <v>2</v>
      </c>
      <c r="AH27" s="1">
        <f t="shared" si="31"/>
        <v>2</v>
      </c>
      <c r="AI27" s="1">
        <f t="shared" si="32"/>
        <v>3</v>
      </c>
      <c r="AJ27" s="1">
        <f t="shared" si="33"/>
        <v>2</v>
      </c>
      <c r="AK27" s="1">
        <f t="shared" si="34"/>
        <v>2</v>
      </c>
      <c r="AL27" s="1">
        <f t="shared" si="65"/>
        <v>10</v>
      </c>
      <c r="AM27" s="1">
        <f t="shared" si="2"/>
        <v>4</v>
      </c>
      <c r="AN27" s="1">
        <f t="shared" si="35"/>
        <v>10</v>
      </c>
      <c r="AO27" s="1">
        <f t="shared" si="3"/>
        <v>4</v>
      </c>
      <c r="AP27" s="1">
        <f t="shared" si="36"/>
        <v>2</v>
      </c>
      <c r="AQ27" s="1">
        <f t="shared" si="37"/>
        <v>3</v>
      </c>
      <c r="AR27" s="1">
        <f t="shared" si="38"/>
        <v>7</v>
      </c>
      <c r="AS27" s="1">
        <f t="shared" si="39"/>
        <v>3</v>
      </c>
      <c r="AT27" s="1">
        <f t="shared" si="40"/>
        <v>3</v>
      </c>
      <c r="AU27" s="1">
        <f t="shared" si="4"/>
        <v>4</v>
      </c>
      <c r="AV27" s="1">
        <f t="shared" si="41"/>
        <v>9</v>
      </c>
      <c r="AW27" s="1">
        <f t="shared" si="5"/>
        <v>2</v>
      </c>
      <c r="AX27" s="38">
        <f t="shared" si="42"/>
        <v>2</v>
      </c>
      <c r="AY27" s="1">
        <f t="shared" si="43"/>
        <v>4</v>
      </c>
      <c r="AZ27" s="1">
        <f t="shared" si="44"/>
        <v>3</v>
      </c>
      <c r="BA27" s="1">
        <f t="shared" si="45"/>
        <v>3</v>
      </c>
      <c r="BB27" s="1">
        <f t="shared" si="46"/>
        <v>3</v>
      </c>
      <c r="BC27" s="1">
        <f t="shared" si="47"/>
        <v>3</v>
      </c>
      <c r="BD27" s="1">
        <v>2</v>
      </c>
      <c r="BE27" s="1">
        <v>2</v>
      </c>
      <c r="BF27" s="1">
        <v>2</v>
      </c>
      <c r="BG27" s="1">
        <f t="shared" si="48"/>
        <v>3</v>
      </c>
      <c r="BH27" s="1">
        <f t="shared" si="49"/>
        <v>3</v>
      </c>
      <c r="BI27" s="1">
        <f t="shared" si="50"/>
        <v>3</v>
      </c>
      <c r="BJ27" s="1">
        <v>3</v>
      </c>
      <c r="BK27" s="1">
        <v>3</v>
      </c>
      <c r="BL27" s="1">
        <v>3</v>
      </c>
      <c r="BM27" s="1">
        <v>3</v>
      </c>
      <c r="BN27" s="1">
        <v>3</v>
      </c>
      <c r="BO27" s="1">
        <v>3</v>
      </c>
      <c r="BP27" s="1">
        <v>3</v>
      </c>
      <c r="BQ27" s="1">
        <v>3</v>
      </c>
      <c r="BR27" s="1">
        <v>2</v>
      </c>
      <c r="BS27" s="1">
        <v>3</v>
      </c>
      <c r="BT27" s="1">
        <v>3</v>
      </c>
      <c r="BU27" s="1">
        <v>2</v>
      </c>
      <c r="BV27" s="1">
        <v>3</v>
      </c>
      <c r="BW27" s="1">
        <v>2</v>
      </c>
      <c r="BX27" s="1">
        <v>3</v>
      </c>
      <c r="BY27" s="1">
        <v>2</v>
      </c>
      <c r="BZ27" s="1">
        <v>2</v>
      </c>
      <c r="CA27" s="1">
        <v>2</v>
      </c>
      <c r="CB27" s="1">
        <v>3</v>
      </c>
      <c r="CC27" s="1">
        <v>2</v>
      </c>
      <c r="CD27" s="1">
        <v>3</v>
      </c>
      <c r="CE27" s="1">
        <v>2</v>
      </c>
      <c r="CF27" s="1">
        <v>2</v>
      </c>
      <c r="CG27" s="1">
        <v>1</v>
      </c>
      <c r="CH27" s="1">
        <v>2</v>
      </c>
      <c r="CI27" s="1">
        <v>3</v>
      </c>
      <c r="CJ27" s="1">
        <f t="shared" si="51"/>
        <v>6</v>
      </c>
      <c r="CK27" s="1">
        <f t="shared" si="52"/>
        <v>3</v>
      </c>
      <c r="CL27" s="1">
        <f t="shared" si="53"/>
        <v>9</v>
      </c>
      <c r="CM27" s="1">
        <f t="shared" si="7"/>
        <v>4</v>
      </c>
      <c r="CN27" s="1">
        <f t="shared" si="8"/>
        <v>9</v>
      </c>
      <c r="CO27" s="1">
        <f t="shared" si="9"/>
        <v>4</v>
      </c>
      <c r="CP27" s="1">
        <f t="shared" si="54"/>
        <v>8</v>
      </c>
      <c r="CQ27" s="1">
        <f t="shared" si="10"/>
        <v>4</v>
      </c>
      <c r="CR27" s="1">
        <f t="shared" si="11"/>
        <v>16</v>
      </c>
      <c r="CS27" s="1">
        <f t="shared" si="12"/>
        <v>4</v>
      </c>
      <c r="CT27" s="1">
        <f t="shared" si="55"/>
        <v>24</v>
      </c>
      <c r="CU27" s="1">
        <f t="shared" si="13"/>
        <v>4</v>
      </c>
      <c r="CV27" s="1">
        <v>3</v>
      </c>
      <c r="CW27" s="1">
        <v>3</v>
      </c>
      <c r="CX27" s="1">
        <v>3</v>
      </c>
      <c r="CY27" s="1">
        <v>3</v>
      </c>
      <c r="CZ27" s="1">
        <v>3</v>
      </c>
      <c r="DA27" s="1">
        <v>3</v>
      </c>
      <c r="DB27" s="1">
        <v>3</v>
      </c>
      <c r="DC27" s="1">
        <v>3</v>
      </c>
      <c r="DD27" s="1">
        <v>3</v>
      </c>
      <c r="DE27" s="1">
        <v>4</v>
      </c>
      <c r="DF27" s="1">
        <v>2</v>
      </c>
      <c r="DG27" s="1">
        <f t="shared" si="56"/>
        <v>6</v>
      </c>
      <c r="DH27" s="1">
        <f t="shared" si="14"/>
        <v>3</v>
      </c>
      <c r="DI27" s="1">
        <f t="shared" si="57"/>
        <v>6</v>
      </c>
      <c r="DJ27" s="1">
        <f t="shared" si="15"/>
        <v>4</v>
      </c>
      <c r="DK27" s="1">
        <f t="shared" si="58"/>
        <v>6</v>
      </c>
      <c r="DL27" s="1">
        <f t="shared" si="59"/>
        <v>5</v>
      </c>
      <c r="DM27" s="1">
        <f t="shared" si="60"/>
        <v>4</v>
      </c>
      <c r="DN27" s="1">
        <f t="shared" si="16"/>
        <v>4</v>
      </c>
      <c r="DO27" s="1">
        <f t="shared" si="61"/>
        <v>23</v>
      </c>
      <c r="DP27" s="1">
        <f t="shared" si="62"/>
        <v>30</v>
      </c>
      <c r="DQ27" s="1">
        <f t="shared" si="17"/>
        <v>12</v>
      </c>
      <c r="DR27" s="23" t="str">
        <f t="shared" si="63"/>
        <v>中①</v>
      </c>
      <c r="DS27" s="23" t="str">
        <f t="shared" si="64"/>
        <v/>
      </c>
      <c r="DT27" s="32">
        <v>0.27200000000000002</v>
      </c>
      <c r="DU27" s="32">
        <v>133.16999999999999</v>
      </c>
      <c r="DV27" s="32">
        <v>0.82</v>
      </c>
      <c r="DW27" s="32">
        <v>41</v>
      </c>
      <c r="DX27" s="30" t="s">
        <v>60</v>
      </c>
    </row>
    <row r="28" spans="1:128" ht="15.75" customHeight="1">
      <c r="A28" s="1">
        <v>432</v>
      </c>
      <c r="B28" s="18" t="s">
        <v>83</v>
      </c>
      <c r="C28" s="29">
        <v>44</v>
      </c>
      <c r="D28" s="1">
        <v>2</v>
      </c>
      <c r="E28" s="1">
        <v>2</v>
      </c>
      <c r="F28" s="1">
        <v>1</v>
      </c>
      <c r="G28" s="1">
        <v>1</v>
      </c>
      <c r="H28" s="1">
        <v>2</v>
      </c>
      <c r="I28" s="1">
        <v>1</v>
      </c>
      <c r="J28" s="1">
        <v>4</v>
      </c>
      <c r="K28" s="1">
        <v>2</v>
      </c>
      <c r="L28" s="1">
        <v>1</v>
      </c>
      <c r="M28" s="1">
        <v>1</v>
      </c>
      <c r="N28" s="1">
        <v>4</v>
      </c>
      <c r="O28" s="1">
        <v>4</v>
      </c>
      <c r="P28" s="1">
        <v>3</v>
      </c>
      <c r="Q28" s="1">
        <v>1</v>
      </c>
      <c r="R28" s="1">
        <v>4</v>
      </c>
      <c r="S28" s="1">
        <v>1</v>
      </c>
      <c r="T28" s="1">
        <v>1</v>
      </c>
      <c r="U28" s="1">
        <f t="shared" si="18"/>
        <v>3</v>
      </c>
      <c r="V28" s="1">
        <f t="shared" si="19"/>
        <v>3</v>
      </c>
      <c r="W28" s="1">
        <f t="shared" si="20"/>
        <v>4</v>
      </c>
      <c r="X28" s="1">
        <f t="shared" si="21"/>
        <v>4</v>
      </c>
      <c r="Y28" s="1">
        <f t="shared" si="22"/>
        <v>3</v>
      </c>
      <c r="Z28" s="1">
        <f t="shared" si="23"/>
        <v>4</v>
      </c>
      <c r="AA28" s="1">
        <f t="shared" si="24"/>
        <v>1</v>
      </c>
      <c r="AB28" s="1">
        <f t="shared" si="25"/>
        <v>3</v>
      </c>
      <c r="AC28" s="1">
        <f t="shared" si="26"/>
        <v>1</v>
      </c>
      <c r="AD28" s="1">
        <f t="shared" si="27"/>
        <v>1</v>
      </c>
      <c r="AE28" s="1">
        <f t="shared" si="28"/>
        <v>1</v>
      </c>
      <c r="AF28" s="1">
        <f t="shared" si="29"/>
        <v>1</v>
      </c>
      <c r="AG28" s="1">
        <f t="shared" si="30"/>
        <v>2</v>
      </c>
      <c r="AH28" s="1">
        <f t="shared" si="31"/>
        <v>1</v>
      </c>
      <c r="AI28" s="1">
        <f t="shared" si="32"/>
        <v>1</v>
      </c>
      <c r="AJ28" s="1">
        <f t="shared" si="33"/>
        <v>1</v>
      </c>
      <c r="AK28" s="1">
        <f t="shared" si="34"/>
        <v>1</v>
      </c>
      <c r="AL28" s="1">
        <f t="shared" si="65"/>
        <v>10</v>
      </c>
      <c r="AM28" s="1">
        <f t="shared" si="2"/>
        <v>4</v>
      </c>
      <c r="AN28" s="1">
        <f t="shared" si="35"/>
        <v>11</v>
      </c>
      <c r="AO28" s="1">
        <f t="shared" si="3"/>
        <v>5</v>
      </c>
      <c r="AP28" s="1">
        <f t="shared" si="36"/>
        <v>1</v>
      </c>
      <c r="AQ28" s="1">
        <f t="shared" si="37"/>
        <v>2</v>
      </c>
      <c r="AR28" s="1">
        <f t="shared" si="38"/>
        <v>4</v>
      </c>
      <c r="AS28" s="1">
        <f t="shared" si="39"/>
        <v>2</v>
      </c>
      <c r="AT28" s="1">
        <f t="shared" si="40"/>
        <v>1</v>
      </c>
      <c r="AU28" s="1">
        <f t="shared" si="4"/>
        <v>1</v>
      </c>
      <c r="AV28" s="1">
        <f t="shared" si="41"/>
        <v>11</v>
      </c>
      <c r="AW28" s="1">
        <f t="shared" si="5"/>
        <v>1</v>
      </c>
      <c r="AX28" s="38">
        <f t="shared" si="42"/>
        <v>4</v>
      </c>
      <c r="AY28" s="1">
        <f t="shared" si="43"/>
        <v>2</v>
      </c>
      <c r="AZ28" s="1">
        <f t="shared" si="44"/>
        <v>4</v>
      </c>
      <c r="BA28" s="1">
        <f t="shared" si="45"/>
        <v>1</v>
      </c>
      <c r="BB28" s="1">
        <f t="shared" si="46"/>
        <v>4</v>
      </c>
      <c r="BC28" s="1">
        <f t="shared" si="47"/>
        <v>1</v>
      </c>
      <c r="BD28" s="1">
        <v>3</v>
      </c>
      <c r="BE28" s="1">
        <v>3</v>
      </c>
      <c r="BF28" s="1">
        <v>3</v>
      </c>
      <c r="BG28" s="1">
        <f t="shared" si="48"/>
        <v>2</v>
      </c>
      <c r="BH28" s="1">
        <f t="shared" si="49"/>
        <v>2</v>
      </c>
      <c r="BI28" s="1">
        <f t="shared" si="50"/>
        <v>2</v>
      </c>
      <c r="BJ28" s="1">
        <v>2</v>
      </c>
      <c r="BK28" s="1">
        <v>2</v>
      </c>
      <c r="BL28" s="1">
        <v>1</v>
      </c>
      <c r="BM28" s="1">
        <v>4</v>
      </c>
      <c r="BN28" s="1">
        <v>4</v>
      </c>
      <c r="BO28" s="1">
        <v>4</v>
      </c>
      <c r="BP28" s="1">
        <v>3</v>
      </c>
      <c r="BQ28" s="1">
        <v>1</v>
      </c>
      <c r="BR28" s="1">
        <v>3</v>
      </c>
      <c r="BS28" s="1">
        <v>1</v>
      </c>
      <c r="BT28" s="1">
        <v>3</v>
      </c>
      <c r="BU28" s="1">
        <v>3</v>
      </c>
      <c r="BV28" s="1">
        <v>4</v>
      </c>
      <c r="BW28" s="1">
        <v>3</v>
      </c>
      <c r="BX28" s="1">
        <v>3</v>
      </c>
      <c r="BY28" s="1">
        <v>1</v>
      </c>
      <c r="BZ28" s="1">
        <v>2</v>
      </c>
      <c r="CA28" s="1">
        <v>3</v>
      </c>
      <c r="CB28" s="1">
        <v>2</v>
      </c>
      <c r="CC28" s="1">
        <v>1</v>
      </c>
      <c r="CD28" s="1">
        <v>2</v>
      </c>
      <c r="CE28" s="1">
        <v>2</v>
      </c>
      <c r="CF28" s="1">
        <v>3</v>
      </c>
      <c r="CG28" s="1">
        <v>4</v>
      </c>
      <c r="CH28" s="1">
        <v>4</v>
      </c>
      <c r="CI28" s="1">
        <v>3</v>
      </c>
      <c r="CJ28" s="1">
        <f t="shared" si="51"/>
        <v>9</v>
      </c>
      <c r="CK28" s="1">
        <f t="shared" si="52"/>
        <v>2</v>
      </c>
      <c r="CL28" s="1">
        <f t="shared" si="53"/>
        <v>5</v>
      </c>
      <c r="CM28" s="1">
        <f t="shared" si="7"/>
        <v>2</v>
      </c>
      <c r="CN28" s="1">
        <f t="shared" si="8"/>
        <v>12</v>
      </c>
      <c r="CO28" s="1">
        <f t="shared" si="9"/>
        <v>5</v>
      </c>
      <c r="CP28" s="1">
        <f t="shared" si="54"/>
        <v>7</v>
      </c>
      <c r="CQ28" s="1">
        <f t="shared" si="10"/>
        <v>3</v>
      </c>
      <c r="CR28" s="1">
        <f t="shared" si="11"/>
        <v>17</v>
      </c>
      <c r="CS28" s="1">
        <f t="shared" si="12"/>
        <v>4</v>
      </c>
      <c r="CT28" s="1">
        <f t="shared" si="55"/>
        <v>27</v>
      </c>
      <c r="CU28" s="1">
        <f t="shared" si="13"/>
        <v>4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2</v>
      </c>
      <c r="DF28" s="1">
        <v>3</v>
      </c>
      <c r="DG28" s="1">
        <f t="shared" si="56"/>
        <v>12</v>
      </c>
      <c r="DH28" s="1">
        <f t="shared" si="14"/>
        <v>1</v>
      </c>
      <c r="DI28" s="1">
        <f t="shared" si="57"/>
        <v>12</v>
      </c>
      <c r="DJ28" s="1">
        <f t="shared" si="15"/>
        <v>2</v>
      </c>
      <c r="DK28" s="1">
        <f t="shared" si="58"/>
        <v>12</v>
      </c>
      <c r="DL28" s="1">
        <f t="shared" si="59"/>
        <v>1</v>
      </c>
      <c r="DM28" s="1">
        <f t="shared" si="60"/>
        <v>5</v>
      </c>
      <c r="DN28" s="1">
        <f t="shared" si="16"/>
        <v>3</v>
      </c>
      <c r="DO28" s="1">
        <f t="shared" si="61"/>
        <v>20</v>
      </c>
      <c r="DP28" s="1">
        <f t="shared" si="62"/>
        <v>19</v>
      </c>
      <c r="DQ28" s="1">
        <f t="shared" si="17"/>
        <v>4</v>
      </c>
      <c r="DR28" s="23" t="str">
        <f t="shared" si="63"/>
        <v>中①</v>
      </c>
      <c r="DS28" s="23" t="str">
        <f t="shared" si="64"/>
        <v/>
      </c>
      <c r="DT28" s="32">
        <v>0.11</v>
      </c>
      <c r="DU28" s="32">
        <v>135.07</v>
      </c>
      <c r="DV28" s="32">
        <v>0.33</v>
      </c>
      <c r="DW28" s="32">
        <v>17</v>
      </c>
      <c r="DX28" s="30" t="s">
        <v>60</v>
      </c>
    </row>
    <row r="29" spans="1:128" ht="15.75" customHeight="1">
      <c r="A29" s="1">
        <v>433</v>
      </c>
      <c r="B29" s="18" t="s">
        <v>83</v>
      </c>
      <c r="C29" s="29">
        <v>29</v>
      </c>
      <c r="D29" s="1">
        <v>2</v>
      </c>
      <c r="E29" s="1">
        <v>2</v>
      </c>
      <c r="F29" s="1">
        <v>1</v>
      </c>
      <c r="G29" s="1">
        <v>1</v>
      </c>
      <c r="H29" s="1">
        <v>1</v>
      </c>
      <c r="I29" s="1">
        <v>2</v>
      </c>
      <c r="J29" s="1">
        <v>4</v>
      </c>
      <c r="K29" s="1">
        <v>2</v>
      </c>
      <c r="L29" s="1">
        <v>1</v>
      </c>
      <c r="M29" s="1">
        <v>2</v>
      </c>
      <c r="N29" s="1">
        <v>4</v>
      </c>
      <c r="O29" s="1">
        <v>3</v>
      </c>
      <c r="P29" s="1">
        <v>3</v>
      </c>
      <c r="Q29" s="1">
        <v>1</v>
      </c>
      <c r="R29" s="1">
        <v>3</v>
      </c>
      <c r="S29" s="1">
        <v>1</v>
      </c>
      <c r="T29" s="1">
        <v>1</v>
      </c>
      <c r="U29" s="1">
        <f t="shared" si="18"/>
        <v>3</v>
      </c>
      <c r="V29" s="1">
        <f t="shared" si="19"/>
        <v>3</v>
      </c>
      <c r="W29" s="1">
        <f t="shared" si="20"/>
        <v>4</v>
      </c>
      <c r="X29" s="1">
        <f t="shared" si="21"/>
        <v>4</v>
      </c>
      <c r="Y29" s="1">
        <f t="shared" si="22"/>
        <v>4</v>
      </c>
      <c r="Z29" s="1">
        <f t="shared" si="23"/>
        <v>3</v>
      </c>
      <c r="AA29" s="1">
        <f t="shared" si="24"/>
        <v>1</v>
      </c>
      <c r="AB29" s="1">
        <f t="shared" si="25"/>
        <v>3</v>
      </c>
      <c r="AC29" s="1">
        <f t="shared" si="26"/>
        <v>1</v>
      </c>
      <c r="AD29" s="1">
        <f t="shared" si="27"/>
        <v>2</v>
      </c>
      <c r="AE29" s="1">
        <f t="shared" si="28"/>
        <v>1</v>
      </c>
      <c r="AF29" s="1">
        <f t="shared" si="29"/>
        <v>2</v>
      </c>
      <c r="AG29" s="1">
        <f t="shared" si="30"/>
        <v>2</v>
      </c>
      <c r="AH29" s="1">
        <f t="shared" si="31"/>
        <v>1</v>
      </c>
      <c r="AI29" s="1">
        <f t="shared" si="32"/>
        <v>2</v>
      </c>
      <c r="AJ29" s="1">
        <f t="shared" si="33"/>
        <v>1</v>
      </c>
      <c r="AK29" s="1">
        <f t="shared" si="34"/>
        <v>1</v>
      </c>
      <c r="AL29" s="1">
        <f t="shared" si="65"/>
        <v>10</v>
      </c>
      <c r="AM29" s="1">
        <f t="shared" si="2"/>
        <v>4</v>
      </c>
      <c r="AN29" s="1">
        <f t="shared" si="35"/>
        <v>11</v>
      </c>
      <c r="AO29" s="1">
        <f t="shared" si="3"/>
        <v>5</v>
      </c>
      <c r="AP29" s="1">
        <f t="shared" si="36"/>
        <v>1</v>
      </c>
      <c r="AQ29" s="1">
        <f t="shared" si="37"/>
        <v>2</v>
      </c>
      <c r="AR29" s="1">
        <f t="shared" si="38"/>
        <v>5</v>
      </c>
      <c r="AS29" s="1">
        <f t="shared" si="39"/>
        <v>2</v>
      </c>
      <c r="AT29" s="1">
        <f t="shared" si="40"/>
        <v>2</v>
      </c>
      <c r="AU29" s="1">
        <f t="shared" si="4"/>
        <v>3</v>
      </c>
      <c r="AV29" s="1">
        <f t="shared" si="41"/>
        <v>10</v>
      </c>
      <c r="AW29" s="1">
        <f t="shared" si="5"/>
        <v>2</v>
      </c>
      <c r="AX29" s="1">
        <f t="shared" si="42"/>
        <v>4</v>
      </c>
      <c r="AY29" s="1">
        <f t="shared" si="43"/>
        <v>2</v>
      </c>
      <c r="AZ29" s="1">
        <f t="shared" si="44"/>
        <v>4</v>
      </c>
      <c r="BA29" s="1">
        <f t="shared" si="45"/>
        <v>1</v>
      </c>
      <c r="BB29" s="1">
        <f t="shared" si="46"/>
        <v>4</v>
      </c>
      <c r="BC29" s="1">
        <f t="shared" si="47"/>
        <v>1</v>
      </c>
      <c r="BD29" s="1">
        <v>3</v>
      </c>
      <c r="BE29" s="1">
        <v>3</v>
      </c>
      <c r="BF29" s="1">
        <v>3</v>
      </c>
      <c r="BG29" s="1">
        <f t="shared" si="48"/>
        <v>2</v>
      </c>
      <c r="BH29" s="1">
        <f t="shared" si="49"/>
        <v>2</v>
      </c>
      <c r="BI29" s="1">
        <f t="shared" si="50"/>
        <v>2</v>
      </c>
      <c r="BJ29" s="1">
        <v>1</v>
      </c>
      <c r="BK29" s="1">
        <v>2</v>
      </c>
      <c r="BL29" s="1">
        <v>2</v>
      </c>
      <c r="BM29" s="1">
        <v>2</v>
      </c>
      <c r="BN29" s="1">
        <v>2</v>
      </c>
      <c r="BO29" s="1">
        <v>2</v>
      </c>
      <c r="BP29" s="1">
        <v>2</v>
      </c>
      <c r="BQ29" s="1">
        <v>2</v>
      </c>
      <c r="BR29" s="1">
        <v>2</v>
      </c>
      <c r="BS29" s="1">
        <v>2</v>
      </c>
      <c r="BT29" s="1">
        <v>2</v>
      </c>
      <c r="BU29" s="1">
        <v>1</v>
      </c>
      <c r="BV29" s="1">
        <v>2</v>
      </c>
      <c r="BW29" s="1">
        <v>1</v>
      </c>
      <c r="BX29" s="1">
        <v>2</v>
      </c>
      <c r="BY29" s="1">
        <v>2</v>
      </c>
      <c r="BZ29" s="1">
        <v>1</v>
      </c>
      <c r="CA29" s="1">
        <v>1</v>
      </c>
      <c r="CB29" s="1">
        <v>2</v>
      </c>
      <c r="CC29" s="1">
        <v>2</v>
      </c>
      <c r="CD29" s="1">
        <v>2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f t="shared" si="51"/>
        <v>9</v>
      </c>
      <c r="CK29" s="1">
        <f t="shared" si="52"/>
        <v>2</v>
      </c>
      <c r="CL29" s="1">
        <f t="shared" si="53"/>
        <v>5</v>
      </c>
      <c r="CM29" s="1">
        <f t="shared" si="7"/>
        <v>2</v>
      </c>
      <c r="CN29" s="1">
        <f t="shared" si="8"/>
        <v>6</v>
      </c>
      <c r="CO29" s="1">
        <f t="shared" si="9"/>
        <v>3</v>
      </c>
      <c r="CP29" s="1">
        <f t="shared" si="54"/>
        <v>6</v>
      </c>
      <c r="CQ29" s="1">
        <f t="shared" si="10"/>
        <v>3</v>
      </c>
      <c r="CR29" s="1">
        <f t="shared" si="11"/>
        <v>10</v>
      </c>
      <c r="CS29" s="1">
        <f t="shared" si="12"/>
        <v>3</v>
      </c>
      <c r="CT29" s="1">
        <f t="shared" si="55"/>
        <v>15</v>
      </c>
      <c r="CU29" s="1">
        <f t="shared" si="13"/>
        <v>2</v>
      </c>
      <c r="CV29" s="1">
        <v>2</v>
      </c>
      <c r="CW29" s="1">
        <v>2</v>
      </c>
      <c r="CX29" s="1">
        <v>1</v>
      </c>
      <c r="CY29" s="1">
        <v>1</v>
      </c>
      <c r="CZ29" s="1">
        <v>2</v>
      </c>
      <c r="DA29" s="1">
        <v>1</v>
      </c>
      <c r="DB29" s="1">
        <v>1</v>
      </c>
      <c r="DC29" s="1">
        <v>1</v>
      </c>
      <c r="DD29" s="1">
        <v>1</v>
      </c>
      <c r="DE29" s="1">
        <v>2</v>
      </c>
      <c r="DF29" s="1">
        <v>1</v>
      </c>
      <c r="DG29" s="1">
        <f t="shared" si="56"/>
        <v>11</v>
      </c>
      <c r="DH29" s="1">
        <f t="shared" si="14"/>
        <v>1</v>
      </c>
      <c r="DI29" s="1">
        <f t="shared" si="57"/>
        <v>10</v>
      </c>
      <c r="DJ29" s="1">
        <f t="shared" si="15"/>
        <v>2</v>
      </c>
      <c r="DK29" s="1">
        <f t="shared" si="58"/>
        <v>12</v>
      </c>
      <c r="DL29" s="1">
        <f t="shared" si="59"/>
        <v>1</v>
      </c>
      <c r="DM29" s="1">
        <f t="shared" si="60"/>
        <v>7</v>
      </c>
      <c r="DN29" s="1">
        <f t="shared" si="16"/>
        <v>2</v>
      </c>
      <c r="DO29" s="1">
        <f t="shared" si="61"/>
        <v>15</v>
      </c>
      <c r="DP29" s="1">
        <f t="shared" si="62"/>
        <v>22</v>
      </c>
      <c r="DQ29" s="1">
        <f t="shared" si="17"/>
        <v>4</v>
      </c>
      <c r="DR29" s="23" t="str">
        <f t="shared" si="63"/>
        <v>低</v>
      </c>
      <c r="DS29" s="23" t="str">
        <f t="shared" si="64"/>
        <v/>
      </c>
      <c r="DT29" s="32">
        <v>0.55200000000000005</v>
      </c>
      <c r="DU29" s="32">
        <v>166.66</v>
      </c>
      <c r="DV29" s="32">
        <v>1.32</v>
      </c>
      <c r="DW29" s="32">
        <v>66</v>
      </c>
      <c r="DX29" s="30" t="s">
        <v>60</v>
      </c>
    </row>
    <row r="30" spans="1:128" ht="14">
      <c r="A30">
        <v>434</v>
      </c>
      <c r="B30" t="s">
        <v>83</v>
      </c>
      <c r="C30" s="24">
        <v>28</v>
      </c>
      <c r="D30">
        <v>2</v>
      </c>
      <c r="E30">
        <v>1</v>
      </c>
      <c r="F30">
        <v>1</v>
      </c>
      <c r="G30">
        <v>1</v>
      </c>
      <c r="H30">
        <v>3</v>
      </c>
      <c r="I30">
        <v>1</v>
      </c>
      <c r="J30">
        <v>4</v>
      </c>
      <c r="K30">
        <v>4</v>
      </c>
      <c r="L30">
        <v>3</v>
      </c>
      <c r="M30">
        <v>2</v>
      </c>
      <c r="N30">
        <v>3</v>
      </c>
      <c r="O30">
        <v>4</v>
      </c>
      <c r="P30">
        <v>1</v>
      </c>
      <c r="Q30">
        <v>3</v>
      </c>
      <c r="R30">
        <v>3</v>
      </c>
      <c r="S30">
        <v>1</v>
      </c>
      <c r="T30">
        <v>1</v>
      </c>
      <c r="U30" s="1">
        <f t="shared" si="18"/>
        <v>3</v>
      </c>
      <c r="V30" s="1">
        <f t="shared" si="19"/>
        <v>4</v>
      </c>
      <c r="W30" s="1">
        <f t="shared" si="20"/>
        <v>4</v>
      </c>
      <c r="X30" s="1">
        <f t="shared" si="21"/>
        <v>4</v>
      </c>
      <c r="Y30" s="1">
        <f t="shared" si="22"/>
        <v>2</v>
      </c>
      <c r="Z30" s="1">
        <f t="shared" si="23"/>
        <v>4</v>
      </c>
      <c r="AA30" s="1">
        <f t="shared" si="24"/>
        <v>1</v>
      </c>
      <c r="AB30" s="1">
        <f t="shared" si="25"/>
        <v>1</v>
      </c>
      <c r="AC30" s="1">
        <f t="shared" si="26"/>
        <v>3</v>
      </c>
      <c r="AD30" s="1">
        <f t="shared" si="27"/>
        <v>2</v>
      </c>
      <c r="AE30" s="1">
        <f t="shared" si="28"/>
        <v>2</v>
      </c>
      <c r="AF30" s="1">
        <f t="shared" si="29"/>
        <v>1</v>
      </c>
      <c r="AG30" s="1">
        <f t="shared" si="30"/>
        <v>4</v>
      </c>
      <c r="AH30" s="1">
        <f t="shared" si="31"/>
        <v>3</v>
      </c>
      <c r="AI30" s="1">
        <f t="shared" si="32"/>
        <v>2</v>
      </c>
      <c r="AJ30" s="1">
        <f t="shared" si="33"/>
        <v>1</v>
      </c>
      <c r="AK30" s="1">
        <f t="shared" si="34"/>
        <v>1</v>
      </c>
      <c r="AL30" s="1">
        <f t="shared" si="65"/>
        <v>11</v>
      </c>
      <c r="AM30" s="1">
        <f t="shared" si="2"/>
        <v>4</v>
      </c>
      <c r="AN30" s="1">
        <f t="shared" si="35"/>
        <v>10</v>
      </c>
      <c r="AO30" s="1">
        <f t="shared" si="3"/>
        <v>4</v>
      </c>
      <c r="AP30" s="1">
        <f t="shared" si="36"/>
        <v>1</v>
      </c>
      <c r="AQ30" s="1">
        <f t="shared" ref="AQ30:AQ38" si="66">IF(AP30=1,2,IF(AP30=2,3,(IF(AP30=3,4,(IF(AP30=4,5,""))))))</f>
        <v>2</v>
      </c>
      <c r="AR30" s="1">
        <f t="shared" ref="AR30:AR38" si="67">10-($O30+P30)+$Q30</f>
        <v>8</v>
      </c>
      <c r="AS30" s="1">
        <f t="shared" ref="AS30:AS38" si="68">IF((AR30=3),1,(IF(AND(AR30&gt;=4,AR30&lt;=5),2,(IF(AND(AR30&gt;=6,AR30&lt;=7),3,(IF(AND(AR30&gt;=8,AR30&lt;=9),4,IF(AR30&gt;=10,5,""))))))))</f>
        <v>4</v>
      </c>
      <c r="AT30" s="1">
        <f t="shared" si="40"/>
        <v>2</v>
      </c>
      <c r="AU30" s="1">
        <f t="shared" si="4"/>
        <v>3</v>
      </c>
      <c r="AV30" s="1">
        <f t="shared" si="41"/>
        <v>6</v>
      </c>
      <c r="AW30" s="1">
        <f t="shared" si="5"/>
        <v>3</v>
      </c>
      <c r="AX30" s="38">
        <f t="shared" si="42"/>
        <v>3</v>
      </c>
      <c r="AY30" s="1">
        <f t="shared" ref="AY30:AY38" si="69">IF(AX30=1,5,IF(AX30=2,4,(IF(AX30=3,3,(IF(AX30=4,2,""))))))</f>
        <v>3</v>
      </c>
      <c r="AZ30" s="1">
        <f t="shared" si="44"/>
        <v>4</v>
      </c>
      <c r="BA30" s="1">
        <f t="shared" ref="BA30:BA38" si="70">IF(AZ30=1,5,IF(AZ30=2,4,(IF(AZ30=3,3,(IF(AZ30=4,1,""))))))</f>
        <v>1</v>
      </c>
      <c r="BB30" s="1">
        <f t="shared" si="46"/>
        <v>4</v>
      </c>
      <c r="BC30" s="1">
        <f t="shared" ref="BC30:BC38" si="71">IF(BB30=1,5,IF(BB30=2,4,(IF(BB30=3,3,(IF(BB30=4,1,""))))))</f>
        <v>1</v>
      </c>
      <c r="BD30">
        <v>2</v>
      </c>
      <c r="BE30">
        <v>2</v>
      </c>
      <c r="BF30">
        <v>2</v>
      </c>
      <c r="BG30" s="1">
        <f t="shared" si="48"/>
        <v>3</v>
      </c>
      <c r="BH30" s="1">
        <f t="shared" si="49"/>
        <v>3</v>
      </c>
      <c r="BI30" s="1">
        <f t="shared" si="50"/>
        <v>3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2</v>
      </c>
      <c r="BP30">
        <v>3</v>
      </c>
      <c r="BQ30">
        <v>4</v>
      </c>
      <c r="BR30">
        <v>3</v>
      </c>
      <c r="BS30">
        <v>2</v>
      </c>
      <c r="BT30">
        <v>3</v>
      </c>
      <c r="BU30">
        <v>3</v>
      </c>
      <c r="BV30">
        <v>3</v>
      </c>
      <c r="BW30">
        <v>2</v>
      </c>
      <c r="BX30">
        <v>1</v>
      </c>
      <c r="BY30">
        <v>2</v>
      </c>
      <c r="BZ30">
        <v>1</v>
      </c>
      <c r="CA30">
        <v>4</v>
      </c>
      <c r="CB30">
        <v>4</v>
      </c>
      <c r="CC30">
        <v>3</v>
      </c>
      <c r="CD30">
        <v>3</v>
      </c>
      <c r="CE30">
        <v>1</v>
      </c>
      <c r="CF30">
        <v>1</v>
      </c>
      <c r="CG30">
        <v>1</v>
      </c>
      <c r="CH30">
        <v>1</v>
      </c>
      <c r="CI30">
        <v>1</v>
      </c>
      <c r="CJ30" s="1">
        <f t="shared" si="51"/>
        <v>6</v>
      </c>
      <c r="CK30" s="1">
        <f t="shared" ref="CK30:CK38" si="72">IF((CJ30=3),5,(IF(AND(CJ30&gt;=4,CJ30&lt;=5),4,(IF(AND(CJ30&gt;=6,CJ30&lt;=7),3,(IF(AND(CJ30&gt;=8,CJ30&lt;=9),2,IF(CJ30&gt;=10,1,""))))))))</f>
        <v>3</v>
      </c>
      <c r="CL30" s="1">
        <f t="shared" si="53"/>
        <v>9</v>
      </c>
      <c r="CM30" s="1">
        <f t="shared" si="7"/>
        <v>4</v>
      </c>
      <c r="CN30" s="1">
        <f t="shared" si="8"/>
        <v>8</v>
      </c>
      <c r="CO30" s="1">
        <f t="shared" si="9"/>
        <v>3</v>
      </c>
      <c r="CP30" s="1">
        <f t="shared" si="54"/>
        <v>10</v>
      </c>
      <c r="CQ30" s="1">
        <f t="shared" si="10"/>
        <v>4</v>
      </c>
      <c r="CR30" s="1">
        <f t="shared" si="11"/>
        <v>14</v>
      </c>
      <c r="CS30" s="1">
        <f t="shared" si="12"/>
        <v>4</v>
      </c>
      <c r="CT30" s="1">
        <f t="shared" si="55"/>
        <v>22</v>
      </c>
      <c r="CU30" s="1">
        <f t="shared" si="13"/>
        <v>3</v>
      </c>
      <c r="CV30">
        <v>3</v>
      </c>
      <c r="CW30">
        <v>2</v>
      </c>
      <c r="CX30">
        <v>2</v>
      </c>
      <c r="CY30">
        <v>1</v>
      </c>
      <c r="CZ30">
        <v>1</v>
      </c>
      <c r="DA30">
        <v>3</v>
      </c>
      <c r="DB30">
        <v>1</v>
      </c>
      <c r="DC30">
        <v>1</v>
      </c>
      <c r="DD30">
        <v>2</v>
      </c>
      <c r="DE30">
        <v>2</v>
      </c>
      <c r="DF30">
        <v>2</v>
      </c>
      <c r="DG30" s="1">
        <f t="shared" si="56"/>
        <v>10</v>
      </c>
      <c r="DH30" s="1">
        <f t="shared" si="14"/>
        <v>2</v>
      </c>
      <c r="DI30" s="1">
        <f t="shared" si="57"/>
        <v>11</v>
      </c>
      <c r="DJ30" s="1">
        <f t="shared" ref="DJ30:DJ38" si="73">IF((DI30&lt;=5),5,(IF(AND(DI30&gt;=6,DI30&lt;=7),4,(IF(AND(DI30&gt;=8,DI30&lt;=9),3,(IF(AND(DI30&gt;=10,AV30&lt;=11),2,IF(AV30&gt;=12,1,""))))))))</f>
        <v>2</v>
      </c>
      <c r="DK30" s="1">
        <f t="shared" si="58"/>
        <v>8</v>
      </c>
      <c r="DL30" s="1">
        <f t="shared" ref="DL30:DL38" si="74">IF((DK30&lt;=6),5,(IF(AND(DK30&gt;=7,DK30&lt;=8),4,IF((DK30=9),3,IF(AND(DK30&gt;=10,DK30&lt;=11),2,IF(DK30&gt;=12,1,""))))))</f>
        <v>4</v>
      </c>
      <c r="DM30" s="1">
        <f t="shared" si="60"/>
        <v>6</v>
      </c>
      <c r="DN30" s="1">
        <f t="shared" ref="DN30:DN38" si="75">IF((DM30&lt;=3),5,(IF((DM30=4),4,IF(AND(DM30&gt;=5,DM30&lt;=6),3,IF((DM30=7),2,IF(DM30&gt;=8,1,""))))))</f>
        <v>3</v>
      </c>
      <c r="DO30" s="1">
        <f t="shared" ref="DO30:DO38" si="76">CK30+CM30+CO30+CQ30+CS30+CU30</f>
        <v>21</v>
      </c>
      <c r="DP30" s="1">
        <f t="shared" ref="DP30:DP38" si="77">AM30+AO30+AQ30+AS30+AU30+AW30+AY30+BA30+BC30</f>
        <v>25</v>
      </c>
      <c r="DQ30" s="1">
        <f>DH30+DJ30+DL30</f>
        <v>8</v>
      </c>
      <c r="DR30" s="23" t="str">
        <f t="shared" si="63"/>
        <v>中①</v>
      </c>
      <c r="DS30" s="23" t="str">
        <f t="shared" si="64"/>
        <v/>
      </c>
      <c r="DT30">
        <v>0.10199999999999999</v>
      </c>
      <c r="DU30">
        <v>44.13</v>
      </c>
      <c r="DV30">
        <v>0.92</v>
      </c>
      <c r="DW30">
        <v>46</v>
      </c>
      <c r="DX30" s="30" t="s">
        <v>60</v>
      </c>
    </row>
    <row r="31" spans="1:128" ht="14">
      <c r="A31">
        <v>435</v>
      </c>
      <c r="B31" t="s">
        <v>83</v>
      </c>
      <c r="C31" s="24">
        <v>44</v>
      </c>
      <c r="D31">
        <v>1</v>
      </c>
      <c r="E31">
        <v>1</v>
      </c>
      <c r="F31">
        <v>1</v>
      </c>
      <c r="G31">
        <v>1</v>
      </c>
      <c r="H31">
        <v>2</v>
      </c>
      <c r="I31">
        <v>1</v>
      </c>
      <c r="J31">
        <v>4</v>
      </c>
      <c r="K31">
        <v>3</v>
      </c>
      <c r="L31">
        <v>3</v>
      </c>
      <c r="M31">
        <v>2</v>
      </c>
      <c r="N31">
        <v>4</v>
      </c>
      <c r="O31">
        <v>4</v>
      </c>
      <c r="P31">
        <v>3</v>
      </c>
      <c r="Q31">
        <v>2</v>
      </c>
      <c r="R31">
        <v>4</v>
      </c>
      <c r="S31">
        <v>2</v>
      </c>
      <c r="T31">
        <v>2</v>
      </c>
      <c r="U31" s="1">
        <f t="shared" si="18"/>
        <v>4</v>
      </c>
      <c r="V31" s="1">
        <f t="shared" si="19"/>
        <v>4</v>
      </c>
      <c r="W31" s="1">
        <f t="shared" si="20"/>
        <v>4</v>
      </c>
      <c r="X31" s="1">
        <f t="shared" si="21"/>
        <v>4</v>
      </c>
      <c r="Y31" s="1">
        <f t="shared" si="22"/>
        <v>3</v>
      </c>
      <c r="Z31" s="1">
        <f t="shared" si="23"/>
        <v>4</v>
      </c>
      <c r="AA31" s="1">
        <f t="shared" si="24"/>
        <v>1</v>
      </c>
      <c r="AB31" s="1">
        <f t="shared" si="25"/>
        <v>2</v>
      </c>
      <c r="AC31" s="1">
        <f t="shared" si="26"/>
        <v>3</v>
      </c>
      <c r="AD31" s="1">
        <f t="shared" si="27"/>
        <v>2</v>
      </c>
      <c r="AE31" s="1">
        <f t="shared" si="28"/>
        <v>1</v>
      </c>
      <c r="AF31" s="1">
        <f t="shared" si="29"/>
        <v>1</v>
      </c>
      <c r="AG31" s="1">
        <f t="shared" si="30"/>
        <v>2</v>
      </c>
      <c r="AH31" s="1">
        <f t="shared" si="31"/>
        <v>2</v>
      </c>
      <c r="AI31" s="1">
        <f t="shared" si="32"/>
        <v>1</v>
      </c>
      <c r="AJ31" s="1">
        <f t="shared" si="33"/>
        <v>2</v>
      </c>
      <c r="AK31" s="1">
        <f t="shared" si="34"/>
        <v>2</v>
      </c>
      <c r="AL31" s="1">
        <f t="shared" si="65"/>
        <v>12</v>
      </c>
      <c r="AM31" s="1">
        <f t="shared" si="2"/>
        <v>5</v>
      </c>
      <c r="AN31" s="1">
        <f t="shared" si="35"/>
        <v>11</v>
      </c>
      <c r="AO31" s="1">
        <f t="shared" si="3"/>
        <v>5</v>
      </c>
      <c r="AP31" s="1">
        <f t="shared" si="36"/>
        <v>1</v>
      </c>
      <c r="AQ31" s="1">
        <f t="shared" si="66"/>
        <v>2</v>
      </c>
      <c r="AR31" s="1">
        <f t="shared" si="67"/>
        <v>5</v>
      </c>
      <c r="AS31" s="1">
        <f t="shared" si="68"/>
        <v>2</v>
      </c>
      <c r="AT31" s="1">
        <f t="shared" si="40"/>
        <v>1</v>
      </c>
      <c r="AU31" s="1">
        <f t="shared" si="4"/>
        <v>1</v>
      </c>
      <c r="AV31" s="1">
        <f t="shared" si="41"/>
        <v>7</v>
      </c>
      <c r="AW31" s="1">
        <f t="shared" si="5"/>
        <v>3</v>
      </c>
      <c r="AX31" s="38">
        <f t="shared" si="42"/>
        <v>4</v>
      </c>
      <c r="AY31" s="1">
        <f t="shared" si="69"/>
        <v>2</v>
      </c>
      <c r="AZ31" s="1">
        <f t="shared" si="44"/>
        <v>3</v>
      </c>
      <c r="BA31" s="1">
        <f t="shared" si="70"/>
        <v>3</v>
      </c>
      <c r="BB31" s="1">
        <f t="shared" si="46"/>
        <v>3</v>
      </c>
      <c r="BC31" s="1">
        <f t="shared" si="71"/>
        <v>3</v>
      </c>
      <c r="BD31">
        <v>4</v>
      </c>
      <c r="BE31">
        <v>4</v>
      </c>
      <c r="BF31">
        <v>4</v>
      </c>
      <c r="BG31" s="1">
        <f t="shared" si="48"/>
        <v>1</v>
      </c>
      <c r="BH31" s="1">
        <f t="shared" si="49"/>
        <v>1</v>
      </c>
      <c r="BI31" s="1">
        <f t="shared" si="50"/>
        <v>1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4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2</v>
      </c>
      <c r="BZ31">
        <v>1</v>
      </c>
      <c r="CA31">
        <v>2</v>
      </c>
      <c r="CB31">
        <v>3</v>
      </c>
      <c r="CC31">
        <v>2</v>
      </c>
      <c r="CD31">
        <v>3</v>
      </c>
      <c r="CE31">
        <v>2</v>
      </c>
      <c r="CF31">
        <v>2</v>
      </c>
      <c r="CG31">
        <v>2</v>
      </c>
      <c r="CH31">
        <v>2</v>
      </c>
      <c r="CI31">
        <v>1</v>
      </c>
      <c r="CJ31" s="1">
        <f t="shared" si="51"/>
        <v>12</v>
      </c>
      <c r="CK31" s="1">
        <f t="shared" si="72"/>
        <v>1</v>
      </c>
      <c r="CL31" s="1">
        <f t="shared" si="53"/>
        <v>6</v>
      </c>
      <c r="CM31" s="1">
        <f t="shared" si="7"/>
        <v>3</v>
      </c>
      <c r="CN31" s="1">
        <f t="shared" si="8"/>
        <v>6</v>
      </c>
      <c r="CO31" s="1">
        <f t="shared" si="9"/>
        <v>3</v>
      </c>
      <c r="CP31" s="1">
        <f t="shared" si="54"/>
        <v>6</v>
      </c>
      <c r="CQ31" s="1">
        <f t="shared" si="10"/>
        <v>3</v>
      </c>
      <c r="CR31" s="1">
        <f t="shared" si="11"/>
        <v>6</v>
      </c>
      <c r="CS31" s="1">
        <f t="shared" si="12"/>
        <v>1</v>
      </c>
      <c r="CT31" s="1">
        <f t="shared" si="55"/>
        <v>22</v>
      </c>
      <c r="CU31" s="1">
        <f t="shared" si="13"/>
        <v>3</v>
      </c>
      <c r="CV31">
        <v>2</v>
      </c>
      <c r="CW31">
        <v>3</v>
      </c>
      <c r="CX31">
        <v>1</v>
      </c>
      <c r="CY31">
        <v>2</v>
      </c>
      <c r="CZ31">
        <v>3</v>
      </c>
      <c r="DA31">
        <v>2</v>
      </c>
      <c r="DB31">
        <v>2</v>
      </c>
      <c r="DC31">
        <v>2</v>
      </c>
      <c r="DD31">
        <v>1</v>
      </c>
      <c r="DE31">
        <v>2</v>
      </c>
      <c r="DF31">
        <v>2</v>
      </c>
      <c r="DG31" s="1">
        <f t="shared" si="56"/>
        <v>9</v>
      </c>
      <c r="DH31" s="1">
        <f t="shared" si="14"/>
        <v>2</v>
      </c>
      <c r="DI31" s="1">
        <f t="shared" si="57"/>
        <v>7</v>
      </c>
      <c r="DJ31" s="1">
        <f t="shared" si="73"/>
        <v>4</v>
      </c>
      <c r="DK31" s="1">
        <f t="shared" si="58"/>
        <v>11</v>
      </c>
      <c r="DL31" s="1">
        <f t="shared" si="74"/>
        <v>2</v>
      </c>
      <c r="DM31" s="1">
        <f t="shared" si="60"/>
        <v>6</v>
      </c>
      <c r="DN31" s="1">
        <f t="shared" si="75"/>
        <v>3</v>
      </c>
      <c r="DO31" s="1">
        <f t="shared" si="76"/>
        <v>14</v>
      </c>
      <c r="DP31" s="1">
        <f t="shared" si="77"/>
        <v>26</v>
      </c>
      <c r="DQ31" s="1">
        <f t="shared" ref="DQ31:DQ38" si="78">DH31+DJ31+DL31</f>
        <v>8</v>
      </c>
      <c r="DR31" s="23" t="str">
        <f t="shared" si="63"/>
        <v>低</v>
      </c>
      <c r="DS31" s="23" t="str">
        <f t="shared" si="64"/>
        <v/>
      </c>
      <c r="DT31">
        <v>0.25800000000000001</v>
      </c>
      <c r="DU31">
        <v>86.01</v>
      </c>
      <c r="DV31">
        <v>1.2</v>
      </c>
      <c r="DW31">
        <v>60</v>
      </c>
      <c r="DX31" s="30" t="s">
        <v>60</v>
      </c>
    </row>
    <row r="32" spans="1:128" ht="14">
      <c r="A32">
        <v>437</v>
      </c>
      <c r="B32" t="s">
        <v>82</v>
      </c>
      <c r="C32" s="24">
        <v>44</v>
      </c>
      <c r="D32">
        <v>2</v>
      </c>
      <c r="E32">
        <v>2</v>
      </c>
      <c r="F32">
        <v>2</v>
      </c>
      <c r="G32">
        <v>2</v>
      </c>
      <c r="H32">
        <v>3</v>
      </c>
      <c r="I32">
        <v>2</v>
      </c>
      <c r="J32">
        <v>2</v>
      </c>
      <c r="K32">
        <v>3</v>
      </c>
      <c r="L32">
        <v>2</v>
      </c>
      <c r="M32">
        <v>3</v>
      </c>
      <c r="N32">
        <v>3</v>
      </c>
      <c r="O32">
        <v>2</v>
      </c>
      <c r="P32">
        <v>2</v>
      </c>
      <c r="Q32">
        <v>2</v>
      </c>
      <c r="R32">
        <v>3</v>
      </c>
      <c r="S32">
        <v>2</v>
      </c>
      <c r="T32">
        <v>2</v>
      </c>
      <c r="U32" s="1">
        <f t="shared" si="18"/>
        <v>3</v>
      </c>
      <c r="V32" s="1">
        <f t="shared" si="19"/>
        <v>3</v>
      </c>
      <c r="W32" s="1">
        <f t="shared" si="20"/>
        <v>3</v>
      </c>
      <c r="X32" s="1">
        <f t="shared" si="21"/>
        <v>3</v>
      </c>
      <c r="Y32" s="1">
        <f t="shared" si="22"/>
        <v>2</v>
      </c>
      <c r="Z32" s="1">
        <f t="shared" si="23"/>
        <v>3</v>
      </c>
      <c r="AA32" s="1">
        <f t="shared" si="24"/>
        <v>3</v>
      </c>
      <c r="AB32" s="1">
        <f t="shared" si="25"/>
        <v>2</v>
      </c>
      <c r="AC32" s="1">
        <f t="shared" si="26"/>
        <v>2</v>
      </c>
      <c r="AD32" s="1">
        <f t="shared" si="27"/>
        <v>3</v>
      </c>
      <c r="AE32" s="1">
        <f t="shared" si="28"/>
        <v>2</v>
      </c>
      <c r="AF32" s="1">
        <f t="shared" si="29"/>
        <v>3</v>
      </c>
      <c r="AG32" s="1">
        <f t="shared" si="30"/>
        <v>3</v>
      </c>
      <c r="AH32" s="1">
        <f t="shared" si="31"/>
        <v>2</v>
      </c>
      <c r="AI32" s="1">
        <f t="shared" si="32"/>
        <v>2</v>
      </c>
      <c r="AJ32" s="1">
        <f t="shared" si="33"/>
        <v>2</v>
      </c>
      <c r="AK32" s="1">
        <f t="shared" si="34"/>
        <v>2</v>
      </c>
      <c r="AL32" s="1">
        <f t="shared" si="65"/>
        <v>9</v>
      </c>
      <c r="AM32" s="1">
        <f t="shared" si="2"/>
        <v>3</v>
      </c>
      <c r="AN32" s="1">
        <f t="shared" si="35"/>
        <v>8</v>
      </c>
      <c r="AO32" s="1">
        <f t="shared" si="3"/>
        <v>3</v>
      </c>
      <c r="AP32" s="1">
        <f t="shared" si="36"/>
        <v>3</v>
      </c>
      <c r="AQ32" s="1">
        <f t="shared" si="66"/>
        <v>4</v>
      </c>
      <c r="AR32" s="1">
        <f t="shared" si="67"/>
        <v>8</v>
      </c>
      <c r="AS32" s="1">
        <f t="shared" si="68"/>
        <v>4</v>
      </c>
      <c r="AT32" s="1">
        <f t="shared" si="40"/>
        <v>2</v>
      </c>
      <c r="AU32" s="1">
        <f t="shared" si="4"/>
        <v>3</v>
      </c>
      <c r="AV32" s="1">
        <f t="shared" si="41"/>
        <v>7</v>
      </c>
      <c r="AW32" s="1">
        <f t="shared" si="5"/>
        <v>3</v>
      </c>
      <c r="AX32" s="38">
        <f t="shared" si="42"/>
        <v>3</v>
      </c>
      <c r="AY32" s="1">
        <f t="shared" si="69"/>
        <v>3</v>
      </c>
      <c r="AZ32" s="1">
        <f t="shared" si="44"/>
        <v>3</v>
      </c>
      <c r="BA32" s="1">
        <f t="shared" si="70"/>
        <v>3</v>
      </c>
      <c r="BB32" s="1">
        <f t="shared" si="46"/>
        <v>3</v>
      </c>
      <c r="BC32" s="1">
        <f t="shared" si="71"/>
        <v>3</v>
      </c>
      <c r="BD32">
        <v>3</v>
      </c>
      <c r="BE32">
        <v>3</v>
      </c>
      <c r="BF32">
        <v>3</v>
      </c>
      <c r="BG32" s="1">
        <f t="shared" si="48"/>
        <v>2</v>
      </c>
      <c r="BH32" s="1">
        <f t="shared" si="49"/>
        <v>2</v>
      </c>
      <c r="BI32" s="1">
        <f t="shared" si="50"/>
        <v>2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 s="1">
        <f t="shared" si="51"/>
        <v>9</v>
      </c>
      <c r="CK32" s="1">
        <f t="shared" si="72"/>
        <v>2</v>
      </c>
      <c r="CL32" s="1">
        <f t="shared" si="53"/>
        <v>9</v>
      </c>
      <c r="CM32" s="1">
        <f t="shared" si="7"/>
        <v>4</v>
      </c>
      <c r="CN32" s="1">
        <f t="shared" si="8"/>
        <v>9</v>
      </c>
      <c r="CO32" s="1">
        <f t="shared" si="9"/>
        <v>4</v>
      </c>
      <c r="CP32" s="1">
        <f t="shared" si="54"/>
        <v>9</v>
      </c>
      <c r="CQ32" s="1">
        <f t="shared" si="10"/>
        <v>4</v>
      </c>
      <c r="CR32" s="1">
        <f t="shared" si="11"/>
        <v>14</v>
      </c>
      <c r="CS32" s="1">
        <f t="shared" si="12"/>
        <v>4</v>
      </c>
      <c r="CT32" s="1">
        <f t="shared" si="55"/>
        <v>11</v>
      </c>
      <c r="CU32" s="1">
        <f t="shared" si="13"/>
        <v>1</v>
      </c>
      <c r="CV32">
        <v>3</v>
      </c>
      <c r="CW32">
        <v>2</v>
      </c>
      <c r="CX32">
        <v>1</v>
      </c>
      <c r="CY32">
        <v>2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 s="1">
        <f t="shared" si="56"/>
        <v>8</v>
      </c>
      <c r="DH32" s="1">
        <f t="shared" si="14"/>
        <v>3</v>
      </c>
      <c r="DI32" s="1">
        <f t="shared" si="57"/>
        <v>9</v>
      </c>
      <c r="DJ32" s="1">
        <f t="shared" si="73"/>
        <v>3</v>
      </c>
      <c r="DK32" s="1">
        <f t="shared" si="58"/>
        <v>10</v>
      </c>
      <c r="DL32" s="1">
        <f t="shared" si="74"/>
        <v>2</v>
      </c>
      <c r="DM32" s="1">
        <f t="shared" si="60"/>
        <v>6</v>
      </c>
      <c r="DN32" s="1">
        <f t="shared" si="75"/>
        <v>3</v>
      </c>
      <c r="DO32" s="1">
        <f t="shared" si="76"/>
        <v>19</v>
      </c>
      <c r="DP32" s="1">
        <f t="shared" si="77"/>
        <v>29</v>
      </c>
      <c r="DQ32" s="1">
        <f t="shared" si="78"/>
        <v>8</v>
      </c>
      <c r="DR32" s="23" t="str">
        <f t="shared" si="63"/>
        <v>中①</v>
      </c>
      <c r="DS32" s="23" t="str">
        <f t="shared" si="64"/>
        <v/>
      </c>
      <c r="DT32">
        <v>0.36099999999999999</v>
      </c>
      <c r="DU32">
        <v>189.82</v>
      </c>
      <c r="DV32">
        <v>0.76</v>
      </c>
      <c r="DW32">
        <v>38</v>
      </c>
      <c r="DX32" s="30" t="s">
        <v>60</v>
      </c>
    </row>
    <row r="33" spans="1:128" ht="14">
      <c r="A33">
        <v>438</v>
      </c>
      <c r="B33" t="s">
        <v>82</v>
      </c>
      <c r="C33" s="40">
        <v>29</v>
      </c>
      <c r="D33">
        <v>2</v>
      </c>
      <c r="E33">
        <v>2</v>
      </c>
      <c r="F33">
        <v>1</v>
      </c>
      <c r="G33">
        <v>2</v>
      </c>
      <c r="H33">
        <v>3</v>
      </c>
      <c r="I33">
        <v>2</v>
      </c>
      <c r="J33">
        <v>4</v>
      </c>
      <c r="K33">
        <v>1</v>
      </c>
      <c r="L33">
        <v>1</v>
      </c>
      <c r="M33">
        <v>1</v>
      </c>
      <c r="N33">
        <v>3</v>
      </c>
      <c r="O33">
        <v>4</v>
      </c>
      <c r="P33">
        <v>4</v>
      </c>
      <c r="Q33">
        <v>1</v>
      </c>
      <c r="R33">
        <v>4</v>
      </c>
      <c r="S33">
        <v>1</v>
      </c>
      <c r="T33">
        <v>1</v>
      </c>
      <c r="U33" s="1">
        <f t="shared" si="18"/>
        <v>3</v>
      </c>
      <c r="V33" s="1">
        <f t="shared" si="19"/>
        <v>3</v>
      </c>
      <c r="W33" s="1">
        <f t="shared" si="20"/>
        <v>4</v>
      </c>
      <c r="X33" s="1">
        <f t="shared" si="21"/>
        <v>3</v>
      </c>
      <c r="Y33" s="1">
        <f t="shared" si="22"/>
        <v>2</v>
      </c>
      <c r="Z33" s="1">
        <f t="shared" si="23"/>
        <v>3</v>
      </c>
      <c r="AA33" s="1">
        <f t="shared" si="24"/>
        <v>1</v>
      </c>
      <c r="AB33" s="1">
        <f t="shared" si="25"/>
        <v>4</v>
      </c>
      <c r="AC33" s="1">
        <f t="shared" si="26"/>
        <v>1</v>
      </c>
      <c r="AD33" s="1">
        <f t="shared" si="27"/>
        <v>1</v>
      </c>
      <c r="AE33" s="1">
        <f t="shared" si="28"/>
        <v>2</v>
      </c>
      <c r="AF33" s="1">
        <f t="shared" si="29"/>
        <v>1</v>
      </c>
      <c r="AG33" s="1">
        <f t="shared" si="30"/>
        <v>1</v>
      </c>
      <c r="AH33" s="1">
        <f t="shared" si="31"/>
        <v>1</v>
      </c>
      <c r="AI33" s="1">
        <f t="shared" si="32"/>
        <v>1</v>
      </c>
      <c r="AJ33" s="1">
        <f t="shared" si="33"/>
        <v>1</v>
      </c>
      <c r="AK33" s="1">
        <f t="shared" si="34"/>
        <v>1</v>
      </c>
      <c r="AL33" s="1">
        <f t="shared" si="65"/>
        <v>10</v>
      </c>
      <c r="AM33" s="1">
        <f t="shared" si="2"/>
        <v>4</v>
      </c>
      <c r="AN33" s="1">
        <f t="shared" si="35"/>
        <v>8</v>
      </c>
      <c r="AO33" s="1">
        <f t="shared" si="3"/>
        <v>3</v>
      </c>
      <c r="AP33" s="1">
        <f t="shared" si="36"/>
        <v>1</v>
      </c>
      <c r="AQ33" s="1">
        <f t="shared" si="66"/>
        <v>2</v>
      </c>
      <c r="AR33" s="1">
        <f t="shared" si="67"/>
        <v>3</v>
      </c>
      <c r="AS33" s="1">
        <f t="shared" si="68"/>
        <v>1</v>
      </c>
      <c r="AT33" s="1">
        <f t="shared" si="40"/>
        <v>1</v>
      </c>
      <c r="AU33" s="1">
        <f t="shared" si="4"/>
        <v>2</v>
      </c>
      <c r="AV33" s="1">
        <f t="shared" si="41"/>
        <v>12</v>
      </c>
      <c r="AW33" s="1">
        <f t="shared" si="5"/>
        <v>1</v>
      </c>
      <c r="AX33" s="38">
        <f t="shared" si="42"/>
        <v>3</v>
      </c>
      <c r="AY33" s="1">
        <f t="shared" si="69"/>
        <v>3</v>
      </c>
      <c r="AZ33" s="1">
        <f t="shared" si="44"/>
        <v>4</v>
      </c>
      <c r="BA33" s="1">
        <f t="shared" si="70"/>
        <v>1</v>
      </c>
      <c r="BB33" s="1">
        <f t="shared" si="46"/>
        <v>4</v>
      </c>
      <c r="BC33" s="1">
        <f t="shared" si="71"/>
        <v>1</v>
      </c>
      <c r="BD33">
        <v>3</v>
      </c>
      <c r="BE33">
        <v>4</v>
      </c>
      <c r="BF33">
        <v>4</v>
      </c>
      <c r="BG33" s="1">
        <f t="shared" si="48"/>
        <v>2</v>
      </c>
      <c r="BH33" s="1">
        <f t="shared" si="49"/>
        <v>1</v>
      </c>
      <c r="BI33" s="1">
        <f t="shared" si="50"/>
        <v>1</v>
      </c>
      <c r="BJ33">
        <v>1</v>
      </c>
      <c r="BK33">
        <v>1</v>
      </c>
      <c r="BL33">
        <v>1</v>
      </c>
      <c r="BM33">
        <v>2</v>
      </c>
      <c r="BN33">
        <v>2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2</v>
      </c>
      <c r="CC33">
        <v>1</v>
      </c>
      <c r="CD33">
        <v>2</v>
      </c>
      <c r="CE33">
        <v>1</v>
      </c>
      <c r="CF33">
        <v>1</v>
      </c>
      <c r="CG33">
        <v>1</v>
      </c>
      <c r="CH33">
        <v>1</v>
      </c>
      <c r="CI33">
        <v>1</v>
      </c>
      <c r="CJ33" s="1">
        <f t="shared" si="51"/>
        <v>11</v>
      </c>
      <c r="CK33" s="1">
        <f t="shared" si="72"/>
        <v>1</v>
      </c>
      <c r="CL33" s="1">
        <f t="shared" si="53"/>
        <v>3</v>
      </c>
      <c r="CM33" s="1">
        <f t="shared" si="7"/>
        <v>1</v>
      </c>
      <c r="CN33" s="1">
        <f t="shared" si="8"/>
        <v>5</v>
      </c>
      <c r="CO33" s="1">
        <f t="shared" si="9"/>
        <v>3</v>
      </c>
      <c r="CP33" s="1">
        <f t="shared" si="54"/>
        <v>4</v>
      </c>
      <c r="CQ33" s="1">
        <f t="shared" si="10"/>
        <v>2</v>
      </c>
      <c r="CR33" s="1">
        <f t="shared" si="11"/>
        <v>6</v>
      </c>
      <c r="CS33" s="1">
        <f t="shared" si="12"/>
        <v>1</v>
      </c>
      <c r="CT33" s="1">
        <f t="shared" si="55"/>
        <v>13</v>
      </c>
      <c r="CU33" s="1">
        <f t="shared" si="13"/>
        <v>2</v>
      </c>
      <c r="CV33">
        <v>3</v>
      </c>
      <c r="CW33">
        <v>3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 s="1">
        <f t="shared" si="56"/>
        <v>10</v>
      </c>
      <c r="DH33" s="1">
        <f t="shared" si="14"/>
        <v>2</v>
      </c>
      <c r="DI33" s="1">
        <f t="shared" si="57"/>
        <v>10</v>
      </c>
      <c r="DJ33" s="1">
        <f t="shared" si="73"/>
        <v>1</v>
      </c>
      <c r="DK33" s="1">
        <f t="shared" si="58"/>
        <v>12</v>
      </c>
      <c r="DL33" s="1">
        <f t="shared" si="74"/>
        <v>1</v>
      </c>
      <c r="DM33" s="1">
        <f t="shared" si="60"/>
        <v>8</v>
      </c>
      <c r="DN33" s="1">
        <f t="shared" si="75"/>
        <v>1</v>
      </c>
      <c r="DO33" s="1">
        <f t="shared" si="76"/>
        <v>10</v>
      </c>
      <c r="DP33" s="1">
        <f t="shared" si="77"/>
        <v>18</v>
      </c>
      <c r="DQ33" s="1">
        <f t="shared" si="78"/>
        <v>4</v>
      </c>
      <c r="DR33" s="23" t="str">
        <f t="shared" si="63"/>
        <v>低</v>
      </c>
      <c r="DS33" s="23" t="str">
        <f t="shared" si="64"/>
        <v/>
      </c>
      <c r="DT33">
        <v>0.10199999999999999</v>
      </c>
      <c r="DU33">
        <v>30.17</v>
      </c>
      <c r="DV33">
        <v>1.35</v>
      </c>
      <c r="DW33">
        <v>68</v>
      </c>
      <c r="DX33" s="30" t="s">
        <v>60</v>
      </c>
    </row>
    <row r="34" spans="1:128" ht="14">
      <c r="A34">
        <v>366</v>
      </c>
      <c r="B34" t="s">
        <v>82</v>
      </c>
      <c r="C34" s="24">
        <v>60</v>
      </c>
      <c r="D34">
        <v>3</v>
      </c>
      <c r="E34">
        <v>4</v>
      </c>
      <c r="F34">
        <v>3</v>
      </c>
      <c r="G34">
        <v>3</v>
      </c>
      <c r="H34">
        <v>2</v>
      </c>
      <c r="I34">
        <v>2</v>
      </c>
      <c r="J34">
        <v>3</v>
      </c>
      <c r="K34">
        <v>2</v>
      </c>
      <c r="L34">
        <v>2</v>
      </c>
      <c r="M34">
        <v>2</v>
      </c>
      <c r="N34">
        <v>3</v>
      </c>
      <c r="O34">
        <v>3</v>
      </c>
      <c r="P34">
        <v>4</v>
      </c>
      <c r="Q34">
        <v>1</v>
      </c>
      <c r="R34">
        <v>4</v>
      </c>
      <c r="S34">
        <v>2</v>
      </c>
      <c r="T34">
        <v>2</v>
      </c>
      <c r="U34" s="1">
        <f t="shared" si="18"/>
        <v>2</v>
      </c>
      <c r="V34" s="1">
        <f t="shared" si="19"/>
        <v>1</v>
      </c>
      <c r="W34" s="1">
        <f t="shared" si="20"/>
        <v>2</v>
      </c>
      <c r="X34" s="1">
        <f t="shared" si="21"/>
        <v>2</v>
      </c>
      <c r="Y34" s="1">
        <f t="shared" si="22"/>
        <v>3</v>
      </c>
      <c r="Z34" s="1">
        <f t="shared" si="23"/>
        <v>3</v>
      </c>
      <c r="AA34" s="1">
        <f t="shared" si="24"/>
        <v>2</v>
      </c>
      <c r="AB34" s="1">
        <f t="shared" si="25"/>
        <v>3</v>
      </c>
      <c r="AC34" s="1">
        <f t="shared" si="26"/>
        <v>2</v>
      </c>
      <c r="AD34" s="1">
        <f t="shared" si="27"/>
        <v>2</v>
      </c>
      <c r="AE34" s="1">
        <f t="shared" si="28"/>
        <v>2</v>
      </c>
      <c r="AF34" s="1">
        <f t="shared" si="29"/>
        <v>2</v>
      </c>
      <c r="AG34" s="1">
        <f t="shared" si="30"/>
        <v>1</v>
      </c>
      <c r="AH34" s="1">
        <f t="shared" si="31"/>
        <v>1</v>
      </c>
      <c r="AI34" s="1">
        <f t="shared" si="32"/>
        <v>1</v>
      </c>
      <c r="AJ34" s="1">
        <f t="shared" si="33"/>
        <v>2</v>
      </c>
      <c r="AK34" s="1">
        <f t="shared" si="34"/>
        <v>2</v>
      </c>
      <c r="AL34" s="1">
        <f t="shared" si="65"/>
        <v>5</v>
      </c>
      <c r="AM34" s="1">
        <f t="shared" si="2"/>
        <v>1</v>
      </c>
      <c r="AN34" s="1">
        <f t="shared" si="35"/>
        <v>8</v>
      </c>
      <c r="AO34" s="1">
        <f t="shared" si="3"/>
        <v>3</v>
      </c>
      <c r="AP34" s="1">
        <f t="shared" si="36"/>
        <v>2</v>
      </c>
      <c r="AQ34" s="1">
        <f t="shared" si="66"/>
        <v>3</v>
      </c>
      <c r="AR34" s="1">
        <f t="shared" si="67"/>
        <v>4</v>
      </c>
      <c r="AS34" s="1">
        <f t="shared" si="68"/>
        <v>2</v>
      </c>
      <c r="AT34" s="1">
        <f t="shared" si="40"/>
        <v>1</v>
      </c>
      <c r="AU34" s="1">
        <f t="shared" si="4"/>
        <v>2</v>
      </c>
      <c r="AV34" s="1">
        <f t="shared" si="41"/>
        <v>9</v>
      </c>
      <c r="AW34" s="1">
        <f t="shared" si="5"/>
        <v>2</v>
      </c>
      <c r="AX34" s="38">
        <f t="shared" si="42"/>
        <v>3</v>
      </c>
      <c r="AY34" s="1">
        <f t="shared" si="69"/>
        <v>3</v>
      </c>
      <c r="AZ34" s="1">
        <f t="shared" si="44"/>
        <v>3</v>
      </c>
      <c r="BA34" s="1">
        <f t="shared" si="70"/>
        <v>3</v>
      </c>
      <c r="BB34" s="1">
        <f t="shared" si="46"/>
        <v>3</v>
      </c>
      <c r="BC34" s="1">
        <f t="shared" si="71"/>
        <v>3</v>
      </c>
      <c r="BD34">
        <v>3</v>
      </c>
      <c r="BE34">
        <v>3</v>
      </c>
      <c r="BF34">
        <v>2</v>
      </c>
      <c r="BG34" s="1">
        <f t="shared" si="48"/>
        <v>2</v>
      </c>
      <c r="BH34" s="1">
        <f t="shared" si="49"/>
        <v>2</v>
      </c>
      <c r="BI34" s="1">
        <f t="shared" si="50"/>
        <v>3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 s="1">
        <f t="shared" si="51"/>
        <v>8</v>
      </c>
      <c r="CK34" s="1">
        <f t="shared" si="72"/>
        <v>2</v>
      </c>
      <c r="CL34" s="1">
        <f t="shared" si="53"/>
        <v>3</v>
      </c>
      <c r="CM34" s="1">
        <f t="shared" si="7"/>
        <v>1</v>
      </c>
      <c r="CN34" s="1">
        <f t="shared" si="8"/>
        <v>3</v>
      </c>
      <c r="CO34" s="1">
        <f t="shared" si="9"/>
        <v>1</v>
      </c>
      <c r="CP34" s="1">
        <f t="shared" si="54"/>
        <v>4</v>
      </c>
      <c r="CQ34" s="1">
        <f t="shared" si="10"/>
        <v>2</v>
      </c>
      <c r="CR34" s="1">
        <f t="shared" si="11"/>
        <v>6</v>
      </c>
      <c r="CS34" s="1">
        <f t="shared" si="12"/>
        <v>1</v>
      </c>
      <c r="CT34" s="1">
        <f t="shared" si="55"/>
        <v>11</v>
      </c>
      <c r="CU34" s="1">
        <f t="shared" si="13"/>
        <v>1</v>
      </c>
      <c r="CV34">
        <v>2</v>
      </c>
      <c r="CW34">
        <v>1</v>
      </c>
      <c r="CX34">
        <v>2</v>
      </c>
      <c r="CY34">
        <v>2</v>
      </c>
      <c r="CZ34">
        <v>2</v>
      </c>
      <c r="DA34">
        <v>3</v>
      </c>
      <c r="DB34">
        <v>3</v>
      </c>
      <c r="DC34">
        <v>2</v>
      </c>
      <c r="DD34">
        <v>2</v>
      </c>
      <c r="DE34">
        <v>2</v>
      </c>
      <c r="DF34">
        <v>3</v>
      </c>
      <c r="DG34" s="1">
        <f t="shared" si="56"/>
        <v>8</v>
      </c>
      <c r="DH34" s="1">
        <f t="shared" si="14"/>
        <v>3</v>
      </c>
      <c r="DI34" s="1">
        <f t="shared" si="57"/>
        <v>10</v>
      </c>
      <c r="DJ34" s="1">
        <f t="shared" si="73"/>
        <v>2</v>
      </c>
      <c r="DK34" s="1">
        <f t="shared" si="58"/>
        <v>8</v>
      </c>
      <c r="DL34" s="1">
        <f t="shared" si="74"/>
        <v>4</v>
      </c>
      <c r="DM34" s="1">
        <f t="shared" si="60"/>
        <v>5</v>
      </c>
      <c r="DN34" s="1">
        <f t="shared" si="75"/>
        <v>3</v>
      </c>
      <c r="DO34" s="1">
        <f t="shared" si="76"/>
        <v>8</v>
      </c>
      <c r="DP34" s="1">
        <f t="shared" si="77"/>
        <v>22</v>
      </c>
      <c r="DQ34" s="1">
        <f t="shared" si="78"/>
        <v>9</v>
      </c>
      <c r="DR34" s="23" t="str">
        <f t="shared" si="63"/>
        <v>低</v>
      </c>
      <c r="DS34" s="23" t="str">
        <f t="shared" si="64"/>
        <v/>
      </c>
      <c r="DT34">
        <v>0.35699999999999998</v>
      </c>
      <c r="DU34">
        <v>155.22999999999999</v>
      </c>
      <c r="DV34">
        <v>0.92</v>
      </c>
      <c r="DW34">
        <v>46</v>
      </c>
      <c r="DX34" s="30" t="s">
        <v>60</v>
      </c>
    </row>
    <row r="35" spans="1:128" ht="14">
      <c r="A35">
        <v>440</v>
      </c>
      <c r="B35" t="s">
        <v>83</v>
      </c>
      <c r="C35" s="24">
        <v>28</v>
      </c>
      <c r="D35">
        <v>2</v>
      </c>
      <c r="E35">
        <v>2</v>
      </c>
      <c r="F35">
        <v>2</v>
      </c>
      <c r="G35">
        <v>2</v>
      </c>
      <c r="H35">
        <v>3</v>
      </c>
      <c r="I35">
        <v>3</v>
      </c>
      <c r="J35">
        <v>4</v>
      </c>
      <c r="K35">
        <v>1</v>
      </c>
      <c r="L35">
        <v>1</v>
      </c>
      <c r="M35">
        <v>1</v>
      </c>
      <c r="N35">
        <v>3</v>
      </c>
      <c r="O35">
        <v>4</v>
      </c>
      <c r="P35">
        <v>2</v>
      </c>
      <c r="Q35">
        <v>1</v>
      </c>
      <c r="R35">
        <v>1</v>
      </c>
      <c r="S35">
        <v>1</v>
      </c>
      <c r="T35">
        <v>1</v>
      </c>
      <c r="U35" s="1">
        <f t="shared" si="18"/>
        <v>3</v>
      </c>
      <c r="V35" s="1">
        <f t="shared" si="19"/>
        <v>3</v>
      </c>
      <c r="W35" s="1">
        <f t="shared" si="20"/>
        <v>3</v>
      </c>
      <c r="X35" s="1">
        <f t="shared" si="21"/>
        <v>3</v>
      </c>
      <c r="Y35" s="1">
        <f t="shared" si="22"/>
        <v>2</v>
      </c>
      <c r="Z35" s="1">
        <f t="shared" si="23"/>
        <v>2</v>
      </c>
      <c r="AA35" s="1">
        <f t="shared" si="24"/>
        <v>1</v>
      </c>
      <c r="AB35" s="1">
        <f t="shared" si="25"/>
        <v>4</v>
      </c>
      <c r="AC35" s="1">
        <f t="shared" si="26"/>
        <v>1</v>
      </c>
      <c r="AD35" s="1">
        <f t="shared" si="27"/>
        <v>1</v>
      </c>
      <c r="AE35" s="1">
        <f t="shared" si="28"/>
        <v>2</v>
      </c>
      <c r="AF35" s="1">
        <f t="shared" si="29"/>
        <v>1</v>
      </c>
      <c r="AG35" s="1">
        <f t="shared" si="30"/>
        <v>3</v>
      </c>
      <c r="AH35" s="1">
        <f t="shared" si="31"/>
        <v>1</v>
      </c>
      <c r="AI35" s="1">
        <f t="shared" si="32"/>
        <v>4</v>
      </c>
      <c r="AJ35" s="1">
        <f t="shared" si="33"/>
        <v>1</v>
      </c>
      <c r="AK35" s="1">
        <f t="shared" si="34"/>
        <v>1</v>
      </c>
      <c r="AL35" s="1">
        <f t="shared" si="65"/>
        <v>9</v>
      </c>
      <c r="AM35" s="1">
        <f t="shared" si="2"/>
        <v>3</v>
      </c>
      <c r="AN35" s="1">
        <f t="shared" si="35"/>
        <v>7</v>
      </c>
      <c r="AO35" s="1">
        <f t="shared" si="3"/>
        <v>3</v>
      </c>
      <c r="AP35" s="1">
        <f t="shared" si="36"/>
        <v>1</v>
      </c>
      <c r="AQ35" s="1">
        <f t="shared" si="66"/>
        <v>2</v>
      </c>
      <c r="AR35" s="1">
        <f t="shared" si="67"/>
        <v>5</v>
      </c>
      <c r="AS35" s="1">
        <f t="shared" si="68"/>
        <v>2</v>
      </c>
      <c r="AT35" s="1">
        <f t="shared" si="40"/>
        <v>4</v>
      </c>
      <c r="AU35" s="1">
        <f t="shared" si="4"/>
        <v>5</v>
      </c>
      <c r="AV35" s="1">
        <f t="shared" si="41"/>
        <v>12</v>
      </c>
      <c r="AW35" s="1">
        <f t="shared" si="5"/>
        <v>1</v>
      </c>
      <c r="AX35" s="38">
        <f t="shared" si="42"/>
        <v>3</v>
      </c>
      <c r="AY35" s="1">
        <f t="shared" si="69"/>
        <v>3</v>
      </c>
      <c r="AZ35" s="1">
        <f t="shared" si="44"/>
        <v>4</v>
      </c>
      <c r="BA35" s="1">
        <f t="shared" si="70"/>
        <v>1</v>
      </c>
      <c r="BB35" s="1">
        <f t="shared" si="46"/>
        <v>4</v>
      </c>
      <c r="BC35" s="1">
        <f t="shared" si="71"/>
        <v>1</v>
      </c>
      <c r="BD35">
        <v>4</v>
      </c>
      <c r="BE35">
        <v>3</v>
      </c>
      <c r="BF35">
        <v>3</v>
      </c>
      <c r="BG35" s="1">
        <f t="shared" si="48"/>
        <v>1</v>
      </c>
      <c r="BH35" s="1">
        <f t="shared" si="49"/>
        <v>2</v>
      </c>
      <c r="BI35" s="1">
        <f t="shared" si="50"/>
        <v>2</v>
      </c>
      <c r="BJ35">
        <v>2</v>
      </c>
      <c r="BK35">
        <v>2</v>
      </c>
      <c r="BL35">
        <v>2</v>
      </c>
      <c r="BM35">
        <v>3</v>
      </c>
      <c r="BN35">
        <v>3</v>
      </c>
      <c r="BO35">
        <v>3</v>
      </c>
      <c r="BP35">
        <v>2</v>
      </c>
      <c r="BQ35">
        <v>3</v>
      </c>
      <c r="BR35">
        <v>3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2</v>
      </c>
      <c r="CA35">
        <v>2</v>
      </c>
      <c r="CB35">
        <v>2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2</v>
      </c>
      <c r="CJ35" s="1">
        <f t="shared" si="51"/>
        <v>10</v>
      </c>
      <c r="CK35" s="1">
        <f t="shared" si="72"/>
        <v>1</v>
      </c>
      <c r="CL35" s="1">
        <f t="shared" si="53"/>
        <v>6</v>
      </c>
      <c r="CM35" s="1">
        <f t="shared" si="7"/>
        <v>3</v>
      </c>
      <c r="CN35" s="1">
        <f t="shared" si="8"/>
        <v>9</v>
      </c>
      <c r="CO35" s="1">
        <f t="shared" si="9"/>
        <v>4</v>
      </c>
      <c r="CP35" s="1">
        <f t="shared" si="54"/>
        <v>8</v>
      </c>
      <c r="CQ35" s="1">
        <f t="shared" si="10"/>
        <v>4</v>
      </c>
      <c r="CR35" s="1">
        <f t="shared" si="11"/>
        <v>6</v>
      </c>
      <c r="CS35" s="1">
        <f t="shared" si="12"/>
        <v>1</v>
      </c>
      <c r="CT35" s="1">
        <f t="shared" si="55"/>
        <v>15</v>
      </c>
      <c r="CU35" s="1">
        <f t="shared" si="13"/>
        <v>2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 s="1">
        <f t="shared" si="56"/>
        <v>12</v>
      </c>
      <c r="DH35" s="1">
        <f t="shared" si="14"/>
        <v>1</v>
      </c>
      <c r="DI35" s="1">
        <f t="shared" si="57"/>
        <v>12</v>
      </c>
      <c r="DJ35" s="1">
        <f t="shared" si="73"/>
        <v>1</v>
      </c>
      <c r="DK35" s="1">
        <f t="shared" si="58"/>
        <v>12</v>
      </c>
      <c r="DL35" s="1">
        <f t="shared" si="74"/>
        <v>1</v>
      </c>
      <c r="DM35" s="1">
        <f t="shared" si="60"/>
        <v>8</v>
      </c>
      <c r="DN35" s="1">
        <f t="shared" si="75"/>
        <v>1</v>
      </c>
      <c r="DO35" s="1">
        <f t="shared" si="76"/>
        <v>15</v>
      </c>
      <c r="DP35" s="1">
        <f t="shared" si="77"/>
        <v>21</v>
      </c>
      <c r="DQ35" s="1">
        <f t="shared" si="78"/>
        <v>3</v>
      </c>
      <c r="DR35" s="23" t="str">
        <f t="shared" si="63"/>
        <v>低</v>
      </c>
      <c r="DS35" s="23" t="str">
        <f t="shared" si="64"/>
        <v/>
      </c>
      <c r="DT35">
        <v>0.50900000000000001</v>
      </c>
      <c r="DU35">
        <v>112.59</v>
      </c>
      <c r="DV35">
        <v>1.81</v>
      </c>
      <c r="DW35">
        <v>79</v>
      </c>
      <c r="DX35" s="41" t="s">
        <v>115</v>
      </c>
    </row>
    <row r="36" spans="1:128" ht="14">
      <c r="A36">
        <v>369</v>
      </c>
      <c r="B36" t="s">
        <v>82</v>
      </c>
      <c r="C36" s="24">
        <v>39</v>
      </c>
      <c r="D36">
        <v>2</v>
      </c>
      <c r="E36">
        <v>3</v>
      </c>
      <c r="F36">
        <v>2</v>
      </c>
      <c r="G36">
        <v>2</v>
      </c>
      <c r="H36">
        <v>1</v>
      </c>
      <c r="I36">
        <v>2</v>
      </c>
      <c r="J36">
        <v>3</v>
      </c>
      <c r="K36">
        <v>3</v>
      </c>
      <c r="L36">
        <v>2</v>
      </c>
      <c r="M36">
        <v>1</v>
      </c>
      <c r="N36">
        <v>4</v>
      </c>
      <c r="O36">
        <v>2</v>
      </c>
      <c r="P36">
        <v>3</v>
      </c>
      <c r="Q36">
        <v>2</v>
      </c>
      <c r="R36">
        <v>4</v>
      </c>
      <c r="S36">
        <v>1</v>
      </c>
      <c r="T36">
        <v>1</v>
      </c>
      <c r="U36" s="1">
        <f t="shared" si="18"/>
        <v>3</v>
      </c>
      <c r="V36" s="1">
        <f t="shared" si="19"/>
        <v>2</v>
      </c>
      <c r="W36" s="1">
        <f t="shared" si="20"/>
        <v>3</v>
      </c>
      <c r="X36" s="1">
        <f t="shared" si="21"/>
        <v>3</v>
      </c>
      <c r="Y36" s="1">
        <f t="shared" si="22"/>
        <v>4</v>
      </c>
      <c r="Z36" s="1">
        <f t="shared" si="23"/>
        <v>3</v>
      </c>
      <c r="AA36" s="1">
        <f t="shared" si="24"/>
        <v>2</v>
      </c>
      <c r="AB36" s="1">
        <f t="shared" si="25"/>
        <v>2</v>
      </c>
      <c r="AC36" s="1">
        <f t="shared" si="26"/>
        <v>2</v>
      </c>
      <c r="AD36" s="1">
        <f t="shared" si="27"/>
        <v>1</v>
      </c>
      <c r="AE36" s="1">
        <f t="shared" si="28"/>
        <v>1</v>
      </c>
      <c r="AF36" s="1">
        <f t="shared" si="29"/>
        <v>3</v>
      </c>
      <c r="AG36" s="1">
        <f t="shared" si="30"/>
        <v>2</v>
      </c>
      <c r="AH36" s="1">
        <f t="shared" si="31"/>
        <v>2</v>
      </c>
      <c r="AI36" s="1">
        <f t="shared" si="32"/>
        <v>1</v>
      </c>
      <c r="AJ36" s="1">
        <f t="shared" si="33"/>
        <v>1</v>
      </c>
      <c r="AK36" s="1">
        <f t="shared" si="34"/>
        <v>1</v>
      </c>
      <c r="AL36" s="1">
        <f t="shared" si="65"/>
        <v>8</v>
      </c>
      <c r="AM36" s="1">
        <f t="shared" si="2"/>
        <v>3</v>
      </c>
      <c r="AN36" s="1">
        <f t="shared" si="35"/>
        <v>10</v>
      </c>
      <c r="AO36" s="1">
        <f t="shared" si="3"/>
        <v>4</v>
      </c>
      <c r="AP36" s="1">
        <f t="shared" si="36"/>
        <v>2</v>
      </c>
      <c r="AQ36" s="1">
        <f t="shared" si="66"/>
        <v>3</v>
      </c>
      <c r="AR36" s="1">
        <f t="shared" si="67"/>
        <v>7</v>
      </c>
      <c r="AS36" s="1">
        <f t="shared" si="68"/>
        <v>3</v>
      </c>
      <c r="AT36" s="1">
        <f t="shared" si="40"/>
        <v>1</v>
      </c>
      <c r="AU36" s="1">
        <f t="shared" si="4"/>
        <v>2</v>
      </c>
      <c r="AV36" s="1">
        <f t="shared" si="41"/>
        <v>9</v>
      </c>
      <c r="AW36" s="1">
        <f t="shared" si="5"/>
        <v>2</v>
      </c>
      <c r="AX36" s="38">
        <f t="shared" si="42"/>
        <v>4</v>
      </c>
      <c r="AY36" s="1">
        <f t="shared" si="69"/>
        <v>2</v>
      </c>
      <c r="AZ36" s="1">
        <f t="shared" si="44"/>
        <v>4</v>
      </c>
      <c r="BA36" s="1">
        <f t="shared" si="70"/>
        <v>1</v>
      </c>
      <c r="BB36" s="1">
        <f t="shared" si="46"/>
        <v>4</v>
      </c>
      <c r="BC36" s="1">
        <f t="shared" si="71"/>
        <v>1</v>
      </c>
      <c r="BD36">
        <v>2</v>
      </c>
      <c r="BE36">
        <v>2</v>
      </c>
      <c r="BF36">
        <v>2</v>
      </c>
      <c r="BG36" s="1">
        <f t="shared" si="48"/>
        <v>3</v>
      </c>
      <c r="BH36" s="1">
        <f t="shared" si="49"/>
        <v>3</v>
      </c>
      <c r="BI36" s="1">
        <f t="shared" si="50"/>
        <v>3</v>
      </c>
      <c r="BJ36">
        <v>1</v>
      </c>
      <c r="BK36">
        <v>2</v>
      </c>
      <c r="BL36">
        <v>2</v>
      </c>
      <c r="BM36">
        <v>1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2</v>
      </c>
      <c r="CB36">
        <v>1</v>
      </c>
      <c r="CC36">
        <v>2</v>
      </c>
      <c r="CD36">
        <v>2</v>
      </c>
      <c r="CE36">
        <v>1</v>
      </c>
      <c r="CF36">
        <v>1</v>
      </c>
      <c r="CG36">
        <v>1</v>
      </c>
      <c r="CH36">
        <v>2</v>
      </c>
      <c r="CI36">
        <v>1</v>
      </c>
      <c r="CJ36" s="1">
        <f t="shared" si="51"/>
        <v>6</v>
      </c>
      <c r="CK36" s="1">
        <f t="shared" si="72"/>
        <v>3</v>
      </c>
      <c r="CL36" s="1">
        <f t="shared" si="53"/>
        <v>5</v>
      </c>
      <c r="CM36" s="1">
        <f t="shared" si="7"/>
        <v>2</v>
      </c>
      <c r="CN36" s="1">
        <f t="shared" si="8"/>
        <v>4</v>
      </c>
      <c r="CO36" s="1">
        <f t="shared" si="9"/>
        <v>2</v>
      </c>
      <c r="CP36" s="1">
        <f t="shared" si="54"/>
        <v>3</v>
      </c>
      <c r="CQ36" s="1">
        <f t="shared" si="10"/>
        <v>1</v>
      </c>
      <c r="CR36" s="1">
        <f t="shared" si="11"/>
        <v>6</v>
      </c>
      <c r="CS36" s="1">
        <f t="shared" si="12"/>
        <v>1</v>
      </c>
      <c r="CT36" s="1">
        <f t="shared" si="55"/>
        <v>15</v>
      </c>
      <c r="CU36" s="1">
        <f t="shared" si="13"/>
        <v>2</v>
      </c>
      <c r="CV36">
        <v>2</v>
      </c>
      <c r="CW36">
        <v>2</v>
      </c>
      <c r="CX36">
        <v>1</v>
      </c>
      <c r="CY36">
        <v>2</v>
      </c>
      <c r="CZ36">
        <v>2</v>
      </c>
      <c r="DA36">
        <v>2</v>
      </c>
      <c r="DB36">
        <v>2</v>
      </c>
      <c r="DC36">
        <v>2</v>
      </c>
      <c r="DD36">
        <v>1</v>
      </c>
      <c r="DE36">
        <v>2</v>
      </c>
      <c r="DF36">
        <v>2</v>
      </c>
      <c r="DG36" s="1">
        <f t="shared" si="56"/>
        <v>9</v>
      </c>
      <c r="DH36" s="1">
        <f t="shared" si="14"/>
        <v>2</v>
      </c>
      <c r="DI36" s="1">
        <f t="shared" si="57"/>
        <v>9</v>
      </c>
      <c r="DJ36" s="1">
        <f t="shared" si="73"/>
        <v>3</v>
      </c>
      <c r="DK36" s="1">
        <f t="shared" si="58"/>
        <v>11</v>
      </c>
      <c r="DL36" s="1">
        <f t="shared" si="74"/>
        <v>2</v>
      </c>
      <c r="DM36" s="1">
        <f t="shared" si="60"/>
        <v>6</v>
      </c>
      <c r="DN36" s="1">
        <f t="shared" si="75"/>
        <v>3</v>
      </c>
      <c r="DO36" s="1">
        <f t="shared" si="76"/>
        <v>11</v>
      </c>
      <c r="DP36" s="1">
        <f t="shared" si="77"/>
        <v>21</v>
      </c>
      <c r="DQ36" s="1">
        <f t="shared" si="78"/>
        <v>7</v>
      </c>
      <c r="DR36" s="23" t="str">
        <f t="shared" si="63"/>
        <v>低</v>
      </c>
      <c r="DS36" s="23" t="str">
        <f t="shared" si="64"/>
        <v/>
      </c>
      <c r="DT36">
        <v>0.18</v>
      </c>
      <c r="DU36">
        <v>111.35</v>
      </c>
      <c r="DV36">
        <v>0.65</v>
      </c>
      <c r="DW36">
        <v>33</v>
      </c>
      <c r="DX36" s="33" t="s">
        <v>114</v>
      </c>
    </row>
    <row r="37" spans="1:128" ht="14">
      <c r="A37">
        <v>370</v>
      </c>
      <c r="B37" t="s">
        <v>83</v>
      </c>
      <c r="C37" s="24">
        <v>33</v>
      </c>
      <c r="D37">
        <v>1</v>
      </c>
      <c r="E37">
        <v>2</v>
      </c>
      <c r="F37">
        <v>1</v>
      </c>
      <c r="G37">
        <v>3</v>
      </c>
      <c r="H37">
        <v>3</v>
      </c>
      <c r="I37">
        <v>2</v>
      </c>
      <c r="J37">
        <v>3</v>
      </c>
      <c r="K37">
        <v>2</v>
      </c>
      <c r="L37">
        <v>2</v>
      </c>
      <c r="M37">
        <v>2</v>
      </c>
      <c r="N37">
        <v>2</v>
      </c>
      <c r="O37">
        <v>2</v>
      </c>
      <c r="P37">
        <v>3</v>
      </c>
      <c r="Q37">
        <v>2</v>
      </c>
      <c r="R37">
        <v>3</v>
      </c>
      <c r="S37">
        <v>2</v>
      </c>
      <c r="T37">
        <v>2</v>
      </c>
      <c r="U37" s="1">
        <f t="shared" si="18"/>
        <v>4</v>
      </c>
      <c r="V37" s="1">
        <f t="shared" si="19"/>
        <v>3</v>
      </c>
      <c r="W37" s="1">
        <f t="shared" si="20"/>
        <v>4</v>
      </c>
      <c r="X37" s="1">
        <f t="shared" si="21"/>
        <v>2</v>
      </c>
      <c r="Y37" s="1">
        <f t="shared" si="22"/>
        <v>2</v>
      </c>
      <c r="Z37" s="1">
        <f t="shared" si="23"/>
        <v>3</v>
      </c>
      <c r="AA37" s="1">
        <f t="shared" si="24"/>
        <v>2</v>
      </c>
      <c r="AB37" s="1">
        <f t="shared" si="25"/>
        <v>3</v>
      </c>
      <c r="AC37" s="1">
        <f t="shared" si="26"/>
        <v>2</v>
      </c>
      <c r="AD37" s="1">
        <f t="shared" si="27"/>
        <v>2</v>
      </c>
      <c r="AE37" s="1">
        <f t="shared" si="28"/>
        <v>3</v>
      </c>
      <c r="AF37" s="1">
        <f t="shared" si="29"/>
        <v>3</v>
      </c>
      <c r="AG37" s="1">
        <f t="shared" si="30"/>
        <v>2</v>
      </c>
      <c r="AH37" s="1">
        <f t="shared" si="31"/>
        <v>2</v>
      </c>
      <c r="AI37" s="1">
        <f t="shared" si="32"/>
        <v>2</v>
      </c>
      <c r="AJ37" s="1">
        <f t="shared" si="33"/>
        <v>2</v>
      </c>
      <c r="AK37" s="1">
        <f t="shared" si="34"/>
        <v>2</v>
      </c>
      <c r="AL37" s="1">
        <f t="shared" si="65"/>
        <v>11</v>
      </c>
      <c r="AM37" s="1">
        <f t="shared" si="2"/>
        <v>4</v>
      </c>
      <c r="AN37" s="1">
        <f t="shared" si="35"/>
        <v>7</v>
      </c>
      <c r="AO37" s="1">
        <f t="shared" si="3"/>
        <v>3</v>
      </c>
      <c r="AP37" s="1">
        <f t="shared" si="36"/>
        <v>2</v>
      </c>
      <c r="AQ37" s="1">
        <f t="shared" si="66"/>
        <v>3</v>
      </c>
      <c r="AR37" s="1">
        <f t="shared" si="67"/>
        <v>7</v>
      </c>
      <c r="AS37" s="1">
        <f t="shared" si="68"/>
        <v>3</v>
      </c>
      <c r="AT37" s="1">
        <f t="shared" si="40"/>
        <v>2</v>
      </c>
      <c r="AU37" s="1">
        <f t="shared" si="4"/>
        <v>3</v>
      </c>
      <c r="AV37" s="1">
        <f t="shared" si="41"/>
        <v>9</v>
      </c>
      <c r="AW37" s="1">
        <f t="shared" si="5"/>
        <v>2</v>
      </c>
      <c r="AX37" s="38">
        <f t="shared" si="42"/>
        <v>2</v>
      </c>
      <c r="AY37" s="1">
        <f t="shared" si="69"/>
        <v>4</v>
      </c>
      <c r="AZ37" s="1">
        <f t="shared" si="44"/>
        <v>3</v>
      </c>
      <c r="BA37" s="1">
        <f t="shared" si="70"/>
        <v>3</v>
      </c>
      <c r="BB37" s="1">
        <f t="shared" si="46"/>
        <v>3</v>
      </c>
      <c r="BC37" s="1">
        <f t="shared" si="71"/>
        <v>3</v>
      </c>
      <c r="BD37">
        <v>2</v>
      </c>
      <c r="BE37">
        <v>2</v>
      </c>
      <c r="BF37">
        <v>2</v>
      </c>
      <c r="BG37" s="1">
        <f t="shared" si="48"/>
        <v>3</v>
      </c>
      <c r="BH37" s="1">
        <f t="shared" si="49"/>
        <v>3</v>
      </c>
      <c r="BI37" s="1">
        <f t="shared" si="50"/>
        <v>3</v>
      </c>
      <c r="BJ37">
        <v>1</v>
      </c>
      <c r="BK37">
        <v>2</v>
      </c>
      <c r="BL37">
        <v>2</v>
      </c>
      <c r="BM37">
        <v>4</v>
      </c>
      <c r="BN37">
        <v>3</v>
      </c>
      <c r="BO37">
        <v>3</v>
      </c>
      <c r="BP37">
        <v>2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2</v>
      </c>
      <c r="BW37">
        <v>1</v>
      </c>
      <c r="BX37">
        <v>2</v>
      </c>
      <c r="BY37">
        <v>2</v>
      </c>
      <c r="BZ37">
        <v>1</v>
      </c>
      <c r="CA37">
        <v>2</v>
      </c>
      <c r="CB37">
        <v>3</v>
      </c>
      <c r="CC37">
        <v>1</v>
      </c>
      <c r="CD37">
        <v>4</v>
      </c>
      <c r="CE37">
        <v>2</v>
      </c>
      <c r="CF37">
        <v>2</v>
      </c>
      <c r="CG37">
        <v>2</v>
      </c>
      <c r="CH37">
        <v>3</v>
      </c>
      <c r="CI37">
        <v>2</v>
      </c>
      <c r="CJ37" s="1">
        <f t="shared" si="51"/>
        <v>6</v>
      </c>
      <c r="CK37" s="1">
        <f t="shared" si="72"/>
        <v>3</v>
      </c>
      <c r="CL37" s="1">
        <f t="shared" si="53"/>
        <v>5</v>
      </c>
      <c r="CM37" s="1">
        <f t="shared" si="7"/>
        <v>2</v>
      </c>
      <c r="CN37" s="1">
        <f t="shared" si="8"/>
        <v>10</v>
      </c>
      <c r="CO37" s="1">
        <f t="shared" si="9"/>
        <v>4</v>
      </c>
      <c r="CP37" s="1">
        <f t="shared" si="54"/>
        <v>8</v>
      </c>
      <c r="CQ37" s="1">
        <f t="shared" si="10"/>
        <v>4</v>
      </c>
      <c r="CR37" s="1">
        <f t="shared" si="11"/>
        <v>14</v>
      </c>
      <c r="CS37" s="1">
        <f t="shared" si="12"/>
        <v>4</v>
      </c>
      <c r="CT37" s="1">
        <f t="shared" si="55"/>
        <v>24</v>
      </c>
      <c r="CU37" s="1">
        <f t="shared" si="13"/>
        <v>4</v>
      </c>
      <c r="CV37">
        <v>3</v>
      </c>
      <c r="CW37">
        <v>3</v>
      </c>
      <c r="CX37">
        <v>3</v>
      </c>
      <c r="CY37">
        <v>3</v>
      </c>
      <c r="CZ37">
        <v>3</v>
      </c>
      <c r="DA37">
        <v>3</v>
      </c>
      <c r="DB37">
        <v>3</v>
      </c>
      <c r="DC37">
        <v>3</v>
      </c>
      <c r="DD37">
        <v>3</v>
      </c>
      <c r="DE37">
        <v>2</v>
      </c>
      <c r="DF37">
        <v>3</v>
      </c>
      <c r="DG37" s="1">
        <f t="shared" si="56"/>
        <v>6</v>
      </c>
      <c r="DH37" s="1">
        <f t="shared" si="14"/>
        <v>3</v>
      </c>
      <c r="DI37" s="1">
        <f t="shared" si="57"/>
        <v>6</v>
      </c>
      <c r="DJ37" s="1">
        <f t="shared" si="73"/>
        <v>4</v>
      </c>
      <c r="DK37" s="1">
        <f t="shared" si="58"/>
        <v>6</v>
      </c>
      <c r="DL37" s="1">
        <f t="shared" si="74"/>
        <v>5</v>
      </c>
      <c r="DM37" s="1">
        <f t="shared" si="60"/>
        <v>5</v>
      </c>
      <c r="DN37" s="1">
        <f t="shared" si="75"/>
        <v>3</v>
      </c>
      <c r="DO37" s="1">
        <f t="shared" si="76"/>
        <v>21</v>
      </c>
      <c r="DP37" s="1">
        <f t="shared" si="77"/>
        <v>28</v>
      </c>
      <c r="DQ37" s="1">
        <f t="shared" si="78"/>
        <v>12</v>
      </c>
      <c r="DR37" s="23" t="str">
        <f t="shared" si="63"/>
        <v>中①</v>
      </c>
      <c r="DS37" s="23" t="str">
        <f t="shared" si="64"/>
        <v/>
      </c>
      <c r="DT37">
        <v>0.23699999999999999</v>
      </c>
      <c r="DU37">
        <v>94.14</v>
      </c>
      <c r="DV37">
        <v>1.01</v>
      </c>
      <c r="DW37">
        <v>51</v>
      </c>
      <c r="DX37" s="30" t="s">
        <v>60</v>
      </c>
    </row>
    <row r="38" spans="1:128" ht="14">
      <c r="A38">
        <v>442</v>
      </c>
      <c r="B38" t="s">
        <v>82</v>
      </c>
      <c r="C38" s="24">
        <v>38</v>
      </c>
      <c r="D38">
        <v>1</v>
      </c>
      <c r="E38">
        <v>2</v>
      </c>
      <c r="F38">
        <v>2</v>
      </c>
      <c r="G38">
        <v>2</v>
      </c>
      <c r="H38">
        <v>2</v>
      </c>
      <c r="I38">
        <v>2</v>
      </c>
      <c r="J38">
        <v>3</v>
      </c>
      <c r="K38">
        <v>2</v>
      </c>
      <c r="L38">
        <v>2</v>
      </c>
      <c r="M38">
        <v>2</v>
      </c>
      <c r="N38">
        <v>3</v>
      </c>
      <c r="O38">
        <v>3</v>
      </c>
      <c r="P38">
        <v>3</v>
      </c>
      <c r="Q38">
        <v>2</v>
      </c>
      <c r="R38">
        <v>3</v>
      </c>
      <c r="S38">
        <v>2</v>
      </c>
      <c r="T38">
        <v>2</v>
      </c>
      <c r="U38" s="1">
        <f t="shared" si="18"/>
        <v>4</v>
      </c>
      <c r="V38" s="1">
        <f t="shared" si="19"/>
        <v>3</v>
      </c>
      <c r="W38" s="1">
        <f t="shared" si="20"/>
        <v>3</v>
      </c>
      <c r="X38" s="1">
        <f t="shared" si="21"/>
        <v>3</v>
      </c>
      <c r="Y38" s="1">
        <f t="shared" si="22"/>
        <v>3</v>
      </c>
      <c r="Z38" s="1">
        <f t="shared" si="23"/>
        <v>3</v>
      </c>
      <c r="AA38" s="1">
        <f t="shared" si="24"/>
        <v>2</v>
      </c>
      <c r="AB38" s="1">
        <f t="shared" si="25"/>
        <v>3</v>
      </c>
      <c r="AC38" s="1">
        <f t="shared" si="26"/>
        <v>2</v>
      </c>
      <c r="AD38" s="1">
        <f t="shared" si="27"/>
        <v>2</v>
      </c>
      <c r="AE38" s="1">
        <f t="shared" si="28"/>
        <v>2</v>
      </c>
      <c r="AF38" s="1">
        <f t="shared" si="29"/>
        <v>2</v>
      </c>
      <c r="AG38" s="1">
        <f t="shared" si="30"/>
        <v>2</v>
      </c>
      <c r="AH38" s="1">
        <f t="shared" si="31"/>
        <v>2</v>
      </c>
      <c r="AI38" s="1">
        <f t="shared" si="32"/>
        <v>2</v>
      </c>
      <c r="AJ38" s="1">
        <f t="shared" si="33"/>
        <v>2</v>
      </c>
      <c r="AK38" s="1">
        <f t="shared" si="34"/>
        <v>2</v>
      </c>
      <c r="AL38" s="1">
        <f t="shared" si="65"/>
        <v>10</v>
      </c>
      <c r="AM38" s="1">
        <f t="shared" si="2"/>
        <v>4</v>
      </c>
      <c r="AN38" s="1">
        <f t="shared" si="35"/>
        <v>9</v>
      </c>
      <c r="AO38" s="1">
        <f t="shared" si="3"/>
        <v>3</v>
      </c>
      <c r="AP38" s="1">
        <f t="shared" si="36"/>
        <v>2</v>
      </c>
      <c r="AQ38" s="1">
        <f t="shared" si="66"/>
        <v>3</v>
      </c>
      <c r="AR38" s="1">
        <f t="shared" si="67"/>
        <v>6</v>
      </c>
      <c r="AS38" s="1">
        <f t="shared" si="68"/>
        <v>3</v>
      </c>
      <c r="AT38" s="1">
        <f t="shared" si="40"/>
        <v>2</v>
      </c>
      <c r="AU38" s="1">
        <f t="shared" si="4"/>
        <v>3</v>
      </c>
      <c r="AV38" s="1">
        <f t="shared" si="41"/>
        <v>9</v>
      </c>
      <c r="AW38" s="1">
        <f t="shared" si="5"/>
        <v>2</v>
      </c>
      <c r="AX38" s="38">
        <f t="shared" si="42"/>
        <v>3</v>
      </c>
      <c r="AY38" s="1">
        <f t="shared" si="69"/>
        <v>3</v>
      </c>
      <c r="AZ38" s="1">
        <f t="shared" si="44"/>
        <v>3</v>
      </c>
      <c r="BA38" s="1">
        <f t="shared" si="70"/>
        <v>3</v>
      </c>
      <c r="BB38" s="1">
        <f t="shared" si="46"/>
        <v>3</v>
      </c>
      <c r="BC38" s="1">
        <f t="shared" si="71"/>
        <v>3</v>
      </c>
      <c r="BD38">
        <v>2</v>
      </c>
      <c r="BE38">
        <v>2</v>
      </c>
      <c r="BF38">
        <v>2</v>
      </c>
      <c r="BG38" s="1">
        <f t="shared" si="48"/>
        <v>3</v>
      </c>
      <c r="BH38" s="1">
        <f t="shared" si="49"/>
        <v>3</v>
      </c>
      <c r="BI38" s="1">
        <f t="shared" si="50"/>
        <v>3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3</v>
      </c>
      <c r="CE38">
        <v>4</v>
      </c>
      <c r="CF38">
        <v>4</v>
      </c>
      <c r="CG38">
        <v>4</v>
      </c>
      <c r="CH38">
        <v>4</v>
      </c>
      <c r="CI38">
        <v>4</v>
      </c>
      <c r="CJ38" s="1">
        <f t="shared" si="51"/>
        <v>6</v>
      </c>
      <c r="CK38" s="1">
        <f t="shared" si="72"/>
        <v>3</v>
      </c>
      <c r="CL38" s="1">
        <f t="shared" si="53"/>
        <v>9</v>
      </c>
      <c r="CM38" s="1">
        <f t="shared" si="7"/>
        <v>4</v>
      </c>
      <c r="CN38" s="1">
        <f t="shared" si="8"/>
        <v>9</v>
      </c>
      <c r="CO38" s="1">
        <f t="shared" si="9"/>
        <v>4</v>
      </c>
      <c r="CP38" s="1">
        <f t="shared" si="54"/>
        <v>9</v>
      </c>
      <c r="CQ38" s="1">
        <f t="shared" si="10"/>
        <v>4</v>
      </c>
      <c r="CR38" s="1">
        <f t="shared" si="11"/>
        <v>24</v>
      </c>
      <c r="CS38" s="1">
        <f t="shared" si="12"/>
        <v>5</v>
      </c>
      <c r="CT38" s="1">
        <f t="shared" si="55"/>
        <v>43</v>
      </c>
      <c r="CU38" s="1">
        <f t="shared" si="13"/>
        <v>5</v>
      </c>
      <c r="CV38">
        <v>3</v>
      </c>
      <c r="CW38">
        <v>3</v>
      </c>
      <c r="CX38">
        <v>3</v>
      </c>
      <c r="CY38">
        <v>3</v>
      </c>
      <c r="CZ38">
        <v>3</v>
      </c>
      <c r="DA38">
        <v>3</v>
      </c>
      <c r="DB38">
        <v>3</v>
      </c>
      <c r="DC38">
        <v>3</v>
      </c>
      <c r="DD38">
        <v>3</v>
      </c>
      <c r="DE38">
        <v>2</v>
      </c>
      <c r="DF38">
        <v>2</v>
      </c>
      <c r="DG38" s="1">
        <f t="shared" si="56"/>
        <v>6</v>
      </c>
      <c r="DH38" s="1">
        <f t="shared" si="14"/>
        <v>4</v>
      </c>
      <c r="DI38" s="1">
        <f t="shared" si="57"/>
        <v>6</v>
      </c>
      <c r="DJ38" s="1">
        <f t="shared" si="73"/>
        <v>4</v>
      </c>
      <c r="DK38" s="1">
        <f t="shared" si="58"/>
        <v>6</v>
      </c>
      <c r="DL38" s="1">
        <f t="shared" si="74"/>
        <v>5</v>
      </c>
      <c r="DM38" s="1">
        <f t="shared" si="60"/>
        <v>6</v>
      </c>
      <c r="DN38" s="1">
        <f t="shared" si="75"/>
        <v>3</v>
      </c>
      <c r="DO38" s="1">
        <f t="shared" si="76"/>
        <v>25</v>
      </c>
      <c r="DP38" s="1">
        <f t="shared" si="77"/>
        <v>27</v>
      </c>
      <c r="DQ38" s="1">
        <f t="shared" si="78"/>
        <v>13</v>
      </c>
      <c r="DR38" s="23" t="str">
        <f t="shared" si="63"/>
        <v>高</v>
      </c>
      <c r="DS38" s="23" t="str">
        <f t="shared" si="64"/>
        <v>高</v>
      </c>
      <c r="DT38">
        <v>0.33300000000000002</v>
      </c>
      <c r="DU38">
        <v>175.44</v>
      </c>
      <c r="DV38">
        <v>0.76</v>
      </c>
      <c r="DW38">
        <v>38</v>
      </c>
      <c r="DX38" s="30" t="s">
        <v>60</v>
      </c>
    </row>
  </sheetData>
  <autoFilter ref="A1:DX38" xr:uid="{ECD0ECC5-690B-4F8B-A784-0F1920FDFEF6}"/>
  <phoneticPr fontId="6"/>
  <conditionalFormatting sqref="B2:B29">
    <cfRule type="containsText" dxfId="5" priority="5" operator="containsText" text="female">
      <formula>NOT(ISERROR(SEARCH("female",B2)))</formula>
    </cfRule>
  </conditionalFormatting>
  <conditionalFormatting sqref="DR2:DS38">
    <cfRule type="containsText" dxfId="4" priority="4" operator="containsText" text="高">
      <formula>NOT(ISERROR(SEARCH("高",DR2)))</formula>
    </cfRule>
  </conditionalFormatting>
  <conditionalFormatting sqref="DX1:DX1048576">
    <cfRule type="containsText" dxfId="3" priority="3" operator="containsText" text="メンタルアラートあり（+）">
      <formula>NOT(ISERROR(SEARCH("メンタルアラートあり（+）",DX1)))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A652-C6BC-4739-8C3F-7D9F6F064484}">
  <dimension ref="A1:F64"/>
  <sheetViews>
    <sheetView zoomScale="150" zoomScaleNormal="150" workbookViewId="0">
      <selection activeCell="E13" sqref="E13"/>
    </sheetView>
  </sheetViews>
  <sheetFormatPr baseColWidth="10" defaultColWidth="8.83203125" defaultRowHeight="13"/>
  <cols>
    <col min="4" max="4" width="36.5" bestFit="1" customWidth="1"/>
  </cols>
  <sheetData>
    <row r="1" spans="1:5" ht="14">
      <c r="A1" s="24" t="s">
        <v>107</v>
      </c>
      <c r="D1" s="25" t="s">
        <v>117</v>
      </c>
    </row>
    <row r="2" spans="1:5" ht="14">
      <c r="A2" s="24" t="s">
        <v>116</v>
      </c>
      <c r="B2" s="25" t="s">
        <v>113</v>
      </c>
      <c r="D2" s="25" t="s">
        <v>116</v>
      </c>
      <c r="E2" t="s">
        <v>113</v>
      </c>
    </row>
    <row r="3" spans="1:5">
      <c r="A3">
        <v>0.45</v>
      </c>
      <c r="B3">
        <v>2.4900000000000002</v>
      </c>
      <c r="D3" s="25">
        <v>23</v>
      </c>
      <c r="E3">
        <v>85</v>
      </c>
    </row>
    <row r="4" spans="1:5">
      <c r="A4">
        <v>0.56000000000000005</v>
      </c>
      <c r="B4">
        <v>0.63</v>
      </c>
      <c r="D4">
        <v>28</v>
      </c>
      <c r="E4">
        <v>32</v>
      </c>
    </row>
    <row r="5" spans="1:5">
      <c r="A5">
        <v>1.23</v>
      </c>
      <c r="B5">
        <v>0.76</v>
      </c>
      <c r="D5">
        <v>62</v>
      </c>
      <c r="E5">
        <v>38</v>
      </c>
    </row>
    <row r="6" spans="1:5">
      <c r="A6">
        <v>0.57999999999999996</v>
      </c>
      <c r="D6">
        <v>29</v>
      </c>
    </row>
    <row r="7" spans="1:5">
      <c r="A7">
        <v>1.04</v>
      </c>
      <c r="D7">
        <v>52</v>
      </c>
    </row>
    <row r="8" spans="1:5">
      <c r="A8">
        <v>0.72</v>
      </c>
      <c r="D8">
        <v>36</v>
      </c>
    </row>
    <row r="9" spans="1:5">
      <c r="A9">
        <v>0.92</v>
      </c>
      <c r="D9">
        <v>46</v>
      </c>
    </row>
    <row r="10" spans="1:5">
      <c r="A10">
        <v>0.63</v>
      </c>
      <c r="D10">
        <v>32</v>
      </c>
    </row>
    <row r="11" spans="1:5">
      <c r="A11">
        <v>1.01</v>
      </c>
      <c r="D11">
        <v>51</v>
      </c>
    </row>
    <row r="12" spans="1:5">
      <c r="A12" s="53">
        <v>1.42</v>
      </c>
      <c r="D12" s="53">
        <v>71</v>
      </c>
    </row>
    <row r="13" spans="1:5">
      <c r="A13">
        <v>0.48</v>
      </c>
      <c r="D13">
        <v>24</v>
      </c>
    </row>
    <row r="14" spans="1:5">
      <c r="A14">
        <v>1.26</v>
      </c>
      <c r="D14">
        <v>63</v>
      </c>
    </row>
    <row r="15" spans="1:5">
      <c r="A15">
        <v>1.35</v>
      </c>
      <c r="D15">
        <v>68</v>
      </c>
    </row>
    <row r="16" spans="1:5">
      <c r="A16">
        <v>0.99</v>
      </c>
      <c r="D16">
        <v>50</v>
      </c>
    </row>
    <row r="17" spans="1:4">
      <c r="A17">
        <v>1.34</v>
      </c>
      <c r="D17">
        <v>67</v>
      </c>
    </row>
    <row r="18" spans="1:4">
      <c r="A18">
        <v>1.02</v>
      </c>
      <c r="D18">
        <v>51</v>
      </c>
    </row>
    <row r="19" spans="1:4">
      <c r="A19">
        <v>1.3</v>
      </c>
      <c r="D19">
        <v>65</v>
      </c>
    </row>
    <row r="20" spans="1:4">
      <c r="A20">
        <v>1.1499999999999999</v>
      </c>
      <c r="D20">
        <v>58</v>
      </c>
    </row>
    <row r="21" spans="1:4">
      <c r="A21">
        <v>1.01</v>
      </c>
      <c r="D21">
        <v>51</v>
      </c>
    </row>
    <row r="22" spans="1:4">
      <c r="A22">
        <v>0.56999999999999995</v>
      </c>
      <c r="D22">
        <v>29</v>
      </c>
    </row>
    <row r="23" spans="1:4">
      <c r="A23">
        <v>1.0900000000000001</v>
      </c>
      <c r="D23">
        <v>55</v>
      </c>
    </row>
    <row r="24" spans="1:4">
      <c r="A24">
        <v>0.97</v>
      </c>
      <c r="D24">
        <v>49</v>
      </c>
    </row>
    <row r="25" spans="1:4">
      <c r="A25">
        <v>0.84</v>
      </c>
      <c r="D25">
        <v>42</v>
      </c>
    </row>
    <row r="26" spans="1:4">
      <c r="A26">
        <v>0.82</v>
      </c>
      <c r="D26">
        <v>41</v>
      </c>
    </row>
    <row r="27" spans="1:4">
      <c r="A27">
        <v>0.33</v>
      </c>
      <c r="D27">
        <v>17</v>
      </c>
    </row>
    <row r="28" spans="1:4">
      <c r="A28">
        <v>1.32</v>
      </c>
      <c r="D28">
        <v>66</v>
      </c>
    </row>
    <row r="29" spans="1:4">
      <c r="A29">
        <v>0.92</v>
      </c>
      <c r="D29">
        <v>46</v>
      </c>
    </row>
    <row r="30" spans="1:4">
      <c r="A30">
        <v>1.2</v>
      </c>
      <c r="D30">
        <v>60</v>
      </c>
    </row>
    <row r="31" spans="1:4">
      <c r="A31">
        <v>0.76</v>
      </c>
      <c r="D31">
        <v>38</v>
      </c>
    </row>
    <row r="32" spans="1:4">
      <c r="A32">
        <v>1.35</v>
      </c>
      <c r="D32">
        <v>68</v>
      </c>
    </row>
    <row r="33" spans="1:6">
      <c r="A33">
        <v>0.92</v>
      </c>
      <c r="D33">
        <v>46</v>
      </c>
    </row>
    <row r="34" spans="1:6">
      <c r="A34" s="53">
        <v>1.81</v>
      </c>
      <c r="D34" s="53">
        <v>79</v>
      </c>
    </row>
    <row r="35" spans="1:6">
      <c r="A35">
        <v>0.65</v>
      </c>
      <c r="D35">
        <v>33</v>
      </c>
    </row>
    <row r="36" spans="1:6">
      <c r="A36">
        <v>1.01</v>
      </c>
      <c r="D36">
        <v>51</v>
      </c>
    </row>
    <row r="38" spans="1:6">
      <c r="A38" t="s">
        <v>88</v>
      </c>
      <c r="D38" t="s">
        <v>88</v>
      </c>
    </row>
    <row r="39" spans="1:6" ht="14" thickBot="1"/>
    <row r="40" spans="1:6">
      <c r="A40" s="27"/>
      <c r="B40" s="27" t="s">
        <v>89</v>
      </c>
      <c r="C40" s="27" t="s">
        <v>90</v>
      </c>
      <c r="D40" s="27"/>
      <c r="E40" s="27" t="s">
        <v>89</v>
      </c>
      <c r="F40" s="27" t="s">
        <v>90</v>
      </c>
    </row>
    <row r="41" spans="1:6">
      <c r="A41" s="25" t="s">
        <v>91</v>
      </c>
      <c r="B41">
        <v>0.9711764705882352</v>
      </c>
      <c r="C41">
        <v>1.2933333333333332</v>
      </c>
      <c r="D41" s="25" t="s">
        <v>91</v>
      </c>
      <c r="E41">
        <v>48.441176470588232</v>
      </c>
      <c r="F41">
        <v>51.666666666666664</v>
      </c>
    </row>
    <row r="42" spans="1:6">
      <c r="A42" s="25" t="s">
        <v>92</v>
      </c>
      <c r="B42">
        <v>0.10911978609625676</v>
      </c>
      <c r="C42">
        <v>1.0782333333333343</v>
      </c>
      <c r="D42" s="25" t="s">
        <v>92</v>
      </c>
      <c r="E42">
        <v>246.49643493761135</v>
      </c>
      <c r="F42">
        <v>842.33333333333348</v>
      </c>
    </row>
    <row r="43" spans="1:6">
      <c r="A43" s="25" t="s">
        <v>93</v>
      </c>
      <c r="B43">
        <v>34</v>
      </c>
      <c r="C43">
        <v>3</v>
      </c>
      <c r="D43" s="25" t="s">
        <v>93</v>
      </c>
      <c r="E43">
        <v>34</v>
      </c>
      <c r="F43">
        <v>3</v>
      </c>
    </row>
    <row r="44" spans="1:6">
      <c r="A44" s="25" t="s">
        <v>94</v>
      </c>
      <c r="B44">
        <v>33</v>
      </c>
      <c r="C44">
        <v>2</v>
      </c>
      <c r="D44" s="25" t="s">
        <v>94</v>
      </c>
      <c r="E44">
        <v>33</v>
      </c>
      <c r="F44">
        <v>2</v>
      </c>
    </row>
    <row r="45" spans="1:6">
      <c r="A45" s="25" t="s">
        <v>95</v>
      </c>
      <c r="B45">
        <v>0.10120238609106563</v>
      </c>
      <c r="D45" s="25" t="s">
        <v>95</v>
      </c>
      <c r="E45">
        <v>0.29263526110519744</v>
      </c>
    </row>
    <row r="46" spans="1:6">
      <c r="A46" t="s">
        <v>96</v>
      </c>
      <c r="B46">
        <v>4.3363846156174723E-4</v>
      </c>
      <c r="D46" t="s">
        <v>96</v>
      </c>
      <c r="E46">
        <v>4.4792989083981327E-2</v>
      </c>
    </row>
    <row r="47" spans="1:6" ht="14" thickBot="1">
      <c r="A47" s="26" t="s">
        <v>97</v>
      </c>
      <c r="B47" s="26">
        <v>0.30442163433957709</v>
      </c>
      <c r="C47" s="26"/>
      <c r="D47" s="26" t="s">
        <v>97</v>
      </c>
      <c r="E47" s="26">
        <v>0.30442163433957709</v>
      </c>
      <c r="F47" s="26"/>
    </row>
    <row r="49" spans="1:6">
      <c r="A49" t="s">
        <v>98</v>
      </c>
    </row>
    <row r="50" spans="1:6" ht="14" thickBot="1"/>
    <row r="51" spans="1:6">
      <c r="A51" s="27"/>
      <c r="B51" s="27" t="s">
        <v>89</v>
      </c>
      <c r="C51" s="27" t="s">
        <v>90</v>
      </c>
      <c r="D51" t="s">
        <v>98</v>
      </c>
    </row>
    <row r="52" spans="1:6" ht="14" thickBot="1">
      <c r="A52" s="25" t="s">
        <v>91</v>
      </c>
      <c r="B52">
        <v>0.9711764705882352</v>
      </c>
      <c r="C52">
        <v>1.2933333333333332</v>
      </c>
    </row>
    <row r="53" spans="1:6">
      <c r="A53" s="25" t="s">
        <v>92</v>
      </c>
      <c r="B53">
        <v>0.10911978609625676</v>
      </c>
      <c r="C53">
        <v>1.0782333333333343</v>
      </c>
      <c r="D53" s="27"/>
      <c r="E53" s="27" t="s">
        <v>89</v>
      </c>
      <c r="F53" s="27" t="s">
        <v>90</v>
      </c>
    </row>
    <row r="54" spans="1:6">
      <c r="A54" s="25" t="s">
        <v>93</v>
      </c>
      <c r="B54">
        <v>34</v>
      </c>
      <c r="C54">
        <v>3</v>
      </c>
      <c r="D54" s="25" t="s">
        <v>91</v>
      </c>
      <c r="E54">
        <v>48.441176470588232</v>
      </c>
      <c r="F54">
        <v>51.666666666666664</v>
      </c>
    </row>
    <row r="55" spans="1:6">
      <c r="A55" s="25" t="s">
        <v>99</v>
      </c>
      <c r="B55">
        <v>0.16449770308123263</v>
      </c>
      <c r="D55" s="25" t="s">
        <v>92</v>
      </c>
      <c r="E55">
        <v>246.49643493761135</v>
      </c>
      <c r="F55">
        <v>842.33333333333348</v>
      </c>
    </row>
    <row r="56" spans="1:6">
      <c r="A56" s="25" t="s">
        <v>100</v>
      </c>
      <c r="B56">
        <v>0</v>
      </c>
      <c r="D56" s="25" t="s">
        <v>93</v>
      </c>
      <c r="E56">
        <v>34</v>
      </c>
      <c r="F56">
        <v>3</v>
      </c>
    </row>
    <row r="57" spans="1:6">
      <c r="A57" s="25" t="s">
        <v>94</v>
      </c>
      <c r="B57">
        <v>35</v>
      </c>
      <c r="D57" s="25" t="s">
        <v>99</v>
      </c>
      <c r="E57">
        <v>280.5442577030812</v>
      </c>
    </row>
    <row r="58" spans="1:6">
      <c r="A58" t="s">
        <v>101</v>
      </c>
      <c r="B58">
        <v>-1.3188235452510781</v>
      </c>
      <c r="D58" s="25" t="s">
        <v>100</v>
      </c>
      <c r="E58">
        <v>0</v>
      </c>
    </row>
    <row r="59" spans="1:6">
      <c r="A59" t="s">
        <v>102</v>
      </c>
      <c r="B59">
        <v>9.7896284232007622E-2</v>
      </c>
      <c r="D59" s="25" t="s">
        <v>94</v>
      </c>
      <c r="E59">
        <v>35</v>
      </c>
    </row>
    <row r="60" spans="1:6">
      <c r="A60" t="s">
        <v>103</v>
      </c>
      <c r="B60">
        <v>1.6895724577802647</v>
      </c>
      <c r="D60" t="s">
        <v>101</v>
      </c>
      <c r="E60">
        <v>-0.31973800299074007</v>
      </c>
    </row>
    <row r="61" spans="1:6">
      <c r="A61" t="s">
        <v>104</v>
      </c>
      <c r="B61">
        <v>0.19579256846401524</v>
      </c>
      <c r="D61" t="s">
        <v>102</v>
      </c>
      <c r="E61">
        <v>0.37553389565480355</v>
      </c>
    </row>
    <row r="62" spans="1:6" ht="14" thickBot="1">
      <c r="A62" s="26" t="s">
        <v>105</v>
      </c>
      <c r="B62" s="26">
        <v>2.0301079282503438</v>
      </c>
      <c r="C62" s="26"/>
      <c r="D62" t="s">
        <v>103</v>
      </c>
      <c r="E62">
        <v>1.6895724577802647</v>
      </c>
    </row>
    <row r="63" spans="1:6">
      <c r="D63" t="s">
        <v>104</v>
      </c>
      <c r="E63">
        <v>0.7510677913096071</v>
      </c>
    </row>
    <row r="64" spans="1:6" ht="14" thickBot="1">
      <c r="D64" s="26" t="s">
        <v>105</v>
      </c>
      <c r="E64" s="26">
        <v>2.0301079282503438</v>
      </c>
      <c r="F64" s="26"/>
    </row>
  </sheetData>
  <phoneticPr fontId="6"/>
  <conditionalFormatting sqref="D3:D36">
    <cfRule type="cellIs" dxfId="2" priority="1" operator="greaterThan">
      <formula>70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B9C9-8FD5-4959-A380-27DD8E484DBB}">
  <dimension ref="A1:AQ82"/>
  <sheetViews>
    <sheetView tabSelected="1" zoomScale="110" zoomScaleNormal="110" workbookViewId="0">
      <selection activeCell="A24" sqref="A24"/>
    </sheetView>
  </sheetViews>
  <sheetFormatPr baseColWidth="10" defaultColWidth="8.83203125" defaultRowHeight="13"/>
  <sheetData>
    <row r="1" spans="1:43" ht="14">
      <c r="A1" s="24" t="s">
        <v>118</v>
      </c>
      <c r="B1" s="24" t="s">
        <v>121</v>
      </c>
    </row>
    <row r="2" spans="1:43" ht="14">
      <c r="B2" t="s">
        <v>62</v>
      </c>
      <c r="C2" s="35" t="s">
        <v>62</v>
      </c>
      <c r="D2" t="s">
        <v>61</v>
      </c>
      <c r="E2" t="s">
        <v>61</v>
      </c>
      <c r="F2" t="s">
        <v>63</v>
      </c>
      <c r="G2" t="s">
        <v>63</v>
      </c>
      <c r="H2" t="s">
        <v>64</v>
      </c>
      <c r="I2" t="s">
        <v>64</v>
      </c>
      <c r="J2" t="s">
        <v>65</v>
      </c>
      <c r="K2" t="s">
        <v>65</v>
      </c>
      <c r="L2" s="35" t="s">
        <v>66</v>
      </c>
      <c r="M2" t="s">
        <v>66</v>
      </c>
      <c r="N2" t="s">
        <v>67</v>
      </c>
      <c r="O2" t="s">
        <v>67</v>
      </c>
      <c r="P2" s="35" t="s">
        <v>68</v>
      </c>
      <c r="Q2" t="s">
        <v>68</v>
      </c>
      <c r="R2" s="35" t="s">
        <v>69</v>
      </c>
      <c r="S2" t="s">
        <v>69</v>
      </c>
      <c r="T2" t="s">
        <v>70</v>
      </c>
      <c r="U2" t="s">
        <v>70</v>
      </c>
      <c r="V2" t="s">
        <v>71</v>
      </c>
      <c r="W2" t="s">
        <v>71</v>
      </c>
      <c r="X2" t="s">
        <v>72</v>
      </c>
      <c r="Y2" t="s">
        <v>72</v>
      </c>
      <c r="Z2" t="s">
        <v>73</v>
      </c>
      <c r="AA2" t="s">
        <v>73</v>
      </c>
      <c r="AB2" t="s">
        <v>74</v>
      </c>
      <c r="AC2" t="s">
        <v>74</v>
      </c>
      <c r="AD2" t="s">
        <v>75</v>
      </c>
      <c r="AE2" t="s">
        <v>80</v>
      </c>
      <c r="AF2" s="35" t="s">
        <v>76</v>
      </c>
      <c r="AG2" t="s">
        <v>76</v>
      </c>
      <c r="AH2" t="s">
        <v>77</v>
      </c>
      <c r="AI2" t="s">
        <v>77</v>
      </c>
      <c r="AJ2" t="s">
        <v>78</v>
      </c>
      <c r="AK2" t="s">
        <v>78</v>
      </c>
      <c r="AL2" s="35" t="s">
        <v>79</v>
      </c>
      <c r="AM2" t="s">
        <v>79</v>
      </c>
      <c r="AN2" s="25" t="s">
        <v>147</v>
      </c>
      <c r="AO2" s="25" t="s">
        <v>148</v>
      </c>
      <c r="AP2" s="25" t="s">
        <v>149</v>
      </c>
      <c r="AQ2" s="25" t="s">
        <v>150</v>
      </c>
    </row>
    <row r="3" spans="1:43">
      <c r="A3" s="53">
        <v>2.4900000000000002</v>
      </c>
      <c r="B3" s="53">
        <v>12</v>
      </c>
      <c r="C3" s="53">
        <v>5</v>
      </c>
      <c r="D3" s="53">
        <v>11</v>
      </c>
      <c r="E3" s="53">
        <v>4</v>
      </c>
      <c r="F3" s="53">
        <v>1</v>
      </c>
      <c r="G3" s="53">
        <v>2</v>
      </c>
      <c r="H3" s="53">
        <v>10</v>
      </c>
      <c r="I3" s="53">
        <v>5</v>
      </c>
      <c r="J3" s="53">
        <v>1</v>
      </c>
      <c r="K3" s="53">
        <v>2</v>
      </c>
      <c r="L3" s="53">
        <v>8</v>
      </c>
      <c r="M3" s="53">
        <v>3</v>
      </c>
      <c r="N3" s="53">
        <v>4</v>
      </c>
      <c r="O3" s="53">
        <v>2</v>
      </c>
      <c r="P3" s="53">
        <v>3</v>
      </c>
      <c r="Q3" s="53">
        <v>3</v>
      </c>
      <c r="R3" s="53">
        <v>3</v>
      </c>
      <c r="S3" s="53">
        <v>3</v>
      </c>
      <c r="T3" s="53">
        <v>3</v>
      </c>
      <c r="U3" s="53">
        <v>5</v>
      </c>
      <c r="V3" s="53">
        <v>5</v>
      </c>
      <c r="W3" s="53">
        <v>2</v>
      </c>
      <c r="X3" s="53">
        <v>12</v>
      </c>
      <c r="Y3" s="53">
        <v>5</v>
      </c>
      <c r="Z3" s="53">
        <v>6</v>
      </c>
      <c r="AA3" s="53">
        <v>3</v>
      </c>
      <c r="AB3" s="53">
        <v>13</v>
      </c>
      <c r="AC3" s="53">
        <v>4</v>
      </c>
      <c r="AD3" s="53">
        <v>29</v>
      </c>
      <c r="AE3" s="53">
        <v>5</v>
      </c>
      <c r="AF3" s="53">
        <v>6</v>
      </c>
      <c r="AG3" s="53">
        <v>4</v>
      </c>
      <c r="AH3" s="53">
        <v>4</v>
      </c>
      <c r="AI3" s="53">
        <v>5</v>
      </c>
      <c r="AJ3" s="53">
        <v>8</v>
      </c>
      <c r="AK3" s="53">
        <v>4</v>
      </c>
      <c r="AL3" s="53">
        <v>4</v>
      </c>
      <c r="AM3" s="53">
        <v>4</v>
      </c>
      <c r="AN3" s="54">
        <f>C3+E3+G3+I3+K3+M3+O3+Q3+S3</f>
        <v>29</v>
      </c>
      <c r="AO3" s="54">
        <f>U3+W3+Y3+AA3+AC3+AE3</f>
        <v>24</v>
      </c>
      <c r="AP3" s="54">
        <f>AG3+AI3+AK3</f>
        <v>13</v>
      </c>
      <c r="AQ3">
        <f>AN3+AP3</f>
        <v>42</v>
      </c>
    </row>
    <row r="4" spans="1:43">
      <c r="A4">
        <v>0.56000000000000005</v>
      </c>
      <c r="B4">
        <v>8</v>
      </c>
      <c r="C4">
        <v>3</v>
      </c>
      <c r="D4">
        <v>11</v>
      </c>
      <c r="E4">
        <v>4</v>
      </c>
      <c r="F4">
        <v>1</v>
      </c>
      <c r="G4">
        <v>2</v>
      </c>
      <c r="H4">
        <v>6</v>
      </c>
      <c r="I4">
        <v>3</v>
      </c>
      <c r="J4">
        <v>2</v>
      </c>
      <c r="K4">
        <v>3</v>
      </c>
      <c r="L4">
        <v>11</v>
      </c>
      <c r="M4">
        <v>1</v>
      </c>
      <c r="N4">
        <v>4</v>
      </c>
      <c r="O4">
        <v>2</v>
      </c>
      <c r="P4">
        <v>4</v>
      </c>
      <c r="Q4">
        <v>1</v>
      </c>
      <c r="R4">
        <v>4</v>
      </c>
      <c r="S4">
        <v>1</v>
      </c>
      <c r="T4">
        <v>9</v>
      </c>
      <c r="U4">
        <v>2</v>
      </c>
      <c r="V4">
        <v>6</v>
      </c>
      <c r="W4">
        <v>3</v>
      </c>
      <c r="X4">
        <v>5</v>
      </c>
      <c r="Y4">
        <v>3</v>
      </c>
      <c r="Z4">
        <v>3</v>
      </c>
      <c r="AA4">
        <v>1</v>
      </c>
      <c r="AB4">
        <v>8</v>
      </c>
      <c r="AC4">
        <v>2</v>
      </c>
      <c r="AD4">
        <v>17</v>
      </c>
      <c r="AE4">
        <v>3</v>
      </c>
      <c r="AF4">
        <v>8</v>
      </c>
      <c r="AG4">
        <v>3</v>
      </c>
      <c r="AH4">
        <v>8</v>
      </c>
      <c r="AI4">
        <v>3</v>
      </c>
      <c r="AJ4">
        <v>8</v>
      </c>
      <c r="AK4">
        <v>4</v>
      </c>
      <c r="AL4">
        <v>6</v>
      </c>
      <c r="AM4">
        <v>3</v>
      </c>
      <c r="AN4" s="54">
        <f>C4+E4+G4+I4+K4+M4+O4+Q4+S4</f>
        <v>20</v>
      </c>
      <c r="AO4" s="54">
        <f>U4+W4+Y4+AA4+AC4+AE4</f>
        <v>14</v>
      </c>
      <c r="AP4" s="54">
        <f t="shared" ref="AP4:AP39" si="0">AG4+AI4+AK4</f>
        <v>10</v>
      </c>
      <c r="AQ4">
        <f t="shared" ref="AQ4:AQ39" si="1">AN4+AP4</f>
        <v>30</v>
      </c>
    </row>
    <row r="5" spans="1:43">
      <c r="A5">
        <v>1.23</v>
      </c>
      <c r="B5">
        <v>9</v>
      </c>
      <c r="C5">
        <v>3</v>
      </c>
      <c r="D5">
        <v>8</v>
      </c>
      <c r="E5">
        <v>3</v>
      </c>
      <c r="F5">
        <v>1</v>
      </c>
      <c r="G5">
        <v>2</v>
      </c>
      <c r="H5">
        <v>6</v>
      </c>
      <c r="I5">
        <v>3</v>
      </c>
      <c r="J5">
        <v>2</v>
      </c>
      <c r="K5">
        <v>3</v>
      </c>
      <c r="L5">
        <v>10</v>
      </c>
      <c r="M5">
        <v>2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9</v>
      </c>
      <c r="U5">
        <v>2</v>
      </c>
      <c r="V5">
        <v>6</v>
      </c>
      <c r="W5">
        <v>3</v>
      </c>
      <c r="X5">
        <v>4</v>
      </c>
      <c r="Y5">
        <v>2</v>
      </c>
      <c r="Z5">
        <v>5</v>
      </c>
      <c r="AA5">
        <v>3</v>
      </c>
      <c r="AB5">
        <v>8</v>
      </c>
      <c r="AC5">
        <v>2</v>
      </c>
      <c r="AD5">
        <v>15</v>
      </c>
      <c r="AE5">
        <v>2</v>
      </c>
      <c r="AF5">
        <v>8</v>
      </c>
      <c r="AG5">
        <v>3</v>
      </c>
      <c r="AH5">
        <v>9</v>
      </c>
      <c r="AI5">
        <v>3</v>
      </c>
      <c r="AJ5">
        <v>10</v>
      </c>
      <c r="AK5">
        <v>2</v>
      </c>
      <c r="AL5">
        <v>6</v>
      </c>
      <c r="AM5">
        <v>3</v>
      </c>
      <c r="AN5" s="54">
        <f>C5+E5+G5+I5+K5+M5+O5+Q5+S5</f>
        <v>25</v>
      </c>
      <c r="AO5" s="54">
        <f>U5+W5+Y5+AA5+AC5+AE5</f>
        <v>14</v>
      </c>
      <c r="AP5" s="54">
        <f t="shared" si="0"/>
        <v>8</v>
      </c>
      <c r="AQ5">
        <f t="shared" si="1"/>
        <v>33</v>
      </c>
    </row>
    <row r="6" spans="1:43">
      <c r="A6" s="54">
        <v>0.45</v>
      </c>
      <c r="B6" s="54">
        <v>9</v>
      </c>
      <c r="C6" s="54">
        <v>3</v>
      </c>
      <c r="D6" s="54">
        <v>10</v>
      </c>
      <c r="E6" s="54">
        <v>4</v>
      </c>
      <c r="F6" s="54">
        <v>2</v>
      </c>
      <c r="G6" s="54">
        <v>3</v>
      </c>
      <c r="H6" s="54">
        <v>8</v>
      </c>
      <c r="I6" s="54">
        <v>4</v>
      </c>
      <c r="J6" s="54">
        <v>3</v>
      </c>
      <c r="K6" s="54">
        <v>4</v>
      </c>
      <c r="L6" s="54">
        <v>4</v>
      </c>
      <c r="M6" s="54">
        <v>5</v>
      </c>
      <c r="N6" s="54">
        <v>2</v>
      </c>
      <c r="O6" s="54">
        <v>4</v>
      </c>
      <c r="P6" s="54">
        <v>2</v>
      </c>
      <c r="Q6" s="54">
        <v>4</v>
      </c>
      <c r="R6" s="54">
        <v>2</v>
      </c>
      <c r="S6" s="54">
        <v>4</v>
      </c>
      <c r="T6" s="54">
        <v>4</v>
      </c>
      <c r="U6" s="54">
        <v>4</v>
      </c>
      <c r="V6" s="54">
        <v>8</v>
      </c>
      <c r="W6" s="54">
        <v>4</v>
      </c>
      <c r="X6" s="54">
        <v>8</v>
      </c>
      <c r="Y6" s="54">
        <v>4</v>
      </c>
      <c r="Z6" s="54">
        <v>8</v>
      </c>
      <c r="AA6" s="54">
        <v>4</v>
      </c>
      <c r="AB6" s="54">
        <v>16</v>
      </c>
      <c r="AC6" s="54">
        <v>4</v>
      </c>
      <c r="AD6" s="54">
        <v>25</v>
      </c>
      <c r="AE6" s="54">
        <v>4</v>
      </c>
      <c r="AF6" s="54">
        <v>5</v>
      </c>
      <c r="AG6" s="54">
        <v>4</v>
      </c>
      <c r="AH6" s="54">
        <v>7</v>
      </c>
      <c r="AI6" s="54">
        <v>4</v>
      </c>
      <c r="AJ6" s="54">
        <v>12</v>
      </c>
      <c r="AK6" s="54">
        <v>1</v>
      </c>
      <c r="AL6" s="54">
        <v>5</v>
      </c>
      <c r="AM6" s="54">
        <v>3</v>
      </c>
      <c r="AN6" s="54">
        <f>C6+E6+G6+I6+K6+M6+O6+Q6+S6</f>
        <v>35</v>
      </c>
      <c r="AO6" s="54">
        <f>U6+W6+Y6+AA6+AC6+AE6</f>
        <v>24</v>
      </c>
      <c r="AP6" s="54">
        <f t="shared" si="0"/>
        <v>9</v>
      </c>
      <c r="AQ6">
        <f t="shared" si="1"/>
        <v>44</v>
      </c>
    </row>
    <row r="7" spans="1:43">
      <c r="A7">
        <v>0.57999999999999996</v>
      </c>
      <c r="B7">
        <v>9</v>
      </c>
      <c r="C7">
        <v>3</v>
      </c>
      <c r="D7">
        <v>10</v>
      </c>
      <c r="E7">
        <v>4</v>
      </c>
      <c r="F7">
        <v>1</v>
      </c>
      <c r="G7">
        <v>2</v>
      </c>
      <c r="H7">
        <v>7</v>
      </c>
      <c r="I7">
        <v>3</v>
      </c>
      <c r="J7">
        <v>2</v>
      </c>
      <c r="K7">
        <v>3</v>
      </c>
      <c r="L7">
        <v>8</v>
      </c>
      <c r="M7">
        <v>3</v>
      </c>
      <c r="N7">
        <v>4</v>
      </c>
      <c r="O7">
        <v>2</v>
      </c>
      <c r="P7">
        <v>3</v>
      </c>
      <c r="Q7">
        <v>3</v>
      </c>
      <c r="R7">
        <v>3</v>
      </c>
      <c r="S7">
        <v>3</v>
      </c>
      <c r="T7">
        <v>6</v>
      </c>
      <c r="U7">
        <v>3</v>
      </c>
      <c r="V7">
        <v>4</v>
      </c>
      <c r="W7">
        <v>2</v>
      </c>
      <c r="X7">
        <v>7</v>
      </c>
      <c r="Y7">
        <v>3</v>
      </c>
      <c r="Z7">
        <v>6</v>
      </c>
      <c r="AA7">
        <v>3</v>
      </c>
      <c r="AB7">
        <v>11</v>
      </c>
      <c r="AC7">
        <v>3</v>
      </c>
      <c r="AD7">
        <v>28</v>
      </c>
      <c r="AE7">
        <v>5</v>
      </c>
      <c r="AF7">
        <v>5</v>
      </c>
      <c r="AG7">
        <v>4</v>
      </c>
      <c r="AH7">
        <v>8</v>
      </c>
      <c r="AI7">
        <v>3</v>
      </c>
      <c r="AJ7">
        <v>11</v>
      </c>
      <c r="AK7">
        <v>2</v>
      </c>
      <c r="AL7">
        <v>6</v>
      </c>
      <c r="AM7">
        <v>3</v>
      </c>
      <c r="AN7" s="54">
        <f>C7+E7+G7+I7+K7+M7+O7+Q7+S7</f>
        <v>26</v>
      </c>
      <c r="AO7" s="54">
        <f>U7+W7+Y7+AA7+AC7+AE7</f>
        <v>19</v>
      </c>
      <c r="AP7" s="54">
        <f t="shared" si="0"/>
        <v>9</v>
      </c>
      <c r="AQ7">
        <f t="shared" si="1"/>
        <v>35</v>
      </c>
    </row>
    <row r="8" spans="1:43">
      <c r="A8">
        <v>1.04</v>
      </c>
      <c r="B8">
        <v>3</v>
      </c>
      <c r="C8">
        <v>1</v>
      </c>
      <c r="D8">
        <v>3</v>
      </c>
      <c r="E8">
        <v>1</v>
      </c>
      <c r="F8">
        <v>1</v>
      </c>
      <c r="G8">
        <v>2</v>
      </c>
      <c r="H8">
        <v>5</v>
      </c>
      <c r="I8">
        <v>2</v>
      </c>
      <c r="J8">
        <v>1</v>
      </c>
      <c r="K8">
        <v>2</v>
      </c>
      <c r="L8">
        <v>12</v>
      </c>
      <c r="M8">
        <v>1</v>
      </c>
      <c r="N8">
        <v>4</v>
      </c>
      <c r="O8">
        <v>2</v>
      </c>
      <c r="P8">
        <v>4</v>
      </c>
      <c r="Q8">
        <v>1</v>
      </c>
      <c r="R8">
        <v>4</v>
      </c>
      <c r="S8">
        <v>1</v>
      </c>
      <c r="T8">
        <v>9</v>
      </c>
      <c r="U8">
        <v>2</v>
      </c>
      <c r="V8">
        <v>5</v>
      </c>
      <c r="W8">
        <v>2</v>
      </c>
      <c r="X8">
        <v>4</v>
      </c>
      <c r="Y8">
        <v>2</v>
      </c>
      <c r="Z8">
        <v>5</v>
      </c>
      <c r="AA8">
        <v>3</v>
      </c>
      <c r="AB8">
        <v>7</v>
      </c>
      <c r="AC8">
        <v>2</v>
      </c>
      <c r="AD8">
        <v>12</v>
      </c>
      <c r="AE8">
        <v>2</v>
      </c>
      <c r="AF8">
        <v>9</v>
      </c>
      <c r="AG8">
        <v>2</v>
      </c>
      <c r="AH8">
        <v>10</v>
      </c>
      <c r="AI8">
        <v>1</v>
      </c>
      <c r="AJ8">
        <v>12</v>
      </c>
      <c r="AK8">
        <v>1</v>
      </c>
      <c r="AL8">
        <v>8</v>
      </c>
      <c r="AM8">
        <v>1</v>
      </c>
      <c r="AN8" s="54">
        <f>C8+E8+G8+I8+K8+M8+O8+Q8+S8</f>
        <v>13</v>
      </c>
      <c r="AO8" s="54">
        <f>U8+W8+Y8+AA8+AC8+AE8</f>
        <v>13</v>
      </c>
      <c r="AP8" s="54">
        <f t="shared" si="0"/>
        <v>4</v>
      </c>
      <c r="AQ8">
        <f t="shared" si="1"/>
        <v>17</v>
      </c>
    </row>
    <row r="9" spans="1:43">
      <c r="A9">
        <v>0.72</v>
      </c>
      <c r="B9">
        <v>8</v>
      </c>
      <c r="C9">
        <v>3</v>
      </c>
      <c r="D9">
        <v>8</v>
      </c>
      <c r="E9">
        <v>3</v>
      </c>
      <c r="F9">
        <v>1</v>
      </c>
      <c r="G9">
        <v>2</v>
      </c>
      <c r="H9">
        <v>5</v>
      </c>
      <c r="I9">
        <v>2</v>
      </c>
      <c r="J9">
        <v>1</v>
      </c>
      <c r="K9">
        <v>2</v>
      </c>
      <c r="L9">
        <v>12</v>
      </c>
      <c r="M9">
        <v>1</v>
      </c>
      <c r="N9">
        <v>3</v>
      </c>
      <c r="O9">
        <v>3</v>
      </c>
      <c r="P9">
        <v>4</v>
      </c>
      <c r="Q9">
        <v>1</v>
      </c>
      <c r="R9">
        <v>3</v>
      </c>
      <c r="S9">
        <v>3</v>
      </c>
      <c r="T9">
        <v>12</v>
      </c>
      <c r="U9">
        <v>1</v>
      </c>
      <c r="V9">
        <v>3</v>
      </c>
      <c r="W9">
        <v>1</v>
      </c>
      <c r="X9">
        <v>3</v>
      </c>
      <c r="Y9">
        <v>1</v>
      </c>
      <c r="Z9">
        <v>3</v>
      </c>
      <c r="AA9">
        <v>1</v>
      </c>
      <c r="AB9">
        <v>6</v>
      </c>
      <c r="AC9">
        <v>1</v>
      </c>
      <c r="AD9">
        <v>11</v>
      </c>
      <c r="AE9">
        <v>1</v>
      </c>
      <c r="AF9">
        <v>9</v>
      </c>
      <c r="AG9">
        <v>2</v>
      </c>
      <c r="AH9">
        <v>9</v>
      </c>
      <c r="AI9">
        <v>3</v>
      </c>
      <c r="AJ9">
        <v>9</v>
      </c>
      <c r="AK9">
        <v>3</v>
      </c>
      <c r="AL9">
        <v>8</v>
      </c>
      <c r="AM9">
        <v>1</v>
      </c>
      <c r="AN9" s="54">
        <f>C9+E9+G9+I9+K9+M9+O9+Q9+S9</f>
        <v>20</v>
      </c>
      <c r="AO9" s="54">
        <f>U9+W9+Y9+AA9+AC9+AE9</f>
        <v>6</v>
      </c>
      <c r="AP9" s="54">
        <f t="shared" si="0"/>
        <v>8</v>
      </c>
      <c r="AQ9">
        <f t="shared" si="1"/>
        <v>28</v>
      </c>
    </row>
    <row r="10" spans="1:43">
      <c r="A10">
        <v>0.92</v>
      </c>
      <c r="B10">
        <v>9</v>
      </c>
      <c r="C10">
        <v>3</v>
      </c>
      <c r="D10">
        <v>8</v>
      </c>
      <c r="E10">
        <v>3</v>
      </c>
      <c r="F10">
        <v>1</v>
      </c>
      <c r="G10">
        <v>2</v>
      </c>
      <c r="H10">
        <v>3</v>
      </c>
      <c r="I10">
        <v>1</v>
      </c>
      <c r="J10">
        <v>2</v>
      </c>
      <c r="K10">
        <v>3</v>
      </c>
      <c r="L10">
        <v>9</v>
      </c>
      <c r="M10">
        <v>2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6</v>
      </c>
      <c r="U10">
        <v>3</v>
      </c>
      <c r="V10">
        <v>5</v>
      </c>
      <c r="W10">
        <v>2</v>
      </c>
      <c r="X10">
        <v>6</v>
      </c>
      <c r="Y10">
        <v>3</v>
      </c>
      <c r="Z10">
        <v>7</v>
      </c>
      <c r="AA10">
        <v>3</v>
      </c>
      <c r="AB10">
        <v>12</v>
      </c>
      <c r="AC10">
        <v>3</v>
      </c>
      <c r="AD10">
        <v>19</v>
      </c>
      <c r="AE10">
        <v>3</v>
      </c>
      <c r="AF10">
        <v>9</v>
      </c>
      <c r="AG10">
        <v>2</v>
      </c>
      <c r="AH10">
        <v>9</v>
      </c>
      <c r="AI10">
        <v>3</v>
      </c>
      <c r="AJ10">
        <v>9</v>
      </c>
      <c r="AK10">
        <v>3</v>
      </c>
      <c r="AL10">
        <v>6</v>
      </c>
      <c r="AM10">
        <v>3</v>
      </c>
      <c r="AN10" s="54">
        <f>C10+E10+G10+I10+K10+M10+O10+Q10+S10</f>
        <v>23</v>
      </c>
      <c r="AO10" s="54">
        <f>U10+W10+Y10+AA10+AC10+AE10</f>
        <v>17</v>
      </c>
      <c r="AP10" s="54">
        <f t="shared" si="0"/>
        <v>8</v>
      </c>
      <c r="AQ10">
        <f t="shared" si="1"/>
        <v>31</v>
      </c>
    </row>
    <row r="11" spans="1:43">
      <c r="A11">
        <v>0.63</v>
      </c>
      <c r="B11">
        <v>12</v>
      </c>
      <c r="C11">
        <v>5</v>
      </c>
      <c r="D11">
        <v>11</v>
      </c>
      <c r="E11">
        <v>4</v>
      </c>
      <c r="F11">
        <v>2</v>
      </c>
      <c r="G11">
        <v>3</v>
      </c>
      <c r="H11">
        <v>9</v>
      </c>
      <c r="I11">
        <v>4</v>
      </c>
      <c r="J11">
        <v>3</v>
      </c>
      <c r="K11">
        <v>4</v>
      </c>
      <c r="L11">
        <v>9</v>
      </c>
      <c r="M11">
        <v>2</v>
      </c>
      <c r="N11">
        <v>4</v>
      </c>
      <c r="O11">
        <v>2</v>
      </c>
      <c r="P11">
        <v>3</v>
      </c>
      <c r="Q11">
        <v>3</v>
      </c>
      <c r="R11">
        <v>4</v>
      </c>
      <c r="S11">
        <v>1</v>
      </c>
      <c r="T11">
        <v>6</v>
      </c>
      <c r="U11">
        <v>3</v>
      </c>
      <c r="V11">
        <v>6</v>
      </c>
      <c r="W11">
        <v>3</v>
      </c>
      <c r="X11">
        <v>9</v>
      </c>
      <c r="Y11">
        <v>4</v>
      </c>
      <c r="Z11">
        <v>6</v>
      </c>
      <c r="AA11">
        <v>3</v>
      </c>
      <c r="AB11">
        <v>11</v>
      </c>
      <c r="AC11">
        <v>3</v>
      </c>
      <c r="AD11">
        <v>23</v>
      </c>
      <c r="AE11">
        <v>4</v>
      </c>
      <c r="AF11">
        <v>7</v>
      </c>
      <c r="AG11">
        <v>3</v>
      </c>
      <c r="AH11">
        <v>7</v>
      </c>
      <c r="AI11">
        <v>4</v>
      </c>
      <c r="AJ11">
        <v>9</v>
      </c>
      <c r="AK11">
        <v>3</v>
      </c>
      <c r="AL11">
        <v>6</v>
      </c>
      <c r="AM11">
        <v>3</v>
      </c>
      <c r="AN11" s="54">
        <f>C11+E11+G11+I11+K11+M11+O11+Q11+S11</f>
        <v>28</v>
      </c>
      <c r="AO11" s="54">
        <f>U11+W11+Y11+AA11+AC11+AE11</f>
        <v>20</v>
      </c>
      <c r="AP11" s="54">
        <f t="shared" si="0"/>
        <v>10</v>
      </c>
      <c r="AQ11">
        <f t="shared" si="1"/>
        <v>38</v>
      </c>
    </row>
    <row r="12" spans="1:43">
      <c r="A12">
        <v>1.01</v>
      </c>
      <c r="B12">
        <v>12</v>
      </c>
      <c r="C12">
        <v>5</v>
      </c>
      <c r="D12">
        <v>10</v>
      </c>
      <c r="E12">
        <v>4</v>
      </c>
      <c r="F12">
        <v>2</v>
      </c>
      <c r="G12">
        <v>3</v>
      </c>
      <c r="H12">
        <v>9</v>
      </c>
      <c r="I12">
        <v>4</v>
      </c>
      <c r="J12">
        <v>1</v>
      </c>
      <c r="K12">
        <v>2</v>
      </c>
      <c r="L12">
        <v>8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6</v>
      </c>
      <c r="U12">
        <v>3</v>
      </c>
      <c r="V12">
        <v>7</v>
      </c>
      <c r="W12">
        <v>3</v>
      </c>
      <c r="X12">
        <v>7</v>
      </c>
      <c r="Y12">
        <v>3</v>
      </c>
      <c r="Z12">
        <v>6</v>
      </c>
      <c r="AA12">
        <v>3</v>
      </c>
      <c r="AB12">
        <v>8</v>
      </c>
      <c r="AC12">
        <v>2</v>
      </c>
      <c r="AD12">
        <v>17</v>
      </c>
      <c r="AE12">
        <v>3</v>
      </c>
      <c r="AF12">
        <v>10</v>
      </c>
      <c r="AG12">
        <v>2</v>
      </c>
      <c r="AH12">
        <v>6</v>
      </c>
      <c r="AI12">
        <v>4</v>
      </c>
      <c r="AJ12">
        <v>12</v>
      </c>
      <c r="AK12">
        <v>1</v>
      </c>
      <c r="AL12">
        <v>6</v>
      </c>
      <c r="AM12">
        <v>3</v>
      </c>
      <c r="AN12" s="54">
        <f>C12+E12+G12+I12+K12+M12+O12+Q12+S12</f>
        <v>30</v>
      </c>
      <c r="AO12" s="54">
        <f>U12+W12+Y12+AA12+AC12+AE12</f>
        <v>17</v>
      </c>
      <c r="AP12" s="54">
        <f t="shared" si="0"/>
        <v>7</v>
      </c>
      <c r="AQ12">
        <f t="shared" si="1"/>
        <v>37</v>
      </c>
    </row>
    <row r="13" spans="1:43">
      <c r="A13" s="53">
        <v>1.42</v>
      </c>
      <c r="B13" s="53">
        <v>10</v>
      </c>
      <c r="C13" s="53">
        <v>4</v>
      </c>
      <c r="D13" s="53">
        <v>10</v>
      </c>
      <c r="E13" s="53">
        <v>4</v>
      </c>
      <c r="F13" s="53">
        <v>3</v>
      </c>
      <c r="G13" s="53">
        <v>4</v>
      </c>
      <c r="H13" s="53">
        <v>5</v>
      </c>
      <c r="I13" s="53">
        <v>2</v>
      </c>
      <c r="J13" s="53">
        <v>1</v>
      </c>
      <c r="K13" s="53">
        <v>2</v>
      </c>
      <c r="L13" s="53">
        <v>11</v>
      </c>
      <c r="M13" s="53">
        <v>1</v>
      </c>
      <c r="N13" s="53">
        <v>3</v>
      </c>
      <c r="O13" s="53">
        <v>3</v>
      </c>
      <c r="P13" s="53">
        <v>3</v>
      </c>
      <c r="Q13" s="53">
        <v>3</v>
      </c>
      <c r="R13" s="53">
        <v>3</v>
      </c>
      <c r="S13" s="53">
        <v>3</v>
      </c>
      <c r="T13" s="53">
        <v>9</v>
      </c>
      <c r="U13" s="53">
        <v>2</v>
      </c>
      <c r="V13" s="53">
        <v>5</v>
      </c>
      <c r="W13" s="53">
        <v>2</v>
      </c>
      <c r="X13" s="53">
        <v>6</v>
      </c>
      <c r="Y13" s="53">
        <v>3</v>
      </c>
      <c r="Z13" s="53">
        <v>7</v>
      </c>
      <c r="AA13" s="53">
        <v>3</v>
      </c>
      <c r="AB13" s="53">
        <v>9</v>
      </c>
      <c r="AC13" s="53">
        <v>3</v>
      </c>
      <c r="AD13" s="53">
        <v>18</v>
      </c>
      <c r="AE13" s="53">
        <v>3</v>
      </c>
      <c r="AF13" s="53">
        <v>12</v>
      </c>
      <c r="AG13" s="53">
        <v>1</v>
      </c>
      <c r="AH13" s="53">
        <v>12</v>
      </c>
      <c r="AI13" s="53">
        <v>2</v>
      </c>
      <c r="AJ13" s="53">
        <v>12</v>
      </c>
      <c r="AK13" s="53">
        <v>1</v>
      </c>
      <c r="AL13" s="53">
        <v>6</v>
      </c>
      <c r="AM13" s="53">
        <v>3</v>
      </c>
      <c r="AN13" s="54">
        <f>C13+E13+G13+I13+K13+M13+O13+Q13+S13</f>
        <v>26</v>
      </c>
      <c r="AO13" s="54">
        <f>U13+W13+Y13+AA13+AC13+AE13</f>
        <v>16</v>
      </c>
      <c r="AP13" s="54">
        <f t="shared" si="0"/>
        <v>4</v>
      </c>
      <c r="AQ13">
        <f t="shared" si="1"/>
        <v>30</v>
      </c>
    </row>
    <row r="14" spans="1:43">
      <c r="A14">
        <v>0.48</v>
      </c>
      <c r="B14">
        <v>8</v>
      </c>
      <c r="C14">
        <v>3</v>
      </c>
      <c r="D14">
        <v>8</v>
      </c>
      <c r="E14">
        <v>3</v>
      </c>
      <c r="F14">
        <v>2</v>
      </c>
      <c r="G14">
        <v>3</v>
      </c>
      <c r="H14">
        <v>7</v>
      </c>
      <c r="I14">
        <v>3</v>
      </c>
      <c r="J14">
        <v>2</v>
      </c>
      <c r="K14">
        <v>3</v>
      </c>
      <c r="L14">
        <v>12</v>
      </c>
      <c r="M14">
        <v>1</v>
      </c>
      <c r="N14">
        <v>4</v>
      </c>
      <c r="O14">
        <v>2</v>
      </c>
      <c r="P14">
        <v>3</v>
      </c>
      <c r="Q14">
        <v>3</v>
      </c>
      <c r="R14">
        <v>4</v>
      </c>
      <c r="S14">
        <v>1</v>
      </c>
      <c r="T14">
        <v>9</v>
      </c>
      <c r="U14">
        <v>2</v>
      </c>
      <c r="V14">
        <v>5</v>
      </c>
      <c r="W14">
        <v>2</v>
      </c>
      <c r="X14">
        <v>6</v>
      </c>
      <c r="Y14">
        <v>3</v>
      </c>
      <c r="Z14">
        <v>5</v>
      </c>
      <c r="AA14">
        <v>3</v>
      </c>
      <c r="AB14">
        <v>7</v>
      </c>
      <c r="AC14">
        <v>2</v>
      </c>
      <c r="AD14">
        <v>11</v>
      </c>
      <c r="AE14">
        <v>1</v>
      </c>
      <c r="AF14">
        <v>7</v>
      </c>
      <c r="AG14">
        <v>3</v>
      </c>
      <c r="AH14">
        <v>10</v>
      </c>
      <c r="AI14">
        <v>1</v>
      </c>
      <c r="AJ14">
        <v>10</v>
      </c>
      <c r="AK14">
        <v>2</v>
      </c>
      <c r="AL14">
        <v>6</v>
      </c>
      <c r="AM14">
        <v>3</v>
      </c>
      <c r="AN14" s="54">
        <f>C14+E14+G14+I14+K14+M14+O14+Q14+S14</f>
        <v>22</v>
      </c>
      <c r="AO14" s="54">
        <f>U14+W14+Y14+AA14+AC14+AE14</f>
        <v>13</v>
      </c>
      <c r="AP14" s="54">
        <f t="shared" si="0"/>
        <v>6</v>
      </c>
      <c r="AQ14">
        <f t="shared" si="1"/>
        <v>28</v>
      </c>
    </row>
    <row r="15" spans="1:43">
      <c r="A15">
        <v>1.26</v>
      </c>
      <c r="B15">
        <v>6</v>
      </c>
      <c r="C15">
        <v>2</v>
      </c>
      <c r="D15">
        <v>11</v>
      </c>
      <c r="E15">
        <v>5</v>
      </c>
      <c r="F15">
        <v>1</v>
      </c>
      <c r="G15">
        <v>2</v>
      </c>
      <c r="H15">
        <v>4</v>
      </c>
      <c r="I15">
        <v>2</v>
      </c>
      <c r="J15">
        <v>1</v>
      </c>
      <c r="K15">
        <v>1</v>
      </c>
      <c r="L15">
        <v>10</v>
      </c>
      <c r="M15">
        <v>2</v>
      </c>
      <c r="N15">
        <v>4</v>
      </c>
      <c r="O15">
        <v>2</v>
      </c>
      <c r="P15">
        <v>3</v>
      </c>
      <c r="Q15">
        <v>3</v>
      </c>
      <c r="R15">
        <v>4</v>
      </c>
      <c r="S15">
        <v>1</v>
      </c>
      <c r="T15">
        <v>10</v>
      </c>
      <c r="U15">
        <v>1</v>
      </c>
      <c r="V15">
        <v>3</v>
      </c>
      <c r="W15">
        <v>1</v>
      </c>
      <c r="X15">
        <v>5</v>
      </c>
      <c r="Y15">
        <v>2</v>
      </c>
      <c r="Z15">
        <v>5</v>
      </c>
      <c r="AA15">
        <v>3</v>
      </c>
      <c r="AB15">
        <v>7</v>
      </c>
      <c r="AC15">
        <v>2</v>
      </c>
      <c r="AD15">
        <v>17</v>
      </c>
      <c r="AE15">
        <v>2</v>
      </c>
      <c r="AF15">
        <v>9</v>
      </c>
      <c r="AG15">
        <v>2</v>
      </c>
      <c r="AH15">
        <v>9</v>
      </c>
      <c r="AI15">
        <v>3</v>
      </c>
      <c r="AJ15">
        <v>11</v>
      </c>
      <c r="AK15">
        <v>2</v>
      </c>
      <c r="AL15">
        <v>7</v>
      </c>
      <c r="AM15">
        <v>2</v>
      </c>
      <c r="AN15" s="54">
        <f>C15+E15+G15+I15+K15+M15+O15+Q15+S15</f>
        <v>20</v>
      </c>
      <c r="AO15" s="54">
        <f>U15+W15+Y15+AA15+AC15+AE15</f>
        <v>11</v>
      </c>
      <c r="AP15" s="54">
        <f t="shared" si="0"/>
        <v>7</v>
      </c>
      <c r="AQ15">
        <f t="shared" si="1"/>
        <v>27</v>
      </c>
    </row>
    <row r="16" spans="1:43">
      <c r="A16">
        <v>1.35</v>
      </c>
      <c r="B16">
        <v>11</v>
      </c>
      <c r="C16">
        <v>4</v>
      </c>
      <c r="D16">
        <v>9</v>
      </c>
      <c r="E16">
        <v>4</v>
      </c>
      <c r="F16">
        <v>2</v>
      </c>
      <c r="G16">
        <v>3</v>
      </c>
      <c r="H16">
        <v>6</v>
      </c>
      <c r="I16">
        <v>3</v>
      </c>
      <c r="J16">
        <v>2</v>
      </c>
      <c r="K16">
        <v>3</v>
      </c>
      <c r="L16">
        <v>11</v>
      </c>
      <c r="M16">
        <v>1</v>
      </c>
      <c r="N16">
        <v>4</v>
      </c>
      <c r="O16">
        <v>2</v>
      </c>
      <c r="P16">
        <v>3</v>
      </c>
      <c r="Q16">
        <v>3</v>
      </c>
      <c r="R16">
        <v>3</v>
      </c>
      <c r="S16">
        <v>3</v>
      </c>
      <c r="T16">
        <v>3</v>
      </c>
      <c r="U16">
        <v>5</v>
      </c>
      <c r="V16">
        <v>5</v>
      </c>
      <c r="W16">
        <v>2</v>
      </c>
      <c r="X16">
        <v>6</v>
      </c>
      <c r="Y16">
        <v>3</v>
      </c>
      <c r="Z16">
        <v>7</v>
      </c>
      <c r="AA16">
        <v>3</v>
      </c>
      <c r="AB16">
        <v>11</v>
      </c>
      <c r="AC16">
        <v>3</v>
      </c>
      <c r="AD16">
        <v>18</v>
      </c>
      <c r="AE16">
        <v>3</v>
      </c>
      <c r="AF16">
        <v>6</v>
      </c>
      <c r="AG16">
        <v>3</v>
      </c>
      <c r="AH16">
        <v>10</v>
      </c>
      <c r="AI16">
        <v>2</v>
      </c>
      <c r="AJ16">
        <v>10</v>
      </c>
      <c r="AK16">
        <v>2</v>
      </c>
      <c r="AL16">
        <v>6</v>
      </c>
      <c r="AM16">
        <v>3</v>
      </c>
      <c r="AN16" s="54">
        <f>C16+E16+G16+I16+K16+M16+O16+Q16+S16</f>
        <v>26</v>
      </c>
      <c r="AO16" s="54">
        <f>U16+W16+Y16+AA16+AC16+AE16</f>
        <v>19</v>
      </c>
      <c r="AP16" s="54">
        <f t="shared" si="0"/>
        <v>7</v>
      </c>
      <c r="AQ16">
        <f t="shared" si="1"/>
        <v>33</v>
      </c>
    </row>
    <row r="17" spans="1:43">
      <c r="A17">
        <v>0.99</v>
      </c>
      <c r="B17">
        <v>8</v>
      </c>
      <c r="C17">
        <v>3</v>
      </c>
      <c r="D17">
        <v>11</v>
      </c>
      <c r="E17">
        <v>4</v>
      </c>
      <c r="F17">
        <v>1</v>
      </c>
      <c r="G17">
        <v>2</v>
      </c>
      <c r="H17">
        <v>7</v>
      </c>
      <c r="I17">
        <v>3</v>
      </c>
      <c r="J17">
        <v>3</v>
      </c>
      <c r="K17">
        <v>4</v>
      </c>
      <c r="L17">
        <v>8</v>
      </c>
      <c r="M17">
        <v>3</v>
      </c>
      <c r="N17">
        <v>2</v>
      </c>
      <c r="O17">
        <v>4</v>
      </c>
      <c r="P17">
        <v>3</v>
      </c>
      <c r="Q17">
        <v>3</v>
      </c>
      <c r="R17">
        <v>3</v>
      </c>
      <c r="S17">
        <v>3</v>
      </c>
      <c r="T17">
        <v>6</v>
      </c>
      <c r="U17">
        <v>3</v>
      </c>
      <c r="V17">
        <v>9</v>
      </c>
      <c r="W17">
        <v>4</v>
      </c>
      <c r="X17">
        <v>7</v>
      </c>
      <c r="Y17">
        <v>3</v>
      </c>
      <c r="Z17">
        <v>6</v>
      </c>
      <c r="AA17">
        <v>3</v>
      </c>
      <c r="AB17">
        <v>14</v>
      </c>
      <c r="AC17">
        <v>4</v>
      </c>
      <c r="AD17">
        <v>25</v>
      </c>
      <c r="AE17">
        <v>4</v>
      </c>
      <c r="AF17">
        <v>8</v>
      </c>
      <c r="AG17">
        <v>3</v>
      </c>
      <c r="AH17">
        <v>8</v>
      </c>
      <c r="AI17">
        <v>3</v>
      </c>
      <c r="AJ17">
        <v>9</v>
      </c>
      <c r="AK17">
        <v>3</v>
      </c>
      <c r="AL17">
        <v>6</v>
      </c>
      <c r="AM17">
        <v>3</v>
      </c>
      <c r="AN17" s="54">
        <f>C17+E17+G17+I17+K17+M17+O17+Q17+S17</f>
        <v>29</v>
      </c>
      <c r="AO17" s="54">
        <f>U17+W17+Y17+AA17+AC17+AE17</f>
        <v>21</v>
      </c>
      <c r="AP17" s="54">
        <f t="shared" si="0"/>
        <v>9</v>
      </c>
      <c r="AQ17">
        <f t="shared" si="1"/>
        <v>38</v>
      </c>
    </row>
    <row r="18" spans="1:43">
      <c r="A18">
        <v>1.34</v>
      </c>
      <c r="B18">
        <v>8</v>
      </c>
      <c r="C18">
        <v>3</v>
      </c>
      <c r="D18">
        <v>8</v>
      </c>
      <c r="E18">
        <v>3</v>
      </c>
      <c r="F18">
        <v>1</v>
      </c>
      <c r="G18">
        <v>2</v>
      </c>
      <c r="H18">
        <v>6</v>
      </c>
      <c r="I18">
        <v>3</v>
      </c>
      <c r="J18">
        <v>3</v>
      </c>
      <c r="K18">
        <v>4</v>
      </c>
      <c r="L18">
        <v>8</v>
      </c>
      <c r="M18">
        <v>3</v>
      </c>
      <c r="N18">
        <v>1</v>
      </c>
      <c r="O18">
        <v>5</v>
      </c>
      <c r="P18">
        <v>3</v>
      </c>
      <c r="Q18">
        <v>3</v>
      </c>
      <c r="R18">
        <v>3</v>
      </c>
      <c r="S18">
        <v>3</v>
      </c>
      <c r="T18">
        <v>9</v>
      </c>
      <c r="U18">
        <v>2</v>
      </c>
      <c r="V18">
        <v>6</v>
      </c>
      <c r="W18">
        <v>3</v>
      </c>
      <c r="X18">
        <v>9</v>
      </c>
      <c r="Y18">
        <v>4</v>
      </c>
      <c r="Z18">
        <v>8</v>
      </c>
      <c r="AA18">
        <v>4</v>
      </c>
      <c r="AB18">
        <v>18</v>
      </c>
      <c r="AC18">
        <v>5</v>
      </c>
      <c r="AD18">
        <v>22</v>
      </c>
      <c r="AE18">
        <v>3</v>
      </c>
      <c r="AF18">
        <v>6</v>
      </c>
      <c r="AG18">
        <v>3</v>
      </c>
      <c r="AH18">
        <v>9</v>
      </c>
      <c r="AI18">
        <v>3</v>
      </c>
      <c r="AJ18">
        <v>7</v>
      </c>
      <c r="AK18">
        <v>4</v>
      </c>
      <c r="AL18">
        <v>6</v>
      </c>
      <c r="AM18">
        <v>3</v>
      </c>
      <c r="AN18" s="54">
        <f>C18+E18+G18+I18+K18+M18+O18+Q18+S18</f>
        <v>29</v>
      </c>
      <c r="AO18" s="54">
        <f>U18+W18+Y18+AA18+AC18+AE18</f>
        <v>21</v>
      </c>
      <c r="AP18" s="54">
        <f t="shared" si="0"/>
        <v>10</v>
      </c>
      <c r="AQ18">
        <f t="shared" si="1"/>
        <v>39</v>
      </c>
    </row>
    <row r="19" spans="1:43">
      <c r="A19">
        <v>1.02</v>
      </c>
      <c r="B19">
        <v>9</v>
      </c>
      <c r="C19">
        <v>3</v>
      </c>
      <c r="D19">
        <v>7</v>
      </c>
      <c r="E19">
        <v>3</v>
      </c>
      <c r="F19">
        <v>2</v>
      </c>
      <c r="G19">
        <v>3</v>
      </c>
      <c r="H19">
        <v>5</v>
      </c>
      <c r="I19">
        <v>2</v>
      </c>
      <c r="J19">
        <v>3</v>
      </c>
      <c r="K19">
        <v>4</v>
      </c>
      <c r="L19">
        <v>11</v>
      </c>
      <c r="M19">
        <v>1</v>
      </c>
      <c r="N19">
        <v>3</v>
      </c>
      <c r="O19">
        <v>3</v>
      </c>
      <c r="P19">
        <v>3</v>
      </c>
      <c r="Q19">
        <v>3</v>
      </c>
      <c r="R19">
        <v>4</v>
      </c>
      <c r="S19">
        <v>1</v>
      </c>
      <c r="T19">
        <v>7</v>
      </c>
      <c r="U19">
        <v>3</v>
      </c>
      <c r="V19">
        <v>9</v>
      </c>
      <c r="W19">
        <v>4</v>
      </c>
      <c r="X19">
        <v>5</v>
      </c>
      <c r="Y19">
        <v>2</v>
      </c>
      <c r="Z19">
        <v>5</v>
      </c>
      <c r="AA19">
        <v>3</v>
      </c>
      <c r="AB19">
        <v>7</v>
      </c>
      <c r="AC19">
        <v>2</v>
      </c>
      <c r="AD19">
        <v>19</v>
      </c>
      <c r="AE19">
        <v>3</v>
      </c>
      <c r="AF19">
        <v>11</v>
      </c>
      <c r="AG19">
        <v>1</v>
      </c>
      <c r="AH19">
        <v>11</v>
      </c>
      <c r="AI19">
        <v>2</v>
      </c>
      <c r="AJ19">
        <v>11</v>
      </c>
      <c r="AK19">
        <v>2</v>
      </c>
      <c r="AL19">
        <v>8</v>
      </c>
      <c r="AM19">
        <v>1</v>
      </c>
      <c r="AN19" s="54">
        <f>C19+E19+G19+I19+K19+M19+O19+Q19+S19</f>
        <v>23</v>
      </c>
      <c r="AO19" s="54">
        <f>U19+W19+Y19+AA19+AC19+AE19</f>
        <v>17</v>
      </c>
      <c r="AP19" s="54">
        <f t="shared" si="0"/>
        <v>5</v>
      </c>
      <c r="AQ19">
        <f t="shared" si="1"/>
        <v>28</v>
      </c>
    </row>
    <row r="20" spans="1:43">
      <c r="A20">
        <v>1.3</v>
      </c>
      <c r="B20">
        <v>7</v>
      </c>
      <c r="C20">
        <v>3</v>
      </c>
      <c r="D20">
        <v>10</v>
      </c>
      <c r="E20">
        <v>4</v>
      </c>
      <c r="F20">
        <v>2</v>
      </c>
      <c r="G20">
        <v>3</v>
      </c>
      <c r="H20">
        <v>3</v>
      </c>
      <c r="I20">
        <v>1</v>
      </c>
      <c r="J20">
        <v>1</v>
      </c>
      <c r="K20">
        <v>1</v>
      </c>
      <c r="L20">
        <v>7</v>
      </c>
      <c r="M20">
        <v>3</v>
      </c>
      <c r="N20">
        <v>3</v>
      </c>
      <c r="O20">
        <v>2</v>
      </c>
      <c r="P20">
        <v>4</v>
      </c>
      <c r="Q20">
        <v>1</v>
      </c>
      <c r="R20">
        <v>4</v>
      </c>
      <c r="S20">
        <v>1</v>
      </c>
      <c r="T20">
        <v>11</v>
      </c>
      <c r="U20">
        <v>1</v>
      </c>
      <c r="V20">
        <v>6</v>
      </c>
      <c r="W20">
        <v>3</v>
      </c>
      <c r="X20">
        <v>5</v>
      </c>
      <c r="Y20">
        <v>2</v>
      </c>
      <c r="Z20">
        <v>3</v>
      </c>
      <c r="AA20">
        <v>1</v>
      </c>
      <c r="AB20">
        <v>6</v>
      </c>
      <c r="AC20">
        <v>1</v>
      </c>
      <c r="AD20">
        <v>18</v>
      </c>
      <c r="AE20">
        <v>3</v>
      </c>
      <c r="AF20">
        <v>11</v>
      </c>
      <c r="AG20">
        <v>1</v>
      </c>
      <c r="AH20">
        <v>12</v>
      </c>
      <c r="AI20">
        <v>2</v>
      </c>
      <c r="AJ20">
        <v>12</v>
      </c>
      <c r="AK20">
        <v>1</v>
      </c>
      <c r="AL20">
        <v>7</v>
      </c>
      <c r="AM20">
        <v>2</v>
      </c>
      <c r="AN20" s="54">
        <f>C20+E20+G20+I20+K20+M20+O20+Q20+S20</f>
        <v>19</v>
      </c>
      <c r="AO20" s="54">
        <f>U20+W20+Y20+AA20+AC20+AE20</f>
        <v>11</v>
      </c>
      <c r="AP20" s="54">
        <f t="shared" si="0"/>
        <v>4</v>
      </c>
      <c r="AQ20">
        <f t="shared" si="1"/>
        <v>23</v>
      </c>
    </row>
    <row r="21" spans="1:43">
      <c r="A21">
        <v>1.1499999999999999</v>
      </c>
      <c r="B21">
        <v>8</v>
      </c>
      <c r="C21">
        <v>3</v>
      </c>
      <c r="D21">
        <v>7</v>
      </c>
      <c r="E21">
        <v>2</v>
      </c>
      <c r="F21">
        <v>2</v>
      </c>
      <c r="G21">
        <v>3</v>
      </c>
      <c r="H21">
        <v>8</v>
      </c>
      <c r="I21">
        <v>4</v>
      </c>
      <c r="J21">
        <v>2</v>
      </c>
      <c r="K21">
        <v>3</v>
      </c>
      <c r="L21">
        <v>9</v>
      </c>
      <c r="M21">
        <v>2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6</v>
      </c>
      <c r="U21">
        <v>3</v>
      </c>
      <c r="V21">
        <v>9</v>
      </c>
      <c r="W21">
        <v>4</v>
      </c>
      <c r="X21">
        <v>4</v>
      </c>
      <c r="Y21">
        <v>2</v>
      </c>
      <c r="Z21">
        <v>5</v>
      </c>
      <c r="AA21">
        <v>3</v>
      </c>
      <c r="AB21">
        <v>8</v>
      </c>
      <c r="AC21">
        <v>2</v>
      </c>
      <c r="AD21">
        <v>14</v>
      </c>
      <c r="AE21">
        <v>2</v>
      </c>
      <c r="AF21">
        <v>8</v>
      </c>
      <c r="AG21">
        <v>3</v>
      </c>
      <c r="AH21">
        <v>9</v>
      </c>
      <c r="AI21">
        <v>3</v>
      </c>
      <c r="AJ21">
        <v>12</v>
      </c>
      <c r="AK21">
        <v>1</v>
      </c>
      <c r="AL21">
        <v>7</v>
      </c>
      <c r="AM21">
        <v>2</v>
      </c>
      <c r="AN21" s="54">
        <f>C21+E21+G21+I21+K21+M21+O21+Q21+S21</f>
        <v>26</v>
      </c>
      <c r="AO21" s="54">
        <f>U21+W21+Y21+AA21+AC21+AE21</f>
        <v>16</v>
      </c>
      <c r="AP21" s="54">
        <f t="shared" si="0"/>
        <v>7</v>
      </c>
      <c r="AQ21">
        <f t="shared" si="1"/>
        <v>33</v>
      </c>
    </row>
    <row r="22" spans="1:43">
      <c r="A22">
        <v>1.01</v>
      </c>
      <c r="B22">
        <v>8</v>
      </c>
      <c r="C22">
        <v>3</v>
      </c>
      <c r="D22">
        <v>8</v>
      </c>
      <c r="E22">
        <v>3</v>
      </c>
      <c r="F22">
        <v>2</v>
      </c>
      <c r="G22">
        <v>3</v>
      </c>
      <c r="H22">
        <v>7</v>
      </c>
      <c r="I22">
        <v>3</v>
      </c>
      <c r="J22">
        <v>3</v>
      </c>
      <c r="K22">
        <v>4</v>
      </c>
      <c r="L22">
        <v>9</v>
      </c>
      <c r="M22">
        <v>2</v>
      </c>
      <c r="N22">
        <v>3</v>
      </c>
      <c r="O22">
        <v>4</v>
      </c>
      <c r="P22">
        <v>3</v>
      </c>
      <c r="Q22">
        <v>3</v>
      </c>
      <c r="R22">
        <v>3</v>
      </c>
      <c r="S22">
        <v>3</v>
      </c>
      <c r="T22">
        <v>9</v>
      </c>
      <c r="U22">
        <v>2</v>
      </c>
      <c r="V22">
        <v>4</v>
      </c>
      <c r="W22">
        <v>2</v>
      </c>
      <c r="X22">
        <v>5</v>
      </c>
      <c r="Y22">
        <v>2</v>
      </c>
      <c r="Z22">
        <v>3</v>
      </c>
      <c r="AA22">
        <v>1</v>
      </c>
      <c r="AB22">
        <v>8</v>
      </c>
      <c r="AC22">
        <v>2</v>
      </c>
      <c r="AD22">
        <v>12</v>
      </c>
      <c r="AE22">
        <v>1</v>
      </c>
      <c r="AF22">
        <v>7</v>
      </c>
      <c r="AG22">
        <v>3</v>
      </c>
      <c r="AH22">
        <v>7</v>
      </c>
      <c r="AI22">
        <v>4</v>
      </c>
      <c r="AJ22">
        <v>12</v>
      </c>
      <c r="AK22">
        <v>1</v>
      </c>
      <c r="AL22">
        <v>8</v>
      </c>
      <c r="AM22">
        <v>1</v>
      </c>
      <c r="AN22" s="54">
        <f>C22+E22+G22+I22+K22+M22+O22+Q22+S22</f>
        <v>28</v>
      </c>
      <c r="AO22" s="54">
        <f>U22+W22+Y22+AA22+AC22+AE22</f>
        <v>10</v>
      </c>
      <c r="AP22" s="54">
        <f t="shared" si="0"/>
        <v>8</v>
      </c>
      <c r="AQ22">
        <f t="shared" si="1"/>
        <v>36</v>
      </c>
    </row>
    <row r="23" spans="1:43">
      <c r="A23">
        <v>0.56999999999999995</v>
      </c>
      <c r="B23">
        <v>12</v>
      </c>
      <c r="C23">
        <v>5</v>
      </c>
      <c r="D23">
        <v>12</v>
      </c>
      <c r="E23">
        <v>5</v>
      </c>
      <c r="F23">
        <v>2</v>
      </c>
      <c r="G23">
        <v>3</v>
      </c>
      <c r="H23">
        <v>6</v>
      </c>
      <c r="I23">
        <v>3</v>
      </c>
      <c r="J23">
        <v>1</v>
      </c>
      <c r="K23">
        <v>2</v>
      </c>
      <c r="L23">
        <v>10</v>
      </c>
      <c r="M23">
        <v>2</v>
      </c>
      <c r="N23">
        <v>3</v>
      </c>
      <c r="O23">
        <v>2</v>
      </c>
      <c r="P23">
        <v>2</v>
      </c>
      <c r="Q23">
        <v>4</v>
      </c>
      <c r="R23">
        <v>3</v>
      </c>
      <c r="S23">
        <v>3</v>
      </c>
      <c r="T23">
        <v>9</v>
      </c>
      <c r="U23">
        <v>2</v>
      </c>
      <c r="V23">
        <v>5</v>
      </c>
      <c r="W23">
        <v>2</v>
      </c>
      <c r="X23">
        <v>9</v>
      </c>
      <c r="Y23">
        <v>4</v>
      </c>
      <c r="Z23">
        <v>12</v>
      </c>
      <c r="AA23">
        <v>5</v>
      </c>
      <c r="AB23">
        <v>13</v>
      </c>
      <c r="AC23">
        <v>4</v>
      </c>
      <c r="AD23">
        <v>16</v>
      </c>
      <c r="AE23">
        <v>3</v>
      </c>
      <c r="AF23">
        <v>12</v>
      </c>
      <c r="AG23">
        <v>1</v>
      </c>
      <c r="AH23">
        <v>10</v>
      </c>
      <c r="AI23">
        <v>2</v>
      </c>
      <c r="AJ23">
        <v>10</v>
      </c>
      <c r="AK23">
        <v>2</v>
      </c>
      <c r="AL23">
        <v>5</v>
      </c>
      <c r="AM23">
        <v>3</v>
      </c>
      <c r="AN23" s="54">
        <f>C23+E23+G23+I23+K23+M23+O23+Q23+S23</f>
        <v>29</v>
      </c>
      <c r="AO23" s="54">
        <f>U23+W23+Y23+AA23+AC23+AE23</f>
        <v>20</v>
      </c>
      <c r="AP23" s="54">
        <f t="shared" si="0"/>
        <v>5</v>
      </c>
      <c r="AQ23">
        <f t="shared" si="1"/>
        <v>34</v>
      </c>
    </row>
    <row r="24" spans="1:43">
      <c r="A24" s="54">
        <v>0.63</v>
      </c>
      <c r="B24" s="54">
        <v>10</v>
      </c>
      <c r="C24" s="54">
        <v>4</v>
      </c>
      <c r="D24" s="54">
        <v>12</v>
      </c>
      <c r="E24" s="54">
        <v>5</v>
      </c>
      <c r="F24" s="54">
        <v>2</v>
      </c>
      <c r="G24" s="54">
        <v>3</v>
      </c>
      <c r="H24" s="54">
        <v>12</v>
      </c>
      <c r="I24" s="54">
        <v>5</v>
      </c>
      <c r="J24" s="54">
        <v>3</v>
      </c>
      <c r="K24" s="54">
        <v>4</v>
      </c>
      <c r="L24" s="54">
        <v>4</v>
      </c>
      <c r="M24" s="54">
        <v>5</v>
      </c>
      <c r="N24" s="54">
        <v>3</v>
      </c>
      <c r="O24" s="54">
        <v>3</v>
      </c>
      <c r="P24" s="54">
        <v>1</v>
      </c>
      <c r="Q24" s="54">
        <v>5</v>
      </c>
      <c r="R24" s="54">
        <v>1</v>
      </c>
      <c r="S24" s="54">
        <v>5</v>
      </c>
      <c r="T24" s="54">
        <v>3</v>
      </c>
      <c r="U24" s="54">
        <v>5</v>
      </c>
      <c r="V24" s="54">
        <v>10</v>
      </c>
      <c r="W24" s="54">
        <v>5</v>
      </c>
      <c r="X24" s="54">
        <v>8</v>
      </c>
      <c r="Y24" s="54">
        <v>4</v>
      </c>
      <c r="Z24" s="54">
        <v>9</v>
      </c>
      <c r="AA24" s="54">
        <v>4</v>
      </c>
      <c r="AB24" s="54">
        <v>15</v>
      </c>
      <c r="AC24" s="54">
        <v>4</v>
      </c>
      <c r="AD24" s="54">
        <v>23</v>
      </c>
      <c r="AE24" s="54">
        <v>4</v>
      </c>
      <c r="AF24" s="54">
        <v>3</v>
      </c>
      <c r="AG24" s="54">
        <v>5</v>
      </c>
      <c r="AH24" s="54">
        <v>6</v>
      </c>
      <c r="AI24" s="54">
        <v>4</v>
      </c>
      <c r="AJ24" s="54">
        <v>12</v>
      </c>
      <c r="AK24" s="54">
        <v>1</v>
      </c>
      <c r="AL24" s="54">
        <v>6</v>
      </c>
      <c r="AM24" s="54">
        <v>3</v>
      </c>
      <c r="AN24" s="54">
        <f>C24+E24+G24+I24+K24+M24+O24+Q24+S24</f>
        <v>39</v>
      </c>
      <c r="AO24" s="54">
        <f>U24+W24+Y24+AA24+AC24+AE24</f>
        <v>26</v>
      </c>
      <c r="AP24" s="54">
        <f t="shared" si="0"/>
        <v>10</v>
      </c>
      <c r="AQ24">
        <f t="shared" si="1"/>
        <v>49</v>
      </c>
    </row>
    <row r="25" spans="1:43">
      <c r="A25">
        <v>1.0900000000000001</v>
      </c>
      <c r="B25">
        <v>8</v>
      </c>
      <c r="C25">
        <v>3</v>
      </c>
      <c r="D25">
        <v>8</v>
      </c>
      <c r="E25">
        <v>3</v>
      </c>
      <c r="F25">
        <v>2</v>
      </c>
      <c r="G25">
        <v>3</v>
      </c>
      <c r="H25">
        <v>5</v>
      </c>
      <c r="I25">
        <v>2</v>
      </c>
      <c r="J25">
        <v>2</v>
      </c>
      <c r="K25">
        <v>3</v>
      </c>
      <c r="L25">
        <v>9</v>
      </c>
      <c r="M25">
        <v>2</v>
      </c>
      <c r="N25">
        <v>3</v>
      </c>
      <c r="O25">
        <v>4</v>
      </c>
      <c r="P25">
        <v>1</v>
      </c>
      <c r="Q25">
        <v>5</v>
      </c>
      <c r="R25">
        <v>3</v>
      </c>
      <c r="S25">
        <v>3</v>
      </c>
      <c r="T25">
        <v>6</v>
      </c>
      <c r="U25">
        <v>3</v>
      </c>
      <c r="V25">
        <v>6</v>
      </c>
      <c r="W25">
        <v>3</v>
      </c>
      <c r="X25">
        <v>7</v>
      </c>
      <c r="Y25">
        <v>3</v>
      </c>
      <c r="Z25">
        <v>6</v>
      </c>
      <c r="AA25">
        <v>3</v>
      </c>
      <c r="AB25">
        <v>12</v>
      </c>
      <c r="AC25">
        <v>3</v>
      </c>
      <c r="AD25">
        <v>16</v>
      </c>
      <c r="AE25">
        <v>3</v>
      </c>
      <c r="AF25">
        <v>8</v>
      </c>
      <c r="AG25">
        <v>3</v>
      </c>
      <c r="AH25">
        <v>6</v>
      </c>
      <c r="AI25">
        <v>4</v>
      </c>
      <c r="AJ25">
        <v>6</v>
      </c>
      <c r="AK25">
        <v>5</v>
      </c>
      <c r="AL25">
        <v>6</v>
      </c>
      <c r="AM25">
        <v>3</v>
      </c>
      <c r="AN25" s="54">
        <f>C25+E25+G25+I25+K25+M25+O25+Q25+S25</f>
        <v>28</v>
      </c>
      <c r="AO25" s="54">
        <f>U25+W25+Y25+AA25+AC25+AE25</f>
        <v>18</v>
      </c>
      <c r="AP25" s="54">
        <f t="shared" si="0"/>
        <v>12</v>
      </c>
      <c r="AQ25">
        <f t="shared" si="1"/>
        <v>40</v>
      </c>
    </row>
    <row r="26" spans="1:43">
      <c r="A26">
        <v>0.97</v>
      </c>
      <c r="B26">
        <v>12</v>
      </c>
      <c r="C26">
        <v>5</v>
      </c>
      <c r="D26">
        <v>10</v>
      </c>
      <c r="E26">
        <v>4</v>
      </c>
      <c r="F26">
        <v>3</v>
      </c>
      <c r="G26">
        <v>4</v>
      </c>
      <c r="H26">
        <v>4</v>
      </c>
      <c r="I26">
        <v>2</v>
      </c>
      <c r="J26">
        <v>1</v>
      </c>
      <c r="K26">
        <v>2</v>
      </c>
      <c r="L26">
        <v>9</v>
      </c>
      <c r="M26">
        <v>2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7</v>
      </c>
      <c r="U26">
        <v>3</v>
      </c>
      <c r="V26">
        <v>4</v>
      </c>
      <c r="W26">
        <v>2</v>
      </c>
      <c r="X26">
        <v>7</v>
      </c>
      <c r="Y26">
        <v>3</v>
      </c>
      <c r="Z26">
        <v>4</v>
      </c>
      <c r="AA26">
        <v>2</v>
      </c>
      <c r="AB26">
        <v>10</v>
      </c>
      <c r="AC26">
        <v>3</v>
      </c>
      <c r="AD26">
        <v>13</v>
      </c>
      <c r="AE26">
        <v>2</v>
      </c>
      <c r="AF26">
        <v>11</v>
      </c>
      <c r="AG26">
        <v>1</v>
      </c>
      <c r="AH26">
        <v>12</v>
      </c>
      <c r="AI26">
        <v>2</v>
      </c>
      <c r="AJ26">
        <v>12</v>
      </c>
      <c r="AK26">
        <v>1</v>
      </c>
      <c r="AL26">
        <v>6</v>
      </c>
      <c r="AM26">
        <v>3</v>
      </c>
      <c r="AN26" s="54">
        <f>C26+E26+G26+I26+K26+M26+O26+Q26+S26</f>
        <v>28</v>
      </c>
      <c r="AO26" s="54">
        <f>U26+W26+Y26+AA26+AC26+AE26</f>
        <v>15</v>
      </c>
      <c r="AP26" s="54">
        <f t="shared" si="0"/>
        <v>4</v>
      </c>
      <c r="AQ26">
        <f t="shared" si="1"/>
        <v>32</v>
      </c>
    </row>
    <row r="27" spans="1:43">
      <c r="A27">
        <v>0.84</v>
      </c>
      <c r="B27">
        <v>9</v>
      </c>
      <c r="C27">
        <v>3</v>
      </c>
      <c r="D27">
        <v>9</v>
      </c>
      <c r="E27">
        <v>4</v>
      </c>
      <c r="F27">
        <v>2</v>
      </c>
      <c r="G27">
        <v>3</v>
      </c>
      <c r="H27">
        <v>3</v>
      </c>
      <c r="I27">
        <v>1</v>
      </c>
      <c r="J27">
        <v>1</v>
      </c>
      <c r="K27">
        <v>1</v>
      </c>
      <c r="L27">
        <v>10</v>
      </c>
      <c r="M27">
        <v>2</v>
      </c>
      <c r="N27">
        <v>3</v>
      </c>
      <c r="O27">
        <v>2</v>
      </c>
      <c r="P27">
        <v>1</v>
      </c>
      <c r="Q27">
        <v>5</v>
      </c>
      <c r="R27">
        <v>3</v>
      </c>
      <c r="S27">
        <v>3</v>
      </c>
      <c r="T27">
        <v>10</v>
      </c>
      <c r="U27">
        <v>1</v>
      </c>
      <c r="V27">
        <v>3</v>
      </c>
      <c r="W27">
        <v>1</v>
      </c>
      <c r="X27">
        <v>9</v>
      </c>
      <c r="Y27">
        <v>4</v>
      </c>
      <c r="Z27">
        <v>5</v>
      </c>
      <c r="AA27">
        <v>3</v>
      </c>
      <c r="AB27">
        <v>12</v>
      </c>
      <c r="AC27">
        <v>3</v>
      </c>
      <c r="AD27">
        <v>17</v>
      </c>
      <c r="AE27">
        <v>2</v>
      </c>
      <c r="AF27">
        <v>6</v>
      </c>
      <c r="AG27">
        <v>3</v>
      </c>
      <c r="AH27">
        <v>5</v>
      </c>
      <c r="AI27">
        <v>5</v>
      </c>
      <c r="AJ27">
        <v>10</v>
      </c>
      <c r="AK27">
        <v>2</v>
      </c>
      <c r="AL27">
        <v>6</v>
      </c>
      <c r="AM27">
        <v>3</v>
      </c>
      <c r="AN27" s="54">
        <f>C27+E27+G27+I27+K27+M27+O27+Q27+S27</f>
        <v>24</v>
      </c>
      <c r="AO27" s="54">
        <f>U27+W27+Y27+AA27+AC27+AE27</f>
        <v>14</v>
      </c>
      <c r="AP27" s="54">
        <f t="shared" si="0"/>
        <v>10</v>
      </c>
      <c r="AQ27">
        <f t="shared" si="1"/>
        <v>34</v>
      </c>
    </row>
    <row r="28" spans="1:43">
      <c r="A28">
        <v>0.82</v>
      </c>
      <c r="B28">
        <v>10</v>
      </c>
      <c r="C28">
        <v>4</v>
      </c>
      <c r="D28">
        <v>10</v>
      </c>
      <c r="E28">
        <v>4</v>
      </c>
      <c r="F28">
        <v>2</v>
      </c>
      <c r="G28">
        <v>3</v>
      </c>
      <c r="H28">
        <v>7</v>
      </c>
      <c r="I28">
        <v>3</v>
      </c>
      <c r="J28">
        <v>3</v>
      </c>
      <c r="K28">
        <v>4</v>
      </c>
      <c r="L28">
        <v>9</v>
      </c>
      <c r="M28">
        <v>2</v>
      </c>
      <c r="N28">
        <v>3</v>
      </c>
      <c r="O28">
        <v>4</v>
      </c>
      <c r="P28">
        <v>3</v>
      </c>
      <c r="Q28">
        <v>3</v>
      </c>
      <c r="R28">
        <v>3</v>
      </c>
      <c r="S28">
        <v>3</v>
      </c>
      <c r="T28">
        <v>6</v>
      </c>
      <c r="U28">
        <v>3</v>
      </c>
      <c r="V28">
        <v>9</v>
      </c>
      <c r="W28">
        <v>4</v>
      </c>
      <c r="X28">
        <v>9</v>
      </c>
      <c r="Y28">
        <v>4</v>
      </c>
      <c r="Z28">
        <v>8</v>
      </c>
      <c r="AA28">
        <v>4</v>
      </c>
      <c r="AB28">
        <v>16</v>
      </c>
      <c r="AC28">
        <v>4</v>
      </c>
      <c r="AD28">
        <v>24</v>
      </c>
      <c r="AE28">
        <v>4</v>
      </c>
      <c r="AF28">
        <v>6</v>
      </c>
      <c r="AG28">
        <v>3</v>
      </c>
      <c r="AH28">
        <v>6</v>
      </c>
      <c r="AI28">
        <v>4</v>
      </c>
      <c r="AJ28">
        <v>6</v>
      </c>
      <c r="AK28">
        <v>5</v>
      </c>
      <c r="AL28">
        <v>4</v>
      </c>
      <c r="AM28">
        <v>4</v>
      </c>
      <c r="AN28" s="54">
        <f>C28+E28+G28+I28+K28+M28+O28+Q28+S28</f>
        <v>30</v>
      </c>
      <c r="AO28" s="54">
        <f>U28+W28+Y28+AA28+AC28+AE28</f>
        <v>23</v>
      </c>
      <c r="AP28" s="54">
        <f t="shared" si="0"/>
        <v>12</v>
      </c>
      <c r="AQ28">
        <f t="shared" si="1"/>
        <v>42</v>
      </c>
    </row>
    <row r="29" spans="1:43">
      <c r="A29">
        <v>0.33</v>
      </c>
      <c r="B29">
        <v>10</v>
      </c>
      <c r="C29">
        <v>4</v>
      </c>
      <c r="D29">
        <v>11</v>
      </c>
      <c r="E29">
        <v>5</v>
      </c>
      <c r="F29">
        <v>1</v>
      </c>
      <c r="G29">
        <v>2</v>
      </c>
      <c r="H29">
        <v>4</v>
      </c>
      <c r="I29">
        <v>2</v>
      </c>
      <c r="J29">
        <v>1</v>
      </c>
      <c r="K29">
        <v>1</v>
      </c>
      <c r="L29">
        <v>11</v>
      </c>
      <c r="M29">
        <v>1</v>
      </c>
      <c r="N29">
        <v>3</v>
      </c>
      <c r="O29">
        <v>2</v>
      </c>
      <c r="P29">
        <v>4</v>
      </c>
      <c r="Q29">
        <v>1</v>
      </c>
      <c r="R29">
        <v>4</v>
      </c>
      <c r="S29">
        <v>1</v>
      </c>
      <c r="T29">
        <v>9</v>
      </c>
      <c r="U29">
        <v>2</v>
      </c>
      <c r="V29">
        <v>5</v>
      </c>
      <c r="W29">
        <v>2</v>
      </c>
      <c r="X29">
        <v>12</v>
      </c>
      <c r="Y29">
        <v>5</v>
      </c>
      <c r="Z29">
        <v>7</v>
      </c>
      <c r="AA29">
        <v>3</v>
      </c>
      <c r="AB29">
        <v>17</v>
      </c>
      <c r="AC29">
        <v>4</v>
      </c>
      <c r="AD29">
        <v>27</v>
      </c>
      <c r="AE29">
        <v>4</v>
      </c>
      <c r="AF29">
        <v>12</v>
      </c>
      <c r="AG29">
        <v>1</v>
      </c>
      <c r="AH29">
        <v>12</v>
      </c>
      <c r="AI29">
        <v>2</v>
      </c>
      <c r="AJ29">
        <v>12</v>
      </c>
      <c r="AK29">
        <v>1</v>
      </c>
      <c r="AL29">
        <v>5</v>
      </c>
      <c r="AM29">
        <v>3</v>
      </c>
      <c r="AN29" s="54">
        <f>C29+E29+G29+I29+K29+M29+O29+Q29+S29</f>
        <v>19</v>
      </c>
      <c r="AO29" s="54">
        <f>U29+W29+Y29+AA29+AC29+AE29</f>
        <v>20</v>
      </c>
      <c r="AP29" s="54">
        <f t="shared" si="0"/>
        <v>4</v>
      </c>
      <c r="AQ29">
        <f t="shared" si="1"/>
        <v>23</v>
      </c>
    </row>
    <row r="30" spans="1:43">
      <c r="A30">
        <v>1.32</v>
      </c>
      <c r="B30">
        <v>10</v>
      </c>
      <c r="C30">
        <v>4</v>
      </c>
      <c r="D30">
        <v>11</v>
      </c>
      <c r="E30">
        <v>5</v>
      </c>
      <c r="F30">
        <v>1</v>
      </c>
      <c r="G30">
        <v>2</v>
      </c>
      <c r="H30">
        <v>5</v>
      </c>
      <c r="I30">
        <v>2</v>
      </c>
      <c r="J30">
        <v>2</v>
      </c>
      <c r="K30">
        <v>3</v>
      </c>
      <c r="L30">
        <v>10</v>
      </c>
      <c r="M30">
        <v>2</v>
      </c>
      <c r="N30">
        <v>3</v>
      </c>
      <c r="O30">
        <v>2</v>
      </c>
      <c r="P30">
        <v>4</v>
      </c>
      <c r="Q30">
        <v>1</v>
      </c>
      <c r="R30">
        <v>4</v>
      </c>
      <c r="S30">
        <v>1</v>
      </c>
      <c r="T30">
        <v>9</v>
      </c>
      <c r="U30">
        <v>2</v>
      </c>
      <c r="V30">
        <v>5</v>
      </c>
      <c r="W30">
        <v>2</v>
      </c>
      <c r="X30">
        <v>6</v>
      </c>
      <c r="Y30">
        <v>3</v>
      </c>
      <c r="Z30">
        <v>6</v>
      </c>
      <c r="AA30">
        <v>3</v>
      </c>
      <c r="AB30">
        <v>10</v>
      </c>
      <c r="AC30">
        <v>3</v>
      </c>
      <c r="AD30">
        <v>15</v>
      </c>
      <c r="AE30">
        <v>2</v>
      </c>
      <c r="AF30">
        <v>11</v>
      </c>
      <c r="AG30">
        <v>1</v>
      </c>
      <c r="AH30">
        <v>10</v>
      </c>
      <c r="AI30">
        <v>2</v>
      </c>
      <c r="AJ30">
        <v>12</v>
      </c>
      <c r="AK30">
        <v>1</v>
      </c>
      <c r="AL30">
        <v>7</v>
      </c>
      <c r="AM30">
        <v>2</v>
      </c>
      <c r="AN30" s="54">
        <f>C30+E30+G30+I30+K30+M30+O30+Q30+S30</f>
        <v>22</v>
      </c>
      <c r="AO30" s="54">
        <f>U30+W30+Y30+AA30+AC30+AE30</f>
        <v>15</v>
      </c>
      <c r="AP30" s="54">
        <f t="shared" si="0"/>
        <v>4</v>
      </c>
      <c r="AQ30">
        <f t="shared" si="1"/>
        <v>26</v>
      </c>
    </row>
    <row r="31" spans="1:43">
      <c r="A31">
        <v>0.92</v>
      </c>
      <c r="B31">
        <v>11</v>
      </c>
      <c r="C31">
        <v>4</v>
      </c>
      <c r="D31">
        <v>10</v>
      </c>
      <c r="E31">
        <v>4</v>
      </c>
      <c r="F31">
        <v>1</v>
      </c>
      <c r="G31">
        <v>2</v>
      </c>
      <c r="H31">
        <v>8</v>
      </c>
      <c r="I31">
        <v>4</v>
      </c>
      <c r="J31">
        <v>2</v>
      </c>
      <c r="K31">
        <v>3</v>
      </c>
      <c r="L31">
        <v>6</v>
      </c>
      <c r="M31">
        <v>3</v>
      </c>
      <c r="N31">
        <v>3</v>
      </c>
      <c r="O31">
        <v>3</v>
      </c>
      <c r="P31">
        <v>4</v>
      </c>
      <c r="Q31">
        <v>1</v>
      </c>
      <c r="R31">
        <v>4</v>
      </c>
      <c r="S31">
        <v>1</v>
      </c>
      <c r="T31">
        <v>6</v>
      </c>
      <c r="U31">
        <v>3</v>
      </c>
      <c r="V31">
        <v>9</v>
      </c>
      <c r="W31">
        <v>4</v>
      </c>
      <c r="X31">
        <v>8</v>
      </c>
      <c r="Y31">
        <v>3</v>
      </c>
      <c r="Z31">
        <v>10</v>
      </c>
      <c r="AA31">
        <v>4</v>
      </c>
      <c r="AB31">
        <v>14</v>
      </c>
      <c r="AC31">
        <v>4</v>
      </c>
      <c r="AD31">
        <v>22</v>
      </c>
      <c r="AE31">
        <v>3</v>
      </c>
      <c r="AF31">
        <v>10</v>
      </c>
      <c r="AG31">
        <v>2</v>
      </c>
      <c r="AH31">
        <v>11</v>
      </c>
      <c r="AI31">
        <v>2</v>
      </c>
      <c r="AJ31">
        <v>8</v>
      </c>
      <c r="AK31">
        <v>4</v>
      </c>
      <c r="AL31">
        <v>6</v>
      </c>
      <c r="AM31">
        <v>3</v>
      </c>
      <c r="AN31" s="54">
        <f>C31+E31+G31+I31+K31+M31+O31+Q31+S31</f>
        <v>25</v>
      </c>
      <c r="AO31" s="54">
        <f>U31+W31+Y31+AA31+AC31+AE31</f>
        <v>21</v>
      </c>
      <c r="AP31" s="54">
        <f t="shared" si="0"/>
        <v>8</v>
      </c>
      <c r="AQ31">
        <f t="shared" si="1"/>
        <v>33</v>
      </c>
    </row>
    <row r="32" spans="1:43">
      <c r="A32">
        <v>1.2</v>
      </c>
      <c r="B32">
        <v>12</v>
      </c>
      <c r="C32">
        <v>5</v>
      </c>
      <c r="D32">
        <v>11</v>
      </c>
      <c r="E32">
        <v>5</v>
      </c>
      <c r="F32">
        <v>1</v>
      </c>
      <c r="G32">
        <v>2</v>
      </c>
      <c r="H32">
        <v>5</v>
      </c>
      <c r="I32">
        <v>2</v>
      </c>
      <c r="J32">
        <v>1</v>
      </c>
      <c r="K32">
        <v>1</v>
      </c>
      <c r="L32">
        <v>7</v>
      </c>
      <c r="M32">
        <v>3</v>
      </c>
      <c r="N32">
        <v>3</v>
      </c>
      <c r="O32">
        <v>2</v>
      </c>
      <c r="P32">
        <v>3</v>
      </c>
      <c r="Q32">
        <v>3</v>
      </c>
      <c r="R32">
        <v>3</v>
      </c>
      <c r="S32">
        <v>3</v>
      </c>
      <c r="T32">
        <v>12</v>
      </c>
      <c r="U32">
        <v>1</v>
      </c>
      <c r="V32">
        <v>6</v>
      </c>
      <c r="W32">
        <v>3</v>
      </c>
      <c r="X32">
        <v>6</v>
      </c>
      <c r="Y32">
        <v>3</v>
      </c>
      <c r="Z32">
        <v>6</v>
      </c>
      <c r="AA32">
        <v>3</v>
      </c>
      <c r="AB32">
        <v>6</v>
      </c>
      <c r="AC32">
        <v>1</v>
      </c>
      <c r="AD32">
        <v>22</v>
      </c>
      <c r="AE32">
        <v>3</v>
      </c>
      <c r="AF32">
        <v>9</v>
      </c>
      <c r="AG32">
        <v>2</v>
      </c>
      <c r="AH32">
        <v>7</v>
      </c>
      <c r="AI32">
        <v>4</v>
      </c>
      <c r="AJ32">
        <v>11</v>
      </c>
      <c r="AK32">
        <v>2</v>
      </c>
      <c r="AL32">
        <v>6</v>
      </c>
      <c r="AM32">
        <v>3</v>
      </c>
      <c r="AN32" s="54">
        <f>C32+E32+G32+I32+K32+M32+O32+Q32+S32</f>
        <v>26</v>
      </c>
      <c r="AO32" s="54">
        <f>U32+W32+Y32+AA32+AC32+AE32</f>
        <v>14</v>
      </c>
      <c r="AP32" s="54">
        <f t="shared" si="0"/>
        <v>8</v>
      </c>
      <c r="AQ32">
        <f t="shared" si="1"/>
        <v>34</v>
      </c>
    </row>
    <row r="33" spans="1:43">
      <c r="A33">
        <v>0.76</v>
      </c>
      <c r="B33">
        <v>9</v>
      </c>
      <c r="C33">
        <v>3</v>
      </c>
      <c r="D33">
        <v>8</v>
      </c>
      <c r="E33">
        <v>3</v>
      </c>
      <c r="F33">
        <v>3</v>
      </c>
      <c r="G33">
        <v>4</v>
      </c>
      <c r="H33">
        <v>8</v>
      </c>
      <c r="I33">
        <v>4</v>
      </c>
      <c r="J33">
        <v>2</v>
      </c>
      <c r="K33">
        <v>3</v>
      </c>
      <c r="L33">
        <v>7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9</v>
      </c>
      <c r="U33">
        <v>2</v>
      </c>
      <c r="V33">
        <v>9</v>
      </c>
      <c r="W33">
        <v>4</v>
      </c>
      <c r="X33">
        <v>9</v>
      </c>
      <c r="Y33">
        <v>4</v>
      </c>
      <c r="Z33">
        <v>9</v>
      </c>
      <c r="AA33">
        <v>4</v>
      </c>
      <c r="AB33">
        <v>14</v>
      </c>
      <c r="AC33">
        <v>4</v>
      </c>
      <c r="AD33">
        <v>11</v>
      </c>
      <c r="AE33">
        <v>1</v>
      </c>
      <c r="AF33">
        <v>8</v>
      </c>
      <c r="AG33">
        <v>3</v>
      </c>
      <c r="AH33">
        <v>9</v>
      </c>
      <c r="AI33">
        <v>3</v>
      </c>
      <c r="AJ33">
        <v>10</v>
      </c>
      <c r="AK33">
        <v>2</v>
      </c>
      <c r="AL33">
        <v>6</v>
      </c>
      <c r="AM33">
        <v>3</v>
      </c>
      <c r="AN33" s="54">
        <f>C33+E33+G33+I33+K33+M33+O33+Q33+S33</f>
        <v>29</v>
      </c>
      <c r="AO33" s="54">
        <f>U33+W33+Y33+AA33+AC33+AE33</f>
        <v>19</v>
      </c>
      <c r="AP33" s="54">
        <f t="shared" si="0"/>
        <v>8</v>
      </c>
      <c r="AQ33">
        <f t="shared" si="1"/>
        <v>37</v>
      </c>
    </row>
    <row r="34" spans="1:43">
      <c r="A34">
        <v>1.35</v>
      </c>
      <c r="B34">
        <v>10</v>
      </c>
      <c r="C34">
        <v>4</v>
      </c>
      <c r="D34">
        <v>8</v>
      </c>
      <c r="E34">
        <v>3</v>
      </c>
      <c r="F34">
        <v>1</v>
      </c>
      <c r="G34">
        <v>2</v>
      </c>
      <c r="H34">
        <v>3</v>
      </c>
      <c r="I34">
        <v>1</v>
      </c>
      <c r="J34">
        <v>1</v>
      </c>
      <c r="K34">
        <v>2</v>
      </c>
      <c r="L34">
        <v>12</v>
      </c>
      <c r="M34">
        <v>1</v>
      </c>
      <c r="N34">
        <v>3</v>
      </c>
      <c r="O34">
        <v>3</v>
      </c>
      <c r="P34">
        <v>4</v>
      </c>
      <c r="Q34">
        <v>1</v>
      </c>
      <c r="R34">
        <v>4</v>
      </c>
      <c r="S34">
        <v>1</v>
      </c>
      <c r="T34">
        <v>11</v>
      </c>
      <c r="U34">
        <v>1</v>
      </c>
      <c r="V34">
        <v>3</v>
      </c>
      <c r="W34">
        <v>1</v>
      </c>
      <c r="X34">
        <v>5</v>
      </c>
      <c r="Y34">
        <v>3</v>
      </c>
      <c r="Z34">
        <v>4</v>
      </c>
      <c r="AA34">
        <v>2</v>
      </c>
      <c r="AB34">
        <v>6</v>
      </c>
      <c r="AC34">
        <v>1</v>
      </c>
      <c r="AD34">
        <v>13</v>
      </c>
      <c r="AE34">
        <v>2</v>
      </c>
      <c r="AF34">
        <v>10</v>
      </c>
      <c r="AG34">
        <v>2</v>
      </c>
      <c r="AH34">
        <v>10</v>
      </c>
      <c r="AI34">
        <v>1</v>
      </c>
      <c r="AJ34">
        <v>12</v>
      </c>
      <c r="AK34">
        <v>1</v>
      </c>
      <c r="AL34">
        <v>8</v>
      </c>
      <c r="AM34">
        <v>1</v>
      </c>
      <c r="AN34" s="54">
        <f>C34+E34+G34+I34+K34+M34+O34+Q34+S34</f>
        <v>18</v>
      </c>
      <c r="AO34" s="54">
        <f>U34+W34+Y34+AA34+AC34+AE34</f>
        <v>10</v>
      </c>
      <c r="AP34" s="54">
        <f t="shared" si="0"/>
        <v>4</v>
      </c>
      <c r="AQ34">
        <f t="shared" si="1"/>
        <v>22</v>
      </c>
    </row>
    <row r="35" spans="1:43">
      <c r="A35">
        <v>0.92</v>
      </c>
      <c r="B35">
        <v>5</v>
      </c>
      <c r="C35">
        <v>1</v>
      </c>
      <c r="D35">
        <v>8</v>
      </c>
      <c r="E35">
        <v>3</v>
      </c>
      <c r="F35">
        <v>2</v>
      </c>
      <c r="G35">
        <v>3</v>
      </c>
      <c r="H35">
        <v>4</v>
      </c>
      <c r="I35">
        <v>2</v>
      </c>
      <c r="J35">
        <v>1</v>
      </c>
      <c r="K35">
        <v>2</v>
      </c>
      <c r="L35">
        <v>9</v>
      </c>
      <c r="M35">
        <v>2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8</v>
      </c>
      <c r="U35">
        <v>2</v>
      </c>
      <c r="V35">
        <v>3</v>
      </c>
      <c r="W35">
        <v>1</v>
      </c>
      <c r="X35">
        <v>3</v>
      </c>
      <c r="Y35">
        <v>1</v>
      </c>
      <c r="Z35">
        <v>4</v>
      </c>
      <c r="AA35">
        <v>2</v>
      </c>
      <c r="AB35">
        <v>6</v>
      </c>
      <c r="AC35">
        <v>1</v>
      </c>
      <c r="AD35">
        <v>11</v>
      </c>
      <c r="AE35">
        <v>1</v>
      </c>
      <c r="AF35">
        <v>8</v>
      </c>
      <c r="AG35">
        <v>3</v>
      </c>
      <c r="AH35">
        <v>10</v>
      </c>
      <c r="AI35">
        <v>2</v>
      </c>
      <c r="AJ35">
        <v>8</v>
      </c>
      <c r="AK35">
        <v>4</v>
      </c>
      <c r="AL35">
        <v>5</v>
      </c>
      <c r="AM35">
        <v>3</v>
      </c>
      <c r="AN35" s="54">
        <f>C35+E35+G35+I35+K35+M35+O35+Q35+S35</f>
        <v>22</v>
      </c>
      <c r="AO35" s="54">
        <f>U35+W35+Y35+AA35+AC35+AE35</f>
        <v>8</v>
      </c>
      <c r="AP35" s="54">
        <f t="shared" si="0"/>
        <v>9</v>
      </c>
      <c r="AQ35">
        <f t="shared" si="1"/>
        <v>31</v>
      </c>
    </row>
    <row r="36" spans="1:43">
      <c r="A36" s="53">
        <v>1.81</v>
      </c>
      <c r="B36" s="53">
        <v>9</v>
      </c>
      <c r="C36" s="53">
        <v>3</v>
      </c>
      <c r="D36" s="53">
        <v>7</v>
      </c>
      <c r="E36" s="53">
        <v>3</v>
      </c>
      <c r="F36" s="53">
        <v>1</v>
      </c>
      <c r="G36" s="53">
        <v>2</v>
      </c>
      <c r="H36" s="53">
        <v>5</v>
      </c>
      <c r="I36" s="53">
        <v>2</v>
      </c>
      <c r="J36" s="53">
        <v>4</v>
      </c>
      <c r="K36" s="53">
        <v>5</v>
      </c>
      <c r="L36" s="53">
        <v>12</v>
      </c>
      <c r="M36" s="53">
        <v>1</v>
      </c>
      <c r="N36" s="53">
        <v>3</v>
      </c>
      <c r="O36" s="53">
        <v>3</v>
      </c>
      <c r="P36" s="53">
        <v>4</v>
      </c>
      <c r="Q36" s="53">
        <v>1</v>
      </c>
      <c r="R36" s="53">
        <v>4</v>
      </c>
      <c r="S36" s="53">
        <v>1</v>
      </c>
      <c r="T36" s="53">
        <v>10</v>
      </c>
      <c r="U36" s="53">
        <v>1</v>
      </c>
      <c r="V36" s="53">
        <v>6</v>
      </c>
      <c r="W36" s="53">
        <v>3</v>
      </c>
      <c r="X36" s="53">
        <v>9</v>
      </c>
      <c r="Y36" s="53">
        <v>4</v>
      </c>
      <c r="Z36" s="53">
        <v>8</v>
      </c>
      <c r="AA36" s="53">
        <v>4</v>
      </c>
      <c r="AB36" s="53">
        <v>6</v>
      </c>
      <c r="AC36" s="53">
        <v>1</v>
      </c>
      <c r="AD36" s="53">
        <v>15</v>
      </c>
      <c r="AE36" s="53">
        <v>2</v>
      </c>
      <c r="AF36" s="53">
        <v>12</v>
      </c>
      <c r="AG36" s="53">
        <v>1</v>
      </c>
      <c r="AH36" s="53">
        <v>12</v>
      </c>
      <c r="AI36" s="53">
        <v>1</v>
      </c>
      <c r="AJ36" s="53">
        <v>12</v>
      </c>
      <c r="AK36" s="53">
        <v>1</v>
      </c>
      <c r="AL36" s="53">
        <v>8</v>
      </c>
      <c r="AM36" s="53">
        <v>1</v>
      </c>
      <c r="AN36" s="54">
        <f>C36+E36+G36+I36+K36+M36+O36+Q36+S36</f>
        <v>21</v>
      </c>
      <c r="AO36" s="54">
        <f>U36+W36+Y36+AA36+AC36+AE36</f>
        <v>15</v>
      </c>
      <c r="AP36" s="54">
        <f t="shared" si="0"/>
        <v>3</v>
      </c>
      <c r="AQ36">
        <f t="shared" si="1"/>
        <v>24</v>
      </c>
    </row>
    <row r="37" spans="1:43">
      <c r="A37">
        <v>0.65</v>
      </c>
      <c r="B37">
        <v>8</v>
      </c>
      <c r="C37">
        <v>3</v>
      </c>
      <c r="D37">
        <v>10</v>
      </c>
      <c r="E37">
        <v>4</v>
      </c>
      <c r="F37">
        <v>2</v>
      </c>
      <c r="G37">
        <v>3</v>
      </c>
      <c r="H37">
        <v>7</v>
      </c>
      <c r="I37">
        <v>3</v>
      </c>
      <c r="J37">
        <v>1</v>
      </c>
      <c r="K37">
        <v>2</v>
      </c>
      <c r="L37">
        <v>9</v>
      </c>
      <c r="M37">
        <v>2</v>
      </c>
      <c r="N37">
        <v>3</v>
      </c>
      <c r="O37">
        <v>2</v>
      </c>
      <c r="P37">
        <v>4</v>
      </c>
      <c r="Q37">
        <v>1</v>
      </c>
      <c r="R37">
        <v>4</v>
      </c>
      <c r="S37">
        <v>1</v>
      </c>
      <c r="T37">
        <v>6</v>
      </c>
      <c r="U37">
        <v>3</v>
      </c>
      <c r="V37">
        <v>5</v>
      </c>
      <c r="W37">
        <v>2</v>
      </c>
      <c r="X37">
        <v>4</v>
      </c>
      <c r="Y37">
        <v>2</v>
      </c>
      <c r="Z37">
        <v>3</v>
      </c>
      <c r="AA37">
        <v>1</v>
      </c>
      <c r="AB37">
        <v>6</v>
      </c>
      <c r="AC37">
        <v>1</v>
      </c>
      <c r="AD37">
        <v>15</v>
      </c>
      <c r="AE37">
        <v>2</v>
      </c>
      <c r="AF37">
        <v>9</v>
      </c>
      <c r="AG37">
        <v>2</v>
      </c>
      <c r="AH37">
        <v>9</v>
      </c>
      <c r="AI37">
        <v>3</v>
      </c>
      <c r="AJ37">
        <v>11</v>
      </c>
      <c r="AK37">
        <v>2</v>
      </c>
      <c r="AL37">
        <v>6</v>
      </c>
      <c r="AM37">
        <v>3</v>
      </c>
      <c r="AN37" s="54">
        <f>C37+E37+G37+I37+K37+M37+O37+Q37+S37</f>
        <v>21</v>
      </c>
      <c r="AO37" s="54">
        <f>U37+W37+Y37+AA37+AC37+AE37</f>
        <v>11</v>
      </c>
      <c r="AP37" s="54">
        <f t="shared" si="0"/>
        <v>7</v>
      </c>
      <c r="AQ37">
        <f t="shared" si="1"/>
        <v>28</v>
      </c>
    </row>
    <row r="38" spans="1:43">
      <c r="A38">
        <v>1.01</v>
      </c>
      <c r="B38">
        <v>11</v>
      </c>
      <c r="C38">
        <v>4</v>
      </c>
      <c r="D38">
        <v>7</v>
      </c>
      <c r="E38">
        <v>3</v>
      </c>
      <c r="F38">
        <v>2</v>
      </c>
      <c r="G38">
        <v>3</v>
      </c>
      <c r="H38">
        <v>7</v>
      </c>
      <c r="I38">
        <v>3</v>
      </c>
      <c r="J38">
        <v>2</v>
      </c>
      <c r="K38">
        <v>3</v>
      </c>
      <c r="L38">
        <v>9</v>
      </c>
      <c r="M38">
        <v>2</v>
      </c>
      <c r="N38">
        <v>3</v>
      </c>
      <c r="O38">
        <v>4</v>
      </c>
      <c r="P38">
        <v>3</v>
      </c>
      <c r="Q38">
        <v>3</v>
      </c>
      <c r="R38">
        <v>3</v>
      </c>
      <c r="S38">
        <v>3</v>
      </c>
      <c r="T38">
        <v>6</v>
      </c>
      <c r="U38">
        <v>3</v>
      </c>
      <c r="V38">
        <v>5</v>
      </c>
      <c r="W38">
        <v>2</v>
      </c>
      <c r="X38">
        <v>10</v>
      </c>
      <c r="Y38">
        <v>4</v>
      </c>
      <c r="Z38">
        <v>8</v>
      </c>
      <c r="AA38">
        <v>4</v>
      </c>
      <c r="AB38">
        <v>14</v>
      </c>
      <c r="AC38">
        <v>4</v>
      </c>
      <c r="AD38">
        <v>24</v>
      </c>
      <c r="AE38">
        <v>4</v>
      </c>
      <c r="AF38">
        <v>6</v>
      </c>
      <c r="AG38">
        <v>3</v>
      </c>
      <c r="AH38">
        <v>6</v>
      </c>
      <c r="AI38">
        <v>4</v>
      </c>
      <c r="AJ38">
        <v>6</v>
      </c>
      <c r="AK38">
        <v>5</v>
      </c>
      <c r="AL38">
        <v>5</v>
      </c>
      <c r="AM38">
        <v>3</v>
      </c>
      <c r="AN38" s="54">
        <f>C38+E38+G38+I38+K38+M38+O38+Q38+S38</f>
        <v>28</v>
      </c>
      <c r="AO38" s="54">
        <f>U38+W38+Y38+AA38+AC38+AE38</f>
        <v>21</v>
      </c>
      <c r="AP38" s="54">
        <f t="shared" si="0"/>
        <v>12</v>
      </c>
      <c r="AQ38">
        <f t="shared" si="1"/>
        <v>40</v>
      </c>
    </row>
    <row r="39" spans="1:43">
      <c r="A39" s="54">
        <v>0.76</v>
      </c>
      <c r="B39" s="54">
        <v>10</v>
      </c>
      <c r="C39" s="54">
        <v>4</v>
      </c>
      <c r="D39" s="54">
        <v>9</v>
      </c>
      <c r="E39" s="54">
        <v>3</v>
      </c>
      <c r="F39" s="54">
        <v>2</v>
      </c>
      <c r="G39" s="54">
        <v>3</v>
      </c>
      <c r="H39" s="54">
        <v>6</v>
      </c>
      <c r="I39" s="54">
        <v>3</v>
      </c>
      <c r="J39" s="54">
        <v>2</v>
      </c>
      <c r="K39" s="54">
        <v>3</v>
      </c>
      <c r="L39" s="54">
        <v>9</v>
      </c>
      <c r="M39" s="54">
        <v>2</v>
      </c>
      <c r="N39" s="54">
        <v>3</v>
      </c>
      <c r="O39" s="54">
        <v>3</v>
      </c>
      <c r="P39" s="54">
        <v>3</v>
      </c>
      <c r="Q39" s="54">
        <v>3</v>
      </c>
      <c r="R39" s="54">
        <v>3</v>
      </c>
      <c r="S39" s="54">
        <v>3</v>
      </c>
      <c r="T39" s="54">
        <v>6</v>
      </c>
      <c r="U39" s="54">
        <v>3</v>
      </c>
      <c r="V39" s="54">
        <v>9</v>
      </c>
      <c r="W39" s="54">
        <v>4</v>
      </c>
      <c r="X39" s="54">
        <v>9</v>
      </c>
      <c r="Y39" s="54">
        <v>4</v>
      </c>
      <c r="Z39" s="54">
        <v>9</v>
      </c>
      <c r="AA39" s="54">
        <v>4</v>
      </c>
      <c r="AB39" s="54">
        <v>24</v>
      </c>
      <c r="AC39" s="54">
        <v>5</v>
      </c>
      <c r="AD39" s="54">
        <v>43</v>
      </c>
      <c r="AE39" s="54">
        <v>5</v>
      </c>
      <c r="AF39" s="54">
        <v>6</v>
      </c>
      <c r="AG39" s="54">
        <v>4</v>
      </c>
      <c r="AH39" s="54">
        <v>6</v>
      </c>
      <c r="AI39" s="54">
        <v>4</v>
      </c>
      <c r="AJ39" s="54">
        <v>6</v>
      </c>
      <c r="AK39" s="54">
        <v>5</v>
      </c>
      <c r="AL39" s="54">
        <v>6</v>
      </c>
      <c r="AM39" s="54">
        <v>3</v>
      </c>
      <c r="AN39" s="54">
        <f>C39+E39+G39+I39+K39+M39+O39+Q39+S39</f>
        <v>27</v>
      </c>
      <c r="AO39" s="54">
        <f>U39+W39+Y39+AA39+AC39+AE39</f>
        <v>25</v>
      </c>
      <c r="AP39" s="54">
        <f t="shared" si="0"/>
        <v>13</v>
      </c>
      <c r="AQ39">
        <f t="shared" si="1"/>
        <v>40</v>
      </c>
    </row>
    <row r="40" spans="1:43">
      <c r="B40">
        <f>CORREL($A$3:$A$39,B3:B39)</f>
        <v>8.5230699627340936E-2</v>
      </c>
      <c r="C40" s="35">
        <f t="shared" ref="C40:F40" si="2">CORREL($A$3:$A$39,C3:C39)</f>
        <v>0.10395221662165592</v>
      </c>
      <c r="D40">
        <f t="shared" si="2"/>
        <v>-0.13910695537313372</v>
      </c>
      <c r="E40">
        <f t="shared" si="2"/>
        <v>-0.11939867341279865</v>
      </c>
      <c r="F40">
        <f t="shared" si="2"/>
        <v>-0.20827381909263282</v>
      </c>
      <c r="G40">
        <f t="shared" ref="G40" si="3">CORREL($A$3:$A$39,G3:G39)</f>
        <v>-0.20827381909263282</v>
      </c>
      <c r="H40">
        <f t="shared" ref="H40" si="4">CORREL($A$3:$A$39,H3:H39)</f>
        <v>-6.7202773747307695E-2</v>
      </c>
      <c r="I40">
        <f t="shared" ref="I40" si="5">CORREL($A$3:$A$39,I3:I39)</f>
        <v>-5.1069660870001289E-2</v>
      </c>
      <c r="J40">
        <f t="shared" ref="J40" si="6">CORREL($A$3:$A$39,J3:J39)</f>
        <v>-4.5469450697980654E-2</v>
      </c>
      <c r="K40">
        <f t="shared" ref="K40" si="7">CORREL($A$3:$A$39,K3:K39)</f>
        <v>-3.354954026247E-2</v>
      </c>
      <c r="L40" s="35">
        <f t="shared" ref="L40" si="8">CORREL($A$3:$A$39,L3:L39)</f>
        <v>0.12518749473652641</v>
      </c>
      <c r="M40">
        <f t="shared" ref="M40" si="9">CORREL($A$3:$A$39,M3:M39)</f>
        <v>-8.3453637408953146E-2</v>
      </c>
      <c r="N40">
        <v>3</v>
      </c>
      <c r="O40">
        <f t="shared" ref="O40" si="10">CORREL($A$3:$A$39,O3:O39)</f>
        <v>3.6038146037817478E-2</v>
      </c>
      <c r="P40" s="35">
        <f t="shared" ref="P40" si="11">CORREL($A$3:$A$39,P3:P39)</f>
        <v>0.15523964073045007</v>
      </c>
      <c r="Q40">
        <f t="shared" ref="Q40" si="12">CORREL($A$3:$A$39,Q3:Q39)</f>
        <v>-0.10874794229080911</v>
      </c>
      <c r="R40" s="35">
        <f t="shared" ref="R40" si="13">CORREL($A$3:$A$39,R3:R39)</f>
        <v>0.10265411419411265</v>
      </c>
      <c r="S40">
        <f t="shared" ref="S40" si="14">CORREL($A$3:$A$39,S3:S39)</f>
        <v>-4.3085867498130828E-2</v>
      </c>
      <c r="T40">
        <f t="shared" ref="T40" si="15">CORREL($A$3:$A$39,T3:T39)</f>
        <v>7.6633450128272499E-3</v>
      </c>
      <c r="U40">
        <f t="shared" ref="U40" si="16">CORREL($A$3:$A$39,U3:U39)</f>
        <v>2.4659589088863149E-2</v>
      </c>
      <c r="V40">
        <f t="shared" ref="V40" si="17">CORREL($A$3:$A$39,V3:V39)</f>
        <v>-0.14177213979193506</v>
      </c>
      <c r="W40">
        <f t="shared" ref="W40" si="18">CORREL($A$3:$A$39,W3:W39)</f>
        <v>-0.14204521891999194</v>
      </c>
      <c r="X40">
        <f t="shared" ref="X40" si="19">CORREL($A$3:$A$39,X3:X39)</f>
        <v>5.0438630863003861E-2</v>
      </c>
      <c r="Y40">
        <f t="shared" ref="Y40" si="20">CORREL($A$3:$A$39,Y3:Y39)</f>
        <v>2.2638727345375712E-2</v>
      </c>
      <c r="Z40">
        <f t="shared" ref="Z40" si="21">CORREL($A$3:$A$39,Z3:Z39)</f>
        <v>-8.7573427698341408E-2</v>
      </c>
      <c r="AA40">
        <f t="shared" ref="AA40" si="22">CORREL($A$3:$A$39,AA3:AA39)</f>
        <v>-5.7988496892507572E-3</v>
      </c>
      <c r="AB40">
        <f t="shared" ref="AB40" si="23">CORREL($A$3:$A$39,AB3:AB39)</f>
        <v>-0.22065996704539576</v>
      </c>
      <c r="AC40">
        <f t="shared" ref="AC40" si="24">CORREL($A$3:$A$39,AC3:AC39)</f>
        <v>-0.14073902816593481</v>
      </c>
      <c r="AD40">
        <f t="shared" ref="AD40" si="25">CORREL($A$3:$A$39,AD3:AD39)</f>
        <v>-3.402364617456706E-2</v>
      </c>
      <c r="AE40">
        <f t="shared" ref="AE40" si="26">CORREL($A$3:$A$39,AE3:AE39)</f>
        <v>5.954922562863515E-3</v>
      </c>
      <c r="AF40" s="35">
        <f t="shared" ref="AF40" si="27">CORREL($A$3:$A$39,AF3:AF39)</f>
        <v>0.15281402543079686</v>
      </c>
      <c r="AG40">
        <f t="shared" ref="AG40" si="28">CORREL($A$3:$A$39,AG3:AG39)</f>
        <v>-0.13385180891195281</v>
      </c>
      <c r="AH40">
        <f t="shared" ref="AH40" si="29">CORREL($A$3:$A$39,AH3:AH39)</f>
        <v>-3.5065801326056071E-3</v>
      </c>
      <c r="AI40">
        <f t="shared" ref="AI40" si="30">CORREL($A$3:$A$39,AI3:AI39)</f>
        <v>-1.3607970036678428E-2</v>
      </c>
      <c r="AJ40">
        <f t="shared" ref="AJ40" si="31">CORREL($A$3:$A$39,AJ3:AJ39)</f>
        <v>1.6938666411163733E-2</v>
      </c>
      <c r="AK40">
        <f t="shared" ref="AK40" si="32">CORREL($A$3:$A$39,AK3:AK39)</f>
        <v>2.5250824114753665E-4</v>
      </c>
      <c r="AL40" s="35">
        <f t="shared" ref="AL40" si="33">CORREL($A$3:$A$39,AL3:AL39)</f>
        <v>0.13231749653827218</v>
      </c>
      <c r="AM40">
        <f t="shared" ref="AM40" si="34">CORREL($A$3:$A$39,AM3:AM39)</f>
        <v>-0.13568270097849219</v>
      </c>
    </row>
    <row r="45" spans="1:43" ht="14">
      <c r="B45" s="52" t="s">
        <v>62</v>
      </c>
      <c r="E45" t="s">
        <v>66</v>
      </c>
      <c r="H45" t="s">
        <v>68</v>
      </c>
      <c r="K45" t="s">
        <v>69</v>
      </c>
      <c r="N45" t="s">
        <v>76</v>
      </c>
      <c r="Q45" t="s">
        <v>79</v>
      </c>
    </row>
    <row r="46" spans="1:43">
      <c r="A46">
        <v>85</v>
      </c>
      <c r="B46">
        <v>5</v>
      </c>
      <c r="D46">
        <v>85</v>
      </c>
      <c r="E46">
        <v>8</v>
      </c>
      <c r="G46">
        <v>85</v>
      </c>
      <c r="H46">
        <v>3</v>
      </c>
      <c r="J46">
        <v>85</v>
      </c>
      <c r="K46">
        <v>3</v>
      </c>
      <c r="M46">
        <v>85</v>
      </c>
      <c r="N46">
        <v>6</v>
      </c>
      <c r="P46">
        <v>85</v>
      </c>
      <c r="Q46">
        <v>4</v>
      </c>
    </row>
    <row r="47" spans="1:43">
      <c r="A47">
        <v>28</v>
      </c>
      <c r="B47">
        <v>3</v>
      </c>
      <c r="D47">
        <v>28</v>
      </c>
      <c r="E47">
        <v>11</v>
      </c>
      <c r="G47">
        <v>28</v>
      </c>
      <c r="H47">
        <v>4</v>
      </c>
      <c r="J47">
        <v>28</v>
      </c>
      <c r="K47">
        <v>4</v>
      </c>
      <c r="M47">
        <v>28</v>
      </c>
      <c r="N47">
        <v>8</v>
      </c>
      <c r="P47">
        <v>28</v>
      </c>
      <c r="Q47">
        <v>6</v>
      </c>
    </row>
    <row r="48" spans="1:43">
      <c r="A48">
        <v>62</v>
      </c>
      <c r="B48">
        <v>3</v>
      </c>
      <c r="D48">
        <v>62</v>
      </c>
      <c r="E48">
        <v>10</v>
      </c>
      <c r="G48">
        <v>62</v>
      </c>
      <c r="H48">
        <v>3</v>
      </c>
      <c r="J48">
        <v>62</v>
      </c>
      <c r="K48">
        <v>3</v>
      </c>
      <c r="M48">
        <v>62</v>
      </c>
      <c r="N48">
        <v>8</v>
      </c>
      <c r="P48">
        <v>62</v>
      </c>
      <c r="Q48">
        <v>6</v>
      </c>
    </row>
    <row r="49" spans="1:17">
      <c r="A49">
        <v>23</v>
      </c>
      <c r="B49">
        <v>3</v>
      </c>
      <c r="D49">
        <v>23</v>
      </c>
      <c r="E49">
        <v>4</v>
      </c>
      <c r="G49">
        <v>23</v>
      </c>
      <c r="H49">
        <v>2</v>
      </c>
      <c r="J49">
        <v>23</v>
      </c>
      <c r="K49">
        <v>2</v>
      </c>
      <c r="M49">
        <v>23</v>
      </c>
      <c r="N49">
        <v>5</v>
      </c>
      <c r="P49">
        <v>23</v>
      </c>
      <c r="Q49">
        <v>5</v>
      </c>
    </row>
    <row r="50" spans="1:17">
      <c r="A50">
        <v>29</v>
      </c>
      <c r="B50">
        <v>3</v>
      </c>
      <c r="D50">
        <v>29</v>
      </c>
      <c r="E50">
        <v>8</v>
      </c>
      <c r="G50">
        <v>29</v>
      </c>
      <c r="H50">
        <v>3</v>
      </c>
      <c r="J50">
        <v>29</v>
      </c>
      <c r="K50">
        <v>3</v>
      </c>
      <c r="M50">
        <v>29</v>
      </c>
      <c r="N50">
        <v>5</v>
      </c>
      <c r="P50">
        <v>29</v>
      </c>
      <c r="Q50">
        <v>6</v>
      </c>
    </row>
    <row r="51" spans="1:17">
      <c r="A51">
        <v>52</v>
      </c>
      <c r="B51">
        <v>1</v>
      </c>
      <c r="D51">
        <v>52</v>
      </c>
      <c r="E51">
        <v>12</v>
      </c>
      <c r="G51">
        <v>52</v>
      </c>
      <c r="H51">
        <v>4</v>
      </c>
      <c r="J51">
        <v>52</v>
      </c>
      <c r="K51">
        <v>4</v>
      </c>
      <c r="M51">
        <v>52</v>
      </c>
      <c r="N51">
        <v>9</v>
      </c>
      <c r="P51">
        <v>52</v>
      </c>
      <c r="Q51">
        <v>8</v>
      </c>
    </row>
    <row r="52" spans="1:17">
      <c r="A52">
        <v>36</v>
      </c>
      <c r="B52">
        <v>3</v>
      </c>
      <c r="D52">
        <v>36</v>
      </c>
      <c r="E52">
        <v>12</v>
      </c>
      <c r="G52">
        <v>36</v>
      </c>
      <c r="H52">
        <v>4</v>
      </c>
      <c r="J52">
        <v>36</v>
      </c>
      <c r="K52">
        <v>3</v>
      </c>
      <c r="M52">
        <v>36</v>
      </c>
      <c r="N52">
        <v>9</v>
      </c>
      <c r="P52">
        <v>36</v>
      </c>
      <c r="Q52">
        <v>8</v>
      </c>
    </row>
    <row r="53" spans="1:17">
      <c r="A53">
        <v>46</v>
      </c>
      <c r="B53">
        <v>3</v>
      </c>
      <c r="D53">
        <v>46</v>
      </c>
      <c r="E53">
        <v>9</v>
      </c>
      <c r="G53">
        <v>46</v>
      </c>
      <c r="H53">
        <v>3</v>
      </c>
      <c r="J53">
        <v>46</v>
      </c>
      <c r="K53">
        <v>3</v>
      </c>
      <c r="M53">
        <v>46</v>
      </c>
      <c r="N53">
        <v>9</v>
      </c>
      <c r="P53">
        <v>46</v>
      </c>
      <c r="Q53">
        <v>6</v>
      </c>
    </row>
    <row r="54" spans="1:17">
      <c r="A54">
        <v>32</v>
      </c>
      <c r="B54">
        <v>5</v>
      </c>
      <c r="D54">
        <v>32</v>
      </c>
      <c r="E54">
        <v>9</v>
      </c>
      <c r="G54">
        <v>32</v>
      </c>
      <c r="H54">
        <v>3</v>
      </c>
      <c r="J54">
        <v>32</v>
      </c>
      <c r="K54">
        <v>4</v>
      </c>
      <c r="M54">
        <v>32</v>
      </c>
      <c r="N54">
        <v>7</v>
      </c>
      <c r="P54">
        <v>32</v>
      </c>
      <c r="Q54">
        <v>6</v>
      </c>
    </row>
    <row r="55" spans="1:17">
      <c r="A55">
        <v>51</v>
      </c>
      <c r="B55">
        <v>5</v>
      </c>
      <c r="D55">
        <v>51</v>
      </c>
      <c r="E55">
        <v>8</v>
      </c>
      <c r="G55">
        <v>51</v>
      </c>
      <c r="H55">
        <v>3</v>
      </c>
      <c r="J55">
        <v>51</v>
      </c>
      <c r="K55">
        <v>3</v>
      </c>
      <c r="M55">
        <v>51</v>
      </c>
      <c r="N55">
        <v>10</v>
      </c>
      <c r="P55">
        <v>51</v>
      </c>
      <c r="Q55">
        <v>6</v>
      </c>
    </row>
    <row r="56" spans="1:17">
      <c r="A56">
        <v>71</v>
      </c>
      <c r="B56">
        <v>4</v>
      </c>
      <c r="D56">
        <v>71</v>
      </c>
      <c r="E56">
        <v>11</v>
      </c>
      <c r="G56">
        <v>71</v>
      </c>
      <c r="H56">
        <v>3</v>
      </c>
      <c r="J56">
        <v>71</v>
      </c>
      <c r="K56">
        <v>3</v>
      </c>
      <c r="M56">
        <v>71</v>
      </c>
      <c r="N56">
        <v>12</v>
      </c>
      <c r="P56">
        <v>71</v>
      </c>
      <c r="Q56">
        <v>6</v>
      </c>
    </row>
    <row r="57" spans="1:17">
      <c r="A57">
        <v>24</v>
      </c>
      <c r="B57">
        <v>3</v>
      </c>
      <c r="D57">
        <v>24</v>
      </c>
      <c r="E57">
        <v>12</v>
      </c>
      <c r="G57">
        <v>24</v>
      </c>
      <c r="H57">
        <v>3</v>
      </c>
      <c r="J57">
        <v>24</v>
      </c>
      <c r="K57">
        <v>4</v>
      </c>
      <c r="M57">
        <v>24</v>
      </c>
      <c r="N57">
        <v>7</v>
      </c>
      <c r="P57">
        <v>24</v>
      </c>
      <c r="Q57">
        <v>6</v>
      </c>
    </row>
    <row r="58" spans="1:17">
      <c r="A58">
        <v>63</v>
      </c>
      <c r="B58">
        <v>2</v>
      </c>
      <c r="D58">
        <v>63</v>
      </c>
      <c r="E58">
        <v>10</v>
      </c>
      <c r="G58">
        <v>63</v>
      </c>
      <c r="H58">
        <v>3</v>
      </c>
      <c r="J58">
        <v>63</v>
      </c>
      <c r="K58">
        <v>4</v>
      </c>
      <c r="M58">
        <v>63</v>
      </c>
      <c r="N58">
        <v>9</v>
      </c>
      <c r="P58">
        <v>63</v>
      </c>
      <c r="Q58">
        <v>7</v>
      </c>
    </row>
    <row r="59" spans="1:17">
      <c r="A59">
        <v>68</v>
      </c>
      <c r="B59">
        <v>4</v>
      </c>
      <c r="D59">
        <v>68</v>
      </c>
      <c r="E59">
        <v>11</v>
      </c>
      <c r="G59">
        <v>68</v>
      </c>
      <c r="H59">
        <v>3</v>
      </c>
      <c r="J59">
        <v>68</v>
      </c>
      <c r="K59">
        <v>3</v>
      </c>
      <c r="M59">
        <v>68</v>
      </c>
      <c r="N59">
        <v>6</v>
      </c>
      <c r="P59">
        <v>68</v>
      </c>
      <c r="Q59">
        <v>6</v>
      </c>
    </row>
    <row r="60" spans="1:17">
      <c r="A60">
        <v>50</v>
      </c>
      <c r="B60">
        <v>3</v>
      </c>
      <c r="D60">
        <v>50</v>
      </c>
      <c r="E60">
        <v>8</v>
      </c>
      <c r="G60">
        <v>50</v>
      </c>
      <c r="H60">
        <v>3</v>
      </c>
      <c r="J60">
        <v>50</v>
      </c>
      <c r="K60">
        <v>3</v>
      </c>
      <c r="M60">
        <v>50</v>
      </c>
      <c r="N60">
        <v>8</v>
      </c>
      <c r="P60">
        <v>50</v>
      </c>
      <c r="Q60">
        <v>6</v>
      </c>
    </row>
    <row r="61" spans="1:17">
      <c r="A61">
        <v>67</v>
      </c>
      <c r="B61">
        <v>3</v>
      </c>
      <c r="D61">
        <v>67</v>
      </c>
      <c r="E61">
        <v>8</v>
      </c>
      <c r="G61">
        <v>67</v>
      </c>
      <c r="H61">
        <v>3</v>
      </c>
      <c r="J61">
        <v>67</v>
      </c>
      <c r="K61">
        <v>3</v>
      </c>
      <c r="M61">
        <v>67</v>
      </c>
      <c r="N61">
        <v>6</v>
      </c>
      <c r="P61">
        <v>67</v>
      </c>
      <c r="Q61">
        <v>6</v>
      </c>
    </row>
    <row r="62" spans="1:17">
      <c r="A62">
        <v>51</v>
      </c>
      <c r="B62">
        <v>3</v>
      </c>
      <c r="D62">
        <v>51</v>
      </c>
      <c r="E62">
        <v>11</v>
      </c>
      <c r="G62">
        <v>51</v>
      </c>
      <c r="H62">
        <v>3</v>
      </c>
      <c r="J62">
        <v>51</v>
      </c>
      <c r="K62">
        <v>4</v>
      </c>
      <c r="M62">
        <v>51</v>
      </c>
      <c r="N62">
        <v>11</v>
      </c>
      <c r="P62">
        <v>51</v>
      </c>
      <c r="Q62">
        <v>8</v>
      </c>
    </row>
    <row r="63" spans="1:17">
      <c r="A63">
        <v>65</v>
      </c>
      <c r="B63">
        <v>3</v>
      </c>
      <c r="D63">
        <v>65</v>
      </c>
      <c r="E63">
        <v>7</v>
      </c>
      <c r="G63">
        <v>65</v>
      </c>
      <c r="H63">
        <v>4</v>
      </c>
      <c r="J63">
        <v>65</v>
      </c>
      <c r="K63">
        <v>4</v>
      </c>
      <c r="M63">
        <v>65</v>
      </c>
      <c r="N63">
        <v>11</v>
      </c>
      <c r="P63">
        <v>65</v>
      </c>
      <c r="Q63">
        <v>7</v>
      </c>
    </row>
    <row r="64" spans="1:17">
      <c r="A64">
        <v>58</v>
      </c>
      <c r="B64">
        <v>3</v>
      </c>
      <c r="D64">
        <v>58</v>
      </c>
      <c r="E64">
        <v>9</v>
      </c>
      <c r="G64">
        <v>58</v>
      </c>
      <c r="H64">
        <v>3</v>
      </c>
      <c r="J64">
        <v>58</v>
      </c>
      <c r="K64">
        <v>3</v>
      </c>
      <c r="M64">
        <v>58</v>
      </c>
      <c r="N64">
        <v>8</v>
      </c>
      <c r="P64">
        <v>58</v>
      </c>
      <c r="Q64">
        <v>7</v>
      </c>
    </row>
    <row r="65" spans="1:17">
      <c r="A65">
        <v>51</v>
      </c>
      <c r="B65">
        <v>3</v>
      </c>
      <c r="D65">
        <v>51</v>
      </c>
      <c r="E65">
        <v>9</v>
      </c>
      <c r="G65">
        <v>51</v>
      </c>
      <c r="H65">
        <v>3</v>
      </c>
      <c r="J65">
        <v>51</v>
      </c>
      <c r="K65">
        <v>3</v>
      </c>
      <c r="M65">
        <v>51</v>
      </c>
      <c r="N65">
        <v>7</v>
      </c>
      <c r="P65">
        <v>51</v>
      </c>
      <c r="Q65">
        <v>8</v>
      </c>
    </row>
    <row r="66" spans="1:17">
      <c r="A66">
        <v>29</v>
      </c>
      <c r="B66">
        <v>5</v>
      </c>
      <c r="D66">
        <v>29</v>
      </c>
      <c r="E66">
        <v>10</v>
      </c>
      <c r="G66">
        <v>29</v>
      </c>
      <c r="H66">
        <v>2</v>
      </c>
      <c r="J66">
        <v>29</v>
      </c>
      <c r="K66">
        <v>3</v>
      </c>
      <c r="M66">
        <v>29</v>
      </c>
      <c r="N66">
        <v>12</v>
      </c>
      <c r="P66">
        <v>29</v>
      </c>
      <c r="Q66">
        <v>5</v>
      </c>
    </row>
    <row r="67" spans="1:17">
      <c r="A67">
        <v>32</v>
      </c>
      <c r="B67">
        <v>4</v>
      </c>
      <c r="D67">
        <v>32</v>
      </c>
      <c r="E67">
        <v>4</v>
      </c>
      <c r="G67">
        <v>32</v>
      </c>
      <c r="H67">
        <v>1</v>
      </c>
      <c r="J67">
        <v>32</v>
      </c>
      <c r="K67">
        <v>1</v>
      </c>
      <c r="M67">
        <v>32</v>
      </c>
      <c r="N67">
        <v>3</v>
      </c>
      <c r="P67">
        <v>32</v>
      </c>
      <c r="Q67">
        <v>6</v>
      </c>
    </row>
    <row r="68" spans="1:17">
      <c r="A68">
        <v>55</v>
      </c>
      <c r="B68">
        <v>3</v>
      </c>
      <c r="D68">
        <v>55</v>
      </c>
      <c r="E68">
        <v>9</v>
      </c>
      <c r="G68">
        <v>55</v>
      </c>
      <c r="H68">
        <v>1</v>
      </c>
      <c r="J68">
        <v>55</v>
      </c>
      <c r="K68">
        <v>3</v>
      </c>
      <c r="M68">
        <v>55</v>
      </c>
      <c r="N68">
        <v>8</v>
      </c>
      <c r="P68">
        <v>55</v>
      </c>
      <c r="Q68">
        <v>6</v>
      </c>
    </row>
    <row r="69" spans="1:17">
      <c r="A69">
        <v>49</v>
      </c>
      <c r="B69">
        <v>5</v>
      </c>
      <c r="D69">
        <v>49</v>
      </c>
      <c r="E69">
        <v>9</v>
      </c>
      <c r="G69">
        <v>49</v>
      </c>
      <c r="H69">
        <v>3</v>
      </c>
      <c r="J69">
        <v>49</v>
      </c>
      <c r="K69">
        <v>3</v>
      </c>
      <c r="M69">
        <v>49</v>
      </c>
      <c r="N69">
        <v>11</v>
      </c>
      <c r="P69">
        <v>49</v>
      </c>
      <c r="Q69">
        <v>6</v>
      </c>
    </row>
    <row r="70" spans="1:17">
      <c r="A70">
        <v>42</v>
      </c>
      <c r="B70">
        <v>3</v>
      </c>
      <c r="D70">
        <v>42</v>
      </c>
      <c r="E70">
        <v>10</v>
      </c>
      <c r="G70">
        <v>42</v>
      </c>
      <c r="H70">
        <v>1</v>
      </c>
      <c r="J70">
        <v>42</v>
      </c>
      <c r="K70">
        <v>3</v>
      </c>
      <c r="M70">
        <v>42</v>
      </c>
      <c r="N70">
        <v>6</v>
      </c>
      <c r="P70">
        <v>42</v>
      </c>
      <c r="Q70">
        <v>6</v>
      </c>
    </row>
    <row r="71" spans="1:17">
      <c r="A71">
        <v>41</v>
      </c>
      <c r="B71">
        <v>4</v>
      </c>
      <c r="D71">
        <v>41</v>
      </c>
      <c r="E71">
        <v>9</v>
      </c>
      <c r="G71">
        <v>41</v>
      </c>
      <c r="H71">
        <v>3</v>
      </c>
      <c r="J71">
        <v>41</v>
      </c>
      <c r="K71">
        <v>3</v>
      </c>
      <c r="M71">
        <v>41</v>
      </c>
      <c r="N71">
        <v>6</v>
      </c>
      <c r="P71">
        <v>41</v>
      </c>
      <c r="Q71">
        <v>4</v>
      </c>
    </row>
    <row r="72" spans="1:17">
      <c r="A72">
        <v>17</v>
      </c>
      <c r="B72">
        <v>4</v>
      </c>
      <c r="D72">
        <v>17</v>
      </c>
      <c r="E72">
        <v>11</v>
      </c>
      <c r="G72">
        <v>17</v>
      </c>
      <c r="H72">
        <v>4</v>
      </c>
      <c r="J72">
        <v>17</v>
      </c>
      <c r="K72">
        <v>4</v>
      </c>
      <c r="M72">
        <v>17</v>
      </c>
      <c r="N72">
        <v>12</v>
      </c>
      <c r="P72">
        <v>17</v>
      </c>
      <c r="Q72">
        <v>5</v>
      </c>
    </row>
    <row r="73" spans="1:17">
      <c r="A73">
        <v>66</v>
      </c>
      <c r="B73">
        <v>4</v>
      </c>
      <c r="D73">
        <v>66</v>
      </c>
      <c r="E73">
        <v>10</v>
      </c>
      <c r="G73">
        <v>66</v>
      </c>
      <c r="H73">
        <v>4</v>
      </c>
      <c r="J73">
        <v>66</v>
      </c>
      <c r="K73">
        <v>4</v>
      </c>
      <c r="M73">
        <v>66</v>
      </c>
      <c r="N73">
        <v>11</v>
      </c>
      <c r="P73">
        <v>66</v>
      </c>
      <c r="Q73">
        <v>7</v>
      </c>
    </row>
    <row r="74" spans="1:17">
      <c r="A74">
        <v>46</v>
      </c>
      <c r="B74">
        <v>4</v>
      </c>
      <c r="D74">
        <v>46</v>
      </c>
      <c r="E74">
        <v>6</v>
      </c>
      <c r="G74">
        <v>46</v>
      </c>
      <c r="H74">
        <v>4</v>
      </c>
      <c r="J74">
        <v>46</v>
      </c>
      <c r="K74">
        <v>4</v>
      </c>
      <c r="M74">
        <v>46</v>
      </c>
      <c r="N74">
        <v>10</v>
      </c>
      <c r="P74">
        <v>46</v>
      </c>
      <c r="Q74">
        <v>6</v>
      </c>
    </row>
    <row r="75" spans="1:17">
      <c r="A75">
        <v>60</v>
      </c>
      <c r="B75">
        <v>5</v>
      </c>
      <c r="D75">
        <v>60</v>
      </c>
      <c r="E75">
        <v>7</v>
      </c>
      <c r="G75">
        <v>60</v>
      </c>
      <c r="H75">
        <v>3</v>
      </c>
      <c r="J75">
        <v>60</v>
      </c>
      <c r="K75">
        <v>3</v>
      </c>
      <c r="M75">
        <v>60</v>
      </c>
      <c r="N75">
        <v>9</v>
      </c>
      <c r="P75">
        <v>60</v>
      </c>
      <c r="Q75">
        <v>6</v>
      </c>
    </row>
    <row r="76" spans="1:17">
      <c r="A76">
        <v>38</v>
      </c>
      <c r="B76">
        <v>3</v>
      </c>
      <c r="D76">
        <v>38</v>
      </c>
      <c r="E76">
        <v>7</v>
      </c>
      <c r="G76">
        <v>38</v>
      </c>
      <c r="H76">
        <v>3</v>
      </c>
      <c r="J76">
        <v>38</v>
      </c>
      <c r="K76">
        <v>3</v>
      </c>
      <c r="M76">
        <v>38</v>
      </c>
      <c r="N76">
        <v>8</v>
      </c>
      <c r="P76">
        <v>38</v>
      </c>
      <c r="Q76">
        <v>6</v>
      </c>
    </row>
    <row r="77" spans="1:17">
      <c r="A77">
        <v>68</v>
      </c>
      <c r="B77">
        <v>4</v>
      </c>
      <c r="D77">
        <v>68</v>
      </c>
      <c r="E77">
        <v>12</v>
      </c>
      <c r="G77">
        <v>68</v>
      </c>
      <c r="H77">
        <v>4</v>
      </c>
      <c r="J77">
        <v>68</v>
      </c>
      <c r="K77">
        <v>4</v>
      </c>
      <c r="M77">
        <v>68</v>
      </c>
      <c r="N77">
        <v>10</v>
      </c>
      <c r="P77">
        <v>68</v>
      </c>
      <c r="Q77">
        <v>8</v>
      </c>
    </row>
    <row r="78" spans="1:17">
      <c r="A78">
        <v>46</v>
      </c>
      <c r="B78">
        <v>1</v>
      </c>
      <c r="D78">
        <v>46</v>
      </c>
      <c r="E78">
        <v>9</v>
      </c>
      <c r="G78">
        <v>46</v>
      </c>
      <c r="H78">
        <v>3</v>
      </c>
      <c r="J78">
        <v>46</v>
      </c>
      <c r="K78">
        <v>3</v>
      </c>
      <c r="M78">
        <v>46</v>
      </c>
      <c r="N78">
        <v>8</v>
      </c>
      <c r="P78">
        <v>46</v>
      </c>
      <c r="Q78">
        <v>5</v>
      </c>
    </row>
    <row r="79" spans="1:17">
      <c r="A79">
        <v>79</v>
      </c>
      <c r="B79">
        <v>3</v>
      </c>
      <c r="D79">
        <v>79</v>
      </c>
      <c r="E79">
        <v>12</v>
      </c>
      <c r="G79">
        <v>79</v>
      </c>
      <c r="H79">
        <v>4</v>
      </c>
      <c r="J79">
        <v>79</v>
      </c>
      <c r="K79">
        <v>4</v>
      </c>
      <c r="M79">
        <v>79</v>
      </c>
      <c r="N79">
        <v>12</v>
      </c>
      <c r="P79">
        <v>79</v>
      </c>
      <c r="Q79">
        <v>8</v>
      </c>
    </row>
    <row r="80" spans="1:17">
      <c r="A80">
        <v>33</v>
      </c>
      <c r="B80">
        <v>3</v>
      </c>
      <c r="D80">
        <v>33</v>
      </c>
      <c r="E80">
        <v>9</v>
      </c>
      <c r="G80">
        <v>33</v>
      </c>
      <c r="H80">
        <v>4</v>
      </c>
      <c r="J80">
        <v>33</v>
      </c>
      <c r="K80">
        <v>4</v>
      </c>
      <c r="M80">
        <v>33</v>
      </c>
      <c r="N80">
        <v>9</v>
      </c>
      <c r="P80">
        <v>33</v>
      </c>
      <c r="Q80">
        <v>6</v>
      </c>
    </row>
    <row r="81" spans="1:17">
      <c r="A81">
        <v>51</v>
      </c>
      <c r="B81">
        <v>4</v>
      </c>
      <c r="D81">
        <v>51</v>
      </c>
      <c r="E81">
        <v>9</v>
      </c>
      <c r="G81">
        <v>51</v>
      </c>
      <c r="H81">
        <v>3</v>
      </c>
      <c r="J81">
        <v>51</v>
      </c>
      <c r="K81">
        <v>3</v>
      </c>
      <c r="M81">
        <v>51</v>
      </c>
      <c r="N81">
        <v>6</v>
      </c>
      <c r="P81">
        <v>51</v>
      </c>
      <c r="Q81">
        <v>5</v>
      </c>
    </row>
    <row r="82" spans="1:17">
      <c r="A82">
        <v>38</v>
      </c>
      <c r="B82">
        <v>4</v>
      </c>
      <c r="D82">
        <v>38</v>
      </c>
      <c r="E82">
        <v>9</v>
      </c>
      <c r="G82">
        <v>38</v>
      </c>
      <c r="H82">
        <v>3</v>
      </c>
      <c r="J82">
        <v>38</v>
      </c>
      <c r="K82">
        <v>3</v>
      </c>
      <c r="M82">
        <v>38</v>
      </c>
      <c r="N82">
        <v>6</v>
      </c>
      <c r="P82">
        <v>38</v>
      </c>
      <c r="Q82">
        <v>6</v>
      </c>
    </row>
  </sheetData>
  <phoneticPr fontId="6"/>
  <conditionalFormatting sqref="AO3:AO39">
    <cfRule type="cellIs" dxfId="1" priority="2" operator="greaterThan">
      <formula>23</formula>
    </cfRule>
  </conditionalFormatting>
  <conditionalFormatting sqref="AQ3:AQ39">
    <cfRule type="cellIs" dxfId="0" priority="1" operator="greaterThanOrEqual">
      <formula>46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2EB1-9506-4687-AED3-BC8FD2B9D9DA}">
  <dimension ref="A1:AF40"/>
  <sheetViews>
    <sheetView workbookViewId="0">
      <selection activeCell="C12" sqref="C12"/>
    </sheetView>
  </sheetViews>
  <sheetFormatPr baseColWidth="10" defaultColWidth="8.83203125" defaultRowHeight="13"/>
  <cols>
    <col min="27" max="27" width="32" customWidth="1"/>
    <col min="28" max="28" width="24.83203125" customWidth="1"/>
    <col min="29" max="29" width="16.6640625" style="50" customWidth="1"/>
    <col min="31" max="31" width="27.1640625" customWidth="1"/>
    <col min="32" max="32" width="8.83203125" style="50"/>
  </cols>
  <sheetData>
    <row r="1" spans="1:32" ht="14">
      <c r="A1" t="s">
        <v>118</v>
      </c>
      <c r="AA1" s="45" t="s">
        <v>122</v>
      </c>
      <c r="AB1" s="44" t="s">
        <v>119</v>
      </c>
      <c r="AC1" s="48" t="s">
        <v>120</v>
      </c>
      <c r="AE1" s="46" t="s">
        <v>122</v>
      </c>
      <c r="AF1" s="51" t="s">
        <v>120</v>
      </c>
    </row>
    <row r="2" spans="1:32" ht="14">
      <c r="B2" t="s">
        <v>62</v>
      </c>
      <c r="C2" t="s">
        <v>61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80</v>
      </c>
      <c r="Q2" t="s">
        <v>76</v>
      </c>
      <c r="R2" t="s">
        <v>77</v>
      </c>
      <c r="S2" t="s">
        <v>78</v>
      </c>
      <c r="T2" t="s">
        <v>79</v>
      </c>
      <c r="U2" t="s">
        <v>85</v>
      </c>
      <c r="V2" t="s">
        <v>86</v>
      </c>
      <c r="W2" s="36" t="s">
        <v>87</v>
      </c>
      <c r="AA2" s="42" t="s">
        <v>86</v>
      </c>
      <c r="AB2" s="43" t="s">
        <v>62</v>
      </c>
      <c r="AC2" s="49">
        <v>0.10395221662165592</v>
      </c>
      <c r="AE2" s="43" t="s">
        <v>87</v>
      </c>
      <c r="AF2" s="49">
        <v>-5.5030269336303984E-2</v>
      </c>
    </row>
    <row r="3" spans="1:32" ht="14">
      <c r="A3">
        <v>2.4900000000000002</v>
      </c>
      <c r="B3">
        <v>5</v>
      </c>
      <c r="C3">
        <v>4</v>
      </c>
      <c r="D3">
        <v>2</v>
      </c>
      <c r="E3">
        <v>5</v>
      </c>
      <c r="F3">
        <v>2</v>
      </c>
      <c r="G3">
        <v>3</v>
      </c>
      <c r="H3">
        <v>2</v>
      </c>
      <c r="I3">
        <v>3</v>
      </c>
      <c r="J3">
        <v>3</v>
      </c>
      <c r="K3">
        <v>5</v>
      </c>
      <c r="L3">
        <v>2</v>
      </c>
      <c r="M3">
        <v>5</v>
      </c>
      <c r="N3">
        <v>3</v>
      </c>
      <c r="O3">
        <v>4</v>
      </c>
      <c r="P3">
        <v>5</v>
      </c>
      <c r="Q3">
        <v>4</v>
      </c>
      <c r="R3">
        <v>5</v>
      </c>
      <c r="S3">
        <v>4</v>
      </c>
      <c r="T3">
        <v>4</v>
      </c>
      <c r="U3">
        <v>24</v>
      </c>
      <c r="V3">
        <v>29</v>
      </c>
      <c r="W3">
        <v>13</v>
      </c>
      <c r="AA3" s="42" t="s">
        <v>86</v>
      </c>
      <c r="AB3" s="43" t="s">
        <v>67</v>
      </c>
      <c r="AC3" s="49">
        <v>3.6038146037817478E-2</v>
      </c>
      <c r="AE3" s="43" t="s">
        <v>85</v>
      </c>
      <c r="AF3" s="49">
        <v>-5.5168751639422191E-2</v>
      </c>
    </row>
    <row r="4" spans="1:32" ht="14">
      <c r="A4">
        <v>0.56000000000000005</v>
      </c>
      <c r="B4">
        <v>3</v>
      </c>
      <c r="C4">
        <v>4</v>
      </c>
      <c r="D4">
        <v>2</v>
      </c>
      <c r="E4">
        <v>3</v>
      </c>
      <c r="F4">
        <v>3</v>
      </c>
      <c r="G4">
        <v>1</v>
      </c>
      <c r="H4">
        <v>2</v>
      </c>
      <c r="I4">
        <v>1</v>
      </c>
      <c r="J4">
        <v>1</v>
      </c>
      <c r="K4">
        <v>2</v>
      </c>
      <c r="L4">
        <v>3</v>
      </c>
      <c r="M4">
        <v>3</v>
      </c>
      <c r="N4">
        <v>1</v>
      </c>
      <c r="O4">
        <v>2</v>
      </c>
      <c r="P4">
        <v>3</v>
      </c>
      <c r="Q4">
        <v>3</v>
      </c>
      <c r="R4">
        <v>3</v>
      </c>
      <c r="S4">
        <v>4</v>
      </c>
      <c r="T4">
        <v>3</v>
      </c>
      <c r="U4">
        <v>14</v>
      </c>
      <c r="V4">
        <v>20</v>
      </c>
      <c r="W4">
        <v>10</v>
      </c>
      <c r="AA4" s="42" t="s">
        <v>123</v>
      </c>
      <c r="AB4" s="43" t="s">
        <v>70</v>
      </c>
      <c r="AC4" s="49">
        <v>2.4659589088863149E-2</v>
      </c>
      <c r="AE4" s="43" t="s">
        <v>86</v>
      </c>
      <c r="AF4" s="49">
        <v>-9.1388681619826884E-2</v>
      </c>
    </row>
    <row r="5" spans="1:32" ht="14">
      <c r="A5">
        <v>1.23</v>
      </c>
      <c r="B5">
        <v>3</v>
      </c>
      <c r="C5">
        <v>3</v>
      </c>
      <c r="D5">
        <v>2</v>
      </c>
      <c r="E5">
        <v>3</v>
      </c>
      <c r="F5">
        <v>3</v>
      </c>
      <c r="G5">
        <v>2</v>
      </c>
      <c r="H5">
        <v>3</v>
      </c>
      <c r="I5">
        <v>3</v>
      </c>
      <c r="J5">
        <v>3</v>
      </c>
      <c r="K5">
        <v>2</v>
      </c>
      <c r="L5">
        <v>3</v>
      </c>
      <c r="M5">
        <v>2</v>
      </c>
      <c r="N5">
        <v>3</v>
      </c>
      <c r="O5">
        <v>2</v>
      </c>
      <c r="P5">
        <v>2</v>
      </c>
      <c r="Q5">
        <v>3</v>
      </c>
      <c r="R5">
        <v>3</v>
      </c>
      <c r="S5">
        <v>2</v>
      </c>
      <c r="T5">
        <v>3</v>
      </c>
      <c r="U5">
        <v>14</v>
      </c>
      <c r="V5">
        <v>25</v>
      </c>
      <c r="W5">
        <v>8</v>
      </c>
      <c r="AA5" s="42" t="s">
        <v>123</v>
      </c>
      <c r="AB5" s="43" t="s">
        <v>72</v>
      </c>
      <c r="AC5" s="49">
        <v>2.2638727345375712E-2</v>
      </c>
    </row>
    <row r="6" spans="1:32" ht="14">
      <c r="A6">
        <v>0.45</v>
      </c>
      <c r="B6">
        <v>3</v>
      </c>
      <c r="C6">
        <v>4</v>
      </c>
      <c r="D6">
        <v>3</v>
      </c>
      <c r="E6">
        <v>4</v>
      </c>
      <c r="F6">
        <v>4</v>
      </c>
      <c r="G6">
        <v>5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1</v>
      </c>
      <c r="T6">
        <v>3</v>
      </c>
      <c r="U6">
        <v>24</v>
      </c>
      <c r="V6">
        <v>35</v>
      </c>
      <c r="W6">
        <v>9</v>
      </c>
      <c r="AA6" s="42" t="s">
        <v>123</v>
      </c>
      <c r="AB6" s="43" t="s">
        <v>80</v>
      </c>
      <c r="AC6" s="49">
        <v>5.954922562863515E-3</v>
      </c>
    </row>
    <row r="7" spans="1:32" ht="14">
      <c r="A7">
        <v>0.57999999999999996</v>
      </c>
      <c r="B7">
        <v>3</v>
      </c>
      <c r="C7">
        <v>4</v>
      </c>
      <c r="D7">
        <v>2</v>
      </c>
      <c r="E7">
        <v>3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2</v>
      </c>
      <c r="M7">
        <v>3</v>
      </c>
      <c r="N7">
        <v>3</v>
      </c>
      <c r="O7">
        <v>3</v>
      </c>
      <c r="P7">
        <v>5</v>
      </c>
      <c r="Q7">
        <v>4</v>
      </c>
      <c r="R7">
        <v>3</v>
      </c>
      <c r="S7">
        <v>2</v>
      </c>
      <c r="T7">
        <v>3</v>
      </c>
      <c r="U7">
        <v>19</v>
      </c>
      <c r="V7">
        <v>26</v>
      </c>
      <c r="W7">
        <v>9</v>
      </c>
      <c r="AA7" s="42" t="s">
        <v>124</v>
      </c>
      <c r="AB7" s="43" t="s">
        <v>78</v>
      </c>
      <c r="AC7" s="49">
        <v>2.5250824114753665E-4</v>
      </c>
    </row>
    <row r="8" spans="1:32" ht="14">
      <c r="A8">
        <v>1.04</v>
      </c>
      <c r="B8">
        <v>1</v>
      </c>
      <c r="C8">
        <v>1</v>
      </c>
      <c r="D8">
        <v>2</v>
      </c>
      <c r="E8">
        <v>2</v>
      </c>
      <c r="F8">
        <v>2</v>
      </c>
      <c r="G8">
        <v>1</v>
      </c>
      <c r="H8">
        <v>2</v>
      </c>
      <c r="I8">
        <v>1</v>
      </c>
      <c r="J8">
        <v>1</v>
      </c>
      <c r="K8">
        <v>2</v>
      </c>
      <c r="L8">
        <v>2</v>
      </c>
      <c r="M8">
        <v>2</v>
      </c>
      <c r="N8">
        <v>3</v>
      </c>
      <c r="O8">
        <v>2</v>
      </c>
      <c r="P8">
        <v>2</v>
      </c>
      <c r="Q8">
        <v>2</v>
      </c>
      <c r="R8">
        <v>1</v>
      </c>
      <c r="S8">
        <v>1</v>
      </c>
      <c r="T8">
        <v>1</v>
      </c>
      <c r="U8">
        <v>13</v>
      </c>
      <c r="V8">
        <v>13</v>
      </c>
      <c r="W8">
        <v>4</v>
      </c>
      <c r="AA8" s="42" t="s">
        <v>123</v>
      </c>
      <c r="AB8" s="43" t="s">
        <v>73</v>
      </c>
      <c r="AC8" s="49">
        <v>-5.7988496892507572E-3</v>
      </c>
    </row>
    <row r="9" spans="1:32" ht="14">
      <c r="A9">
        <v>0.72</v>
      </c>
      <c r="B9">
        <v>3</v>
      </c>
      <c r="C9">
        <v>3</v>
      </c>
      <c r="D9">
        <v>2</v>
      </c>
      <c r="E9">
        <v>2</v>
      </c>
      <c r="F9">
        <v>2</v>
      </c>
      <c r="G9">
        <v>1</v>
      </c>
      <c r="H9">
        <v>3</v>
      </c>
      <c r="I9">
        <v>1</v>
      </c>
      <c r="J9">
        <v>3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3</v>
      </c>
      <c r="S9">
        <v>3</v>
      </c>
      <c r="T9">
        <v>1</v>
      </c>
      <c r="U9">
        <v>6</v>
      </c>
      <c r="V9">
        <v>20</v>
      </c>
      <c r="W9">
        <v>8</v>
      </c>
      <c r="AA9" s="42" t="s">
        <v>124</v>
      </c>
      <c r="AB9" s="43" t="s">
        <v>77</v>
      </c>
      <c r="AC9" s="49">
        <v>-1.3607970036678428E-2</v>
      </c>
    </row>
    <row r="10" spans="1:32" ht="14">
      <c r="A10">
        <v>0.92</v>
      </c>
      <c r="B10">
        <v>3</v>
      </c>
      <c r="C10">
        <v>3</v>
      </c>
      <c r="D10">
        <v>2</v>
      </c>
      <c r="E10">
        <v>1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  <c r="L10">
        <v>2</v>
      </c>
      <c r="M10">
        <v>3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3</v>
      </c>
      <c r="U10">
        <v>17</v>
      </c>
      <c r="V10">
        <v>23</v>
      </c>
      <c r="W10">
        <v>8</v>
      </c>
      <c r="AA10" s="42" t="s">
        <v>124</v>
      </c>
      <c r="AB10" s="43" t="s">
        <v>65</v>
      </c>
      <c r="AC10" s="49">
        <v>-3.354954026247E-2</v>
      </c>
    </row>
    <row r="11" spans="1:32" ht="14">
      <c r="A11">
        <v>0.63</v>
      </c>
      <c r="B11">
        <v>5</v>
      </c>
      <c r="C11">
        <v>4</v>
      </c>
      <c r="D11">
        <v>3</v>
      </c>
      <c r="E11">
        <v>4</v>
      </c>
      <c r="F11">
        <v>4</v>
      </c>
      <c r="G11">
        <v>2</v>
      </c>
      <c r="H11">
        <v>2</v>
      </c>
      <c r="I11">
        <v>3</v>
      </c>
      <c r="J11">
        <v>1</v>
      </c>
      <c r="K11">
        <v>3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4</v>
      </c>
      <c r="S11">
        <v>3</v>
      </c>
      <c r="T11">
        <v>3</v>
      </c>
      <c r="U11">
        <v>20</v>
      </c>
      <c r="V11">
        <v>28</v>
      </c>
      <c r="W11">
        <v>10</v>
      </c>
      <c r="AA11" s="42" t="s">
        <v>86</v>
      </c>
      <c r="AB11" s="43" t="s">
        <v>69</v>
      </c>
      <c r="AC11" s="49">
        <v>-4.3085867498130828E-2</v>
      </c>
    </row>
    <row r="12" spans="1:32" ht="14">
      <c r="A12">
        <v>1.01</v>
      </c>
      <c r="B12">
        <v>5</v>
      </c>
      <c r="C12">
        <v>4</v>
      </c>
      <c r="D12">
        <v>3</v>
      </c>
      <c r="E12">
        <v>4</v>
      </c>
      <c r="F12">
        <v>2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2</v>
      </c>
      <c r="P12">
        <v>3</v>
      </c>
      <c r="Q12">
        <v>2</v>
      </c>
      <c r="R12">
        <v>4</v>
      </c>
      <c r="S12">
        <v>1</v>
      </c>
      <c r="T12">
        <v>3</v>
      </c>
      <c r="U12">
        <v>17</v>
      </c>
      <c r="V12">
        <v>30</v>
      </c>
      <c r="W12">
        <v>7</v>
      </c>
      <c r="AA12" s="42" t="s">
        <v>86</v>
      </c>
      <c r="AB12" s="43" t="s">
        <v>64</v>
      </c>
      <c r="AC12" s="49">
        <v>-5.1069660870001289E-2</v>
      </c>
    </row>
    <row r="13" spans="1:32" ht="14">
      <c r="A13">
        <v>1.42</v>
      </c>
      <c r="B13">
        <v>4</v>
      </c>
      <c r="C13">
        <v>4</v>
      </c>
      <c r="D13">
        <v>4</v>
      </c>
      <c r="E13">
        <v>2</v>
      </c>
      <c r="F13">
        <v>2</v>
      </c>
      <c r="G13">
        <v>1</v>
      </c>
      <c r="H13">
        <v>3</v>
      </c>
      <c r="I13">
        <v>3</v>
      </c>
      <c r="J13">
        <v>3</v>
      </c>
      <c r="K13">
        <v>2</v>
      </c>
      <c r="L13">
        <v>2</v>
      </c>
      <c r="M13">
        <v>3</v>
      </c>
      <c r="N13">
        <v>3</v>
      </c>
      <c r="O13">
        <v>3</v>
      </c>
      <c r="P13">
        <v>3</v>
      </c>
      <c r="Q13">
        <v>1</v>
      </c>
      <c r="R13">
        <v>2</v>
      </c>
      <c r="S13">
        <v>1</v>
      </c>
      <c r="T13">
        <v>3</v>
      </c>
      <c r="U13">
        <v>16</v>
      </c>
      <c r="V13">
        <v>26</v>
      </c>
      <c r="W13">
        <v>4</v>
      </c>
      <c r="AA13" s="42" t="s">
        <v>86</v>
      </c>
      <c r="AB13" s="43" t="s">
        <v>66</v>
      </c>
      <c r="AC13" s="49">
        <v>-8.3453637408953146E-2</v>
      </c>
    </row>
    <row r="14" spans="1:32" ht="14">
      <c r="A14">
        <v>0.48</v>
      </c>
      <c r="B14">
        <v>3</v>
      </c>
      <c r="C14">
        <v>3</v>
      </c>
      <c r="D14">
        <v>3</v>
      </c>
      <c r="E14">
        <v>3</v>
      </c>
      <c r="F14">
        <v>3</v>
      </c>
      <c r="G14">
        <v>1</v>
      </c>
      <c r="H14">
        <v>2</v>
      </c>
      <c r="I14">
        <v>3</v>
      </c>
      <c r="J14">
        <v>1</v>
      </c>
      <c r="K14">
        <v>2</v>
      </c>
      <c r="L14">
        <v>2</v>
      </c>
      <c r="M14">
        <v>3</v>
      </c>
      <c r="N14">
        <v>3</v>
      </c>
      <c r="O14">
        <v>2</v>
      </c>
      <c r="P14">
        <v>1</v>
      </c>
      <c r="Q14">
        <v>3</v>
      </c>
      <c r="R14">
        <v>1</v>
      </c>
      <c r="S14">
        <v>2</v>
      </c>
      <c r="T14">
        <v>3</v>
      </c>
      <c r="U14">
        <v>13</v>
      </c>
      <c r="V14">
        <v>22</v>
      </c>
      <c r="W14">
        <v>6</v>
      </c>
      <c r="AA14" s="42" t="s">
        <v>86</v>
      </c>
      <c r="AB14" s="43" t="s">
        <v>68</v>
      </c>
      <c r="AC14" s="49">
        <v>-0.10874794229080911</v>
      </c>
    </row>
    <row r="15" spans="1:32" ht="14">
      <c r="A15">
        <v>1.26</v>
      </c>
      <c r="B15">
        <v>2</v>
      </c>
      <c r="C15">
        <v>5</v>
      </c>
      <c r="D15">
        <v>2</v>
      </c>
      <c r="E15">
        <v>2</v>
      </c>
      <c r="F15">
        <v>1</v>
      </c>
      <c r="G15">
        <v>2</v>
      </c>
      <c r="H15">
        <v>2</v>
      </c>
      <c r="I15">
        <v>3</v>
      </c>
      <c r="J15">
        <v>1</v>
      </c>
      <c r="K15">
        <v>1</v>
      </c>
      <c r="L15">
        <v>1</v>
      </c>
      <c r="M15">
        <v>2</v>
      </c>
      <c r="N15">
        <v>3</v>
      </c>
      <c r="O15">
        <v>2</v>
      </c>
      <c r="P15">
        <v>2</v>
      </c>
      <c r="Q15">
        <v>2</v>
      </c>
      <c r="R15">
        <v>3</v>
      </c>
      <c r="S15">
        <v>2</v>
      </c>
      <c r="T15">
        <v>2</v>
      </c>
      <c r="U15">
        <v>11</v>
      </c>
      <c r="V15">
        <v>20</v>
      </c>
      <c r="W15">
        <v>7</v>
      </c>
      <c r="AA15" s="42" t="s">
        <v>86</v>
      </c>
      <c r="AB15" s="43" t="s">
        <v>61</v>
      </c>
      <c r="AC15" s="49">
        <v>-0.11939867341279865</v>
      </c>
    </row>
    <row r="16" spans="1:32" ht="14">
      <c r="A16">
        <v>1.35</v>
      </c>
      <c r="B16">
        <v>4</v>
      </c>
      <c r="C16">
        <v>4</v>
      </c>
      <c r="D16">
        <v>3</v>
      </c>
      <c r="E16">
        <v>3</v>
      </c>
      <c r="F16">
        <v>3</v>
      </c>
      <c r="G16">
        <v>1</v>
      </c>
      <c r="H16">
        <v>2</v>
      </c>
      <c r="I16">
        <v>3</v>
      </c>
      <c r="J16">
        <v>3</v>
      </c>
      <c r="K16">
        <v>5</v>
      </c>
      <c r="L16">
        <v>2</v>
      </c>
      <c r="M16">
        <v>3</v>
      </c>
      <c r="N16">
        <v>3</v>
      </c>
      <c r="O16">
        <v>3</v>
      </c>
      <c r="P16">
        <v>3</v>
      </c>
      <c r="Q16">
        <v>3</v>
      </c>
      <c r="R16">
        <v>2</v>
      </c>
      <c r="S16">
        <v>2</v>
      </c>
      <c r="T16">
        <v>3</v>
      </c>
      <c r="U16">
        <v>19</v>
      </c>
      <c r="V16">
        <v>26</v>
      </c>
      <c r="W16">
        <v>7</v>
      </c>
      <c r="AA16" s="42" t="s">
        <v>125</v>
      </c>
      <c r="AB16" s="43" t="s">
        <v>76</v>
      </c>
      <c r="AC16" s="49">
        <v>-0.13385180891195281</v>
      </c>
    </row>
    <row r="17" spans="1:29" ht="14">
      <c r="A17">
        <v>0.99</v>
      </c>
      <c r="B17">
        <v>3</v>
      </c>
      <c r="C17">
        <v>4</v>
      </c>
      <c r="D17">
        <v>2</v>
      </c>
      <c r="E17">
        <v>3</v>
      </c>
      <c r="F17">
        <v>4</v>
      </c>
      <c r="G17">
        <v>3</v>
      </c>
      <c r="H17">
        <v>4</v>
      </c>
      <c r="I17">
        <v>3</v>
      </c>
      <c r="J17">
        <v>3</v>
      </c>
      <c r="K17">
        <v>3</v>
      </c>
      <c r="L17">
        <v>4</v>
      </c>
      <c r="M17">
        <v>3</v>
      </c>
      <c r="N17">
        <v>3</v>
      </c>
      <c r="O17">
        <v>4</v>
      </c>
      <c r="P17">
        <v>4</v>
      </c>
      <c r="Q17">
        <v>3</v>
      </c>
      <c r="R17">
        <v>3</v>
      </c>
      <c r="S17">
        <v>3</v>
      </c>
      <c r="T17">
        <v>3</v>
      </c>
      <c r="U17">
        <v>21</v>
      </c>
      <c r="V17">
        <v>29</v>
      </c>
      <c r="W17">
        <v>9</v>
      </c>
      <c r="AA17" s="42" t="s">
        <v>125</v>
      </c>
      <c r="AB17" s="43" t="s">
        <v>79</v>
      </c>
      <c r="AC17" s="49">
        <v>-0.13568270097849219</v>
      </c>
    </row>
    <row r="18" spans="1:29" ht="14">
      <c r="A18">
        <v>1.34</v>
      </c>
      <c r="B18">
        <v>3</v>
      </c>
      <c r="C18">
        <v>3</v>
      </c>
      <c r="D18">
        <v>2</v>
      </c>
      <c r="E18">
        <v>3</v>
      </c>
      <c r="F18">
        <v>4</v>
      </c>
      <c r="G18">
        <v>3</v>
      </c>
      <c r="H18">
        <v>5</v>
      </c>
      <c r="I18">
        <v>3</v>
      </c>
      <c r="J18">
        <v>3</v>
      </c>
      <c r="K18">
        <v>2</v>
      </c>
      <c r="L18">
        <v>3</v>
      </c>
      <c r="M18">
        <v>4</v>
      </c>
      <c r="N18">
        <v>4</v>
      </c>
      <c r="O18">
        <v>5</v>
      </c>
      <c r="P18">
        <v>3</v>
      </c>
      <c r="Q18">
        <v>3</v>
      </c>
      <c r="R18">
        <v>3</v>
      </c>
      <c r="S18">
        <v>4</v>
      </c>
      <c r="T18">
        <v>3</v>
      </c>
      <c r="U18">
        <v>21</v>
      </c>
      <c r="V18">
        <v>29</v>
      </c>
      <c r="W18">
        <v>10</v>
      </c>
      <c r="AA18" s="42" t="s">
        <v>123</v>
      </c>
      <c r="AB18" s="43" t="s">
        <v>74</v>
      </c>
      <c r="AC18" s="49">
        <v>-0.14073902816593481</v>
      </c>
    </row>
    <row r="19" spans="1:29" ht="14">
      <c r="A19">
        <v>1.02</v>
      </c>
      <c r="B19">
        <v>3</v>
      </c>
      <c r="C19">
        <v>3</v>
      </c>
      <c r="D19">
        <v>3</v>
      </c>
      <c r="E19">
        <v>2</v>
      </c>
      <c r="F19">
        <v>4</v>
      </c>
      <c r="G19">
        <v>1</v>
      </c>
      <c r="H19">
        <v>3</v>
      </c>
      <c r="I19">
        <v>3</v>
      </c>
      <c r="J19">
        <v>1</v>
      </c>
      <c r="K19">
        <v>3</v>
      </c>
      <c r="L19">
        <v>4</v>
      </c>
      <c r="M19">
        <v>2</v>
      </c>
      <c r="N19">
        <v>3</v>
      </c>
      <c r="O19">
        <v>2</v>
      </c>
      <c r="P19">
        <v>3</v>
      </c>
      <c r="Q19">
        <v>1</v>
      </c>
      <c r="R19">
        <v>2</v>
      </c>
      <c r="S19">
        <v>2</v>
      </c>
      <c r="T19">
        <v>1</v>
      </c>
      <c r="U19">
        <v>17</v>
      </c>
      <c r="V19">
        <v>23</v>
      </c>
      <c r="W19">
        <v>5</v>
      </c>
      <c r="AA19" s="42" t="s">
        <v>123</v>
      </c>
      <c r="AB19" s="43" t="s">
        <v>71</v>
      </c>
      <c r="AC19" s="49">
        <v>-0.14204521891999194</v>
      </c>
    </row>
    <row r="20" spans="1:29" ht="14">
      <c r="A20">
        <v>1.3</v>
      </c>
      <c r="B20">
        <v>3</v>
      </c>
      <c r="C20">
        <v>4</v>
      </c>
      <c r="D20">
        <v>3</v>
      </c>
      <c r="E20">
        <v>1</v>
      </c>
      <c r="F20">
        <v>1</v>
      </c>
      <c r="G20">
        <v>3</v>
      </c>
      <c r="H20">
        <v>2</v>
      </c>
      <c r="I20">
        <v>1</v>
      </c>
      <c r="J20">
        <v>1</v>
      </c>
      <c r="K20">
        <v>1</v>
      </c>
      <c r="L20">
        <v>3</v>
      </c>
      <c r="M20">
        <v>2</v>
      </c>
      <c r="N20">
        <v>1</v>
      </c>
      <c r="O20">
        <v>1</v>
      </c>
      <c r="P20">
        <v>3</v>
      </c>
      <c r="Q20">
        <v>1</v>
      </c>
      <c r="R20">
        <v>2</v>
      </c>
      <c r="S20">
        <v>1</v>
      </c>
      <c r="T20">
        <v>2</v>
      </c>
      <c r="U20">
        <v>11</v>
      </c>
      <c r="V20">
        <v>19</v>
      </c>
      <c r="W20">
        <v>4</v>
      </c>
      <c r="AA20" s="42" t="s">
        <v>86</v>
      </c>
      <c r="AB20" s="43" t="s">
        <v>63</v>
      </c>
      <c r="AC20" s="49">
        <v>-0.20827381909263282</v>
      </c>
    </row>
    <row r="21" spans="1:29">
      <c r="A21">
        <v>1.1499999999999999</v>
      </c>
      <c r="B21">
        <v>3</v>
      </c>
      <c r="C21">
        <v>2</v>
      </c>
      <c r="D21">
        <v>3</v>
      </c>
      <c r="E21">
        <v>4</v>
      </c>
      <c r="F21">
        <v>3</v>
      </c>
      <c r="G21">
        <v>2</v>
      </c>
      <c r="H21">
        <v>3</v>
      </c>
      <c r="I21">
        <v>3</v>
      </c>
      <c r="J21">
        <v>3</v>
      </c>
      <c r="K21">
        <v>3</v>
      </c>
      <c r="L21">
        <v>4</v>
      </c>
      <c r="M21">
        <v>2</v>
      </c>
      <c r="N21">
        <v>3</v>
      </c>
      <c r="O21">
        <v>2</v>
      </c>
      <c r="P21">
        <v>2</v>
      </c>
      <c r="Q21">
        <v>3</v>
      </c>
      <c r="R21">
        <v>3</v>
      </c>
      <c r="S21">
        <v>1</v>
      </c>
      <c r="T21">
        <v>2</v>
      </c>
      <c r="U21">
        <v>16</v>
      </c>
      <c r="V21">
        <v>26</v>
      </c>
      <c r="W21">
        <v>7</v>
      </c>
    </row>
    <row r="22" spans="1:29">
      <c r="A22">
        <v>1.01</v>
      </c>
      <c r="B22">
        <v>3</v>
      </c>
      <c r="C22">
        <v>3</v>
      </c>
      <c r="D22">
        <v>3</v>
      </c>
      <c r="E22">
        <v>3</v>
      </c>
      <c r="F22">
        <v>4</v>
      </c>
      <c r="G22">
        <v>2</v>
      </c>
      <c r="H22">
        <v>4</v>
      </c>
      <c r="I22">
        <v>3</v>
      </c>
      <c r="J22">
        <v>3</v>
      </c>
      <c r="K22">
        <v>2</v>
      </c>
      <c r="L22">
        <v>2</v>
      </c>
      <c r="M22">
        <v>2</v>
      </c>
      <c r="N22">
        <v>1</v>
      </c>
      <c r="O22">
        <v>2</v>
      </c>
      <c r="P22">
        <v>1</v>
      </c>
      <c r="Q22">
        <v>3</v>
      </c>
      <c r="R22">
        <v>4</v>
      </c>
      <c r="S22">
        <v>1</v>
      </c>
      <c r="T22">
        <v>1</v>
      </c>
      <c r="U22">
        <v>10</v>
      </c>
      <c r="V22">
        <v>28</v>
      </c>
      <c r="W22">
        <v>8</v>
      </c>
    </row>
    <row r="23" spans="1:29">
      <c r="A23">
        <v>0.56999999999999995</v>
      </c>
      <c r="B23">
        <v>5</v>
      </c>
      <c r="C23">
        <v>5</v>
      </c>
      <c r="D23">
        <v>3</v>
      </c>
      <c r="E23">
        <v>3</v>
      </c>
      <c r="F23">
        <v>2</v>
      </c>
      <c r="G23">
        <v>2</v>
      </c>
      <c r="H23">
        <v>2</v>
      </c>
      <c r="I23">
        <v>4</v>
      </c>
      <c r="J23">
        <v>3</v>
      </c>
      <c r="K23">
        <v>2</v>
      </c>
      <c r="L23">
        <v>2</v>
      </c>
      <c r="M23">
        <v>4</v>
      </c>
      <c r="N23">
        <v>5</v>
      </c>
      <c r="O23">
        <v>4</v>
      </c>
      <c r="P23">
        <v>3</v>
      </c>
      <c r="Q23">
        <v>1</v>
      </c>
      <c r="R23">
        <v>2</v>
      </c>
      <c r="S23">
        <v>2</v>
      </c>
      <c r="T23">
        <v>3</v>
      </c>
      <c r="U23">
        <v>20</v>
      </c>
      <c r="V23">
        <v>29</v>
      </c>
      <c r="W23">
        <v>5</v>
      </c>
    </row>
    <row r="24" spans="1:29">
      <c r="A24">
        <v>0.63</v>
      </c>
      <c r="B24">
        <v>4</v>
      </c>
      <c r="C24">
        <v>5</v>
      </c>
      <c r="D24">
        <v>3</v>
      </c>
      <c r="E24">
        <v>5</v>
      </c>
      <c r="F24">
        <v>4</v>
      </c>
      <c r="G24">
        <v>5</v>
      </c>
      <c r="H24">
        <v>3</v>
      </c>
      <c r="I24">
        <v>5</v>
      </c>
      <c r="J24">
        <v>5</v>
      </c>
      <c r="K24">
        <v>5</v>
      </c>
      <c r="L24">
        <v>5</v>
      </c>
      <c r="M24">
        <v>4</v>
      </c>
      <c r="N24">
        <v>4</v>
      </c>
      <c r="O24">
        <v>4</v>
      </c>
      <c r="P24">
        <v>4</v>
      </c>
      <c r="Q24">
        <v>5</v>
      </c>
      <c r="R24">
        <v>4</v>
      </c>
      <c r="S24">
        <v>1</v>
      </c>
      <c r="T24">
        <v>3</v>
      </c>
      <c r="U24">
        <v>26</v>
      </c>
      <c r="V24">
        <v>39</v>
      </c>
      <c r="W24">
        <v>10</v>
      </c>
    </row>
    <row r="25" spans="1:29">
      <c r="A25">
        <v>1.0900000000000001</v>
      </c>
      <c r="B25">
        <v>3</v>
      </c>
      <c r="C25">
        <v>3</v>
      </c>
      <c r="D25">
        <v>3</v>
      </c>
      <c r="E25">
        <v>2</v>
      </c>
      <c r="F25">
        <v>3</v>
      </c>
      <c r="G25">
        <v>2</v>
      </c>
      <c r="H25">
        <v>4</v>
      </c>
      <c r="I25">
        <v>5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4</v>
      </c>
      <c r="S25">
        <v>5</v>
      </c>
      <c r="T25">
        <v>3</v>
      </c>
      <c r="U25">
        <v>18</v>
      </c>
      <c r="V25">
        <v>28</v>
      </c>
      <c r="W25">
        <v>12</v>
      </c>
    </row>
    <row r="26" spans="1:29">
      <c r="A26">
        <v>0.97</v>
      </c>
      <c r="B26">
        <v>5</v>
      </c>
      <c r="C26">
        <v>4</v>
      </c>
      <c r="D26">
        <v>4</v>
      </c>
      <c r="E26">
        <v>2</v>
      </c>
      <c r="F26">
        <v>2</v>
      </c>
      <c r="G26">
        <v>2</v>
      </c>
      <c r="H26">
        <v>3</v>
      </c>
      <c r="I26">
        <v>3</v>
      </c>
      <c r="J26">
        <v>3</v>
      </c>
      <c r="K26">
        <v>3</v>
      </c>
      <c r="L26">
        <v>2</v>
      </c>
      <c r="M26">
        <v>3</v>
      </c>
      <c r="N26">
        <v>2</v>
      </c>
      <c r="O26">
        <v>3</v>
      </c>
      <c r="P26">
        <v>2</v>
      </c>
      <c r="Q26">
        <v>1</v>
      </c>
      <c r="R26">
        <v>2</v>
      </c>
      <c r="S26">
        <v>1</v>
      </c>
      <c r="T26">
        <v>3</v>
      </c>
      <c r="U26">
        <v>15</v>
      </c>
      <c r="V26">
        <v>28</v>
      </c>
      <c r="W26">
        <v>4</v>
      </c>
    </row>
    <row r="27" spans="1:29">
      <c r="A27">
        <v>0.84</v>
      </c>
      <c r="B27">
        <v>3</v>
      </c>
      <c r="C27">
        <v>4</v>
      </c>
      <c r="D27">
        <v>3</v>
      </c>
      <c r="E27">
        <v>1</v>
      </c>
      <c r="F27">
        <v>1</v>
      </c>
      <c r="G27">
        <v>2</v>
      </c>
      <c r="H27">
        <v>2</v>
      </c>
      <c r="I27">
        <v>5</v>
      </c>
      <c r="J27">
        <v>3</v>
      </c>
      <c r="K27">
        <v>1</v>
      </c>
      <c r="L27">
        <v>1</v>
      </c>
      <c r="M27">
        <v>4</v>
      </c>
      <c r="N27">
        <v>3</v>
      </c>
      <c r="O27">
        <v>3</v>
      </c>
      <c r="P27">
        <v>2</v>
      </c>
      <c r="Q27">
        <v>3</v>
      </c>
      <c r="R27">
        <v>5</v>
      </c>
      <c r="S27">
        <v>2</v>
      </c>
      <c r="T27">
        <v>3</v>
      </c>
      <c r="U27">
        <v>14</v>
      </c>
      <c r="V27">
        <v>24</v>
      </c>
      <c r="W27">
        <v>10</v>
      </c>
    </row>
    <row r="28" spans="1:29">
      <c r="A28">
        <v>0.82</v>
      </c>
      <c r="B28">
        <v>4</v>
      </c>
      <c r="C28">
        <v>4</v>
      </c>
      <c r="D28">
        <v>3</v>
      </c>
      <c r="E28">
        <v>3</v>
      </c>
      <c r="F28">
        <v>4</v>
      </c>
      <c r="G28">
        <v>2</v>
      </c>
      <c r="H28">
        <v>4</v>
      </c>
      <c r="I28">
        <v>3</v>
      </c>
      <c r="J28">
        <v>3</v>
      </c>
      <c r="K28">
        <v>3</v>
      </c>
      <c r="L28">
        <v>4</v>
      </c>
      <c r="M28">
        <v>4</v>
      </c>
      <c r="N28">
        <v>4</v>
      </c>
      <c r="O28">
        <v>4</v>
      </c>
      <c r="P28">
        <v>4</v>
      </c>
      <c r="Q28">
        <v>3</v>
      </c>
      <c r="R28">
        <v>4</v>
      </c>
      <c r="S28">
        <v>5</v>
      </c>
      <c r="T28">
        <v>4</v>
      </c>
      <c r="U28">
        <v>23</v>
      </c>
      <c r="V28">
        <v>30</v>
      </c>
      <c r="W28">
        <v>12</v>
      </c>
    </row>
    <row r="29" spans="1:29">
      <c r="A29">
        <v>0.33</v>
      </c>
      <c r="B29">
        <v>4</v>
      </c>
      <c r="C29">
        <v>5</v>
      </c>
      <c r="D29">
        <v>2</v>
      </c>
      <c r="E29">
        <v>2</v>
      </c>
      <c r="F29">
        <v>1</v>
      </c>
      <c r="G29">
        <v>1</v>
      </c>
      <c r="H29">
        <v>2</v>
      </c>
      <c r="I29">
        <v>1</v>
      </c>
      <c r="J29">
        <v>1</v>
      </c>
      <c r="K29">
        <v>2</v>
      </c>
      <c r="L29">
        <v>2</v>
      </c>
      <c r="M29">
        <v>5</v>
      </c>
      <c r="N29">
        <v>3</v>
      </c>
      <c r="O29">
        <v>4</v>
      </c>
      <c r="P29">
        <v>4</v>
      </c>
      <c r="Q29">
        <v>1</v>
      </c>
      <c r="R29">
        <v>2</v>
      </c>
      <c r="S29">
        <v>1</v>
      </c>
      <c r="T29">
        <v>3</v>
      </c>
      <c r="U29">
        <v>20</v>
      </c>
      <c r="V29">
        <v>19</v>
      </c>
      <c r="W29">
        <v>4</v>
      </c>
    </row>
    <row r="30" spans="1:29">
      <c r="A30">
        <v>1.32</v>
      </c>
      <c r="B30">
        <v>4</v>
      </c>
      <c r="C30">
        <v>5</v>
      </c>
      <c r="D30">
        <v>2</v>
      </c>
      <c r="E30">
        <v>2</v>
      </c>
      <c r="F30">
        <v>3</v>
      </c>
      <c r="G30">
        <v>2</v>
      </c>
      <c r="H30">
        <v>2</v>
      </c>
      <c r="I30">
        <v>1</v>
      </c>
      <c r="J30">
        <v>1</v>
      </c>
      <c r="K30">
        <v>2</v>
      </c>
      <c r="L30">
        <v>2</v>
      </c>
      <c r="M30">
        <v>3</v>
      </c>
      <c r="N30">
        <v>3</v>
      </c>
      <c r="O30">
        <v>3</v>
      </c>
      <c r="P30">
        <v>2</v>
      </c>
      <c r="Q30">
        <v>1</v>
      </c>
      <c r="R30">
        <v>2</v>
      </c>
      <c r="S30">
        <v>1</v>
      </c>
      <c r="T30">
        <v>2</v>
      </c>
      <c r="U30">
        <v>15</v>
      </c>
      <c r="V30">
        <v>22</v>
      </c>
      <c r="W30">
        <v>4</v>
      </c>
    </row>
    <row r="31" spans="1:29">
      <c r="A31">
        <v>0.92</v>
      </c>
      <c r="B31">
        <v>4</v>
      </c>
      <c r="C31">
        <v>4</v>
      </c>
      <c r="D31">
        <v>2</v>
      </c>
      <c r="E31">
        <v>4</v>
      </c>
      <c r="F31">
        <v>3</v>
      </c>
      <c r="G31">
        <v>3</v>
      </c>
      <c r="H31">
        <v>3</v>
      </c>
      <c r="I31">
        <v>1</v>
      </c>
      <c r="J31">
        <v>1</v>
      </c>
      <c r="K31">
        <v>3</v>
      </c>
      <c r="L31">
        <v>4</v>
      </c>
      <c r="M31">
        <v>3</v>
      </c>
      <c r="N31">
        <v>4</v>
      </c>
      <c r="O31">
        <v>4</v>
      </c>
      <c r="P31">
        <v>3</v>
      </c>
      <c r="Q31">
        <v>2</v>
      </c>
      <c r="R31">
        <v>2</v>
      </c>
      <c r="S31">
        <v>4</v>
      </c>
      <c r="T31">
        <v>3</v>
      </c>
      <c r="U31">
        <v>21</v>
      </c>
      <c r="V31">
        <v>25</v>
      </c>
      <c r="W31">
        <v>8</v>
      </c>
    </row>
    <row r="32" spans="1:29">
      <c r="A32">
        <v>1.2</v>
      </c>
      <c r="B32">
        <v>5</v>
      </c>
      <c r="C32">
        <v>5</v>
      </c>
      <c r="D32">
        <v>2</v>
      </c>
      <c r="E32">
        <v>2</v>
      </c>
      <c r="F32">
        <v>1</v>
      </c>
      <c r="G32">
        <v>3</v>
      </c>
      <c r="H32">
        <v>2</v>
      </c>
      <c r="I32">
        <v>3</v>
      </c>
      <c r="J32">
        <v>3</v>
      </c>
      <c r="K32">
        <v>1</v>
      </c>
      <c r="L32">
        <v>3</v>
      </c>
      <c r="M32">
        <v>3</v>
      </c>
      <c r="N32">
        <v>3</v>
      </c>
      <c r="O32">
        <v>1</v>
      </c>
      <c r="P32">
        <v>3</v>
      </c>
      <c r="Q32">
        <v>2</v>
      </c>
      <c r="R32">
        <v>4</v>
      </c>
      <c r="S32">
        <v>2</v>
      </c>
      <c r="T32">
        <v>3</v>
      </c>
      <c r="U32">
        <v>14</v>
      </c>
      <c r="V32">
        <v>26</v>
      </c>
      <c r="W32">
        <v>8</v>
      </c>
    </row>
    <row r="33" spans="1:23">
      <c r="A33">
        <v>0.76</v>
      </c>
      <c r="B33">
        <v>3</v>
      </c>
      <c r="C33">
        <v>3</v>
      </c>
      <c r="D33">
        <v>4</v>
      </c>
      <c r="E33">
        <v>4</v>
      </c>
      <c r="F33">
        <v>3</v>
      </c>
      <c r="G33">
        <v>3</v>
      </c>
      <c r="H33">
        <v>3</v>
      </c>
      <c r="I33">
        <v>3</v>
      </c>
      <c r="J33">
        <v>3</v>
      </c>
      <c r="K33">
        <v>2</v>
      </c>
      <c r="L33">
        <v>4</v>
      </c>
      <c r="M33">
        <v>4</v>
      </c>
      <c r="N33">
        <v>4</v>
      </c>
      <c r="O33">
        <v>4</v>
      </c>
      <c r="P33">
        <v>1</v>
      </c>
      <c r="Q33">
        <v>3</v>
      </c>
      <c r="R33">
        <v>3</v>
      </c>
      <c r="S33">
        <v>2</v>
      </c>
      <c r="T33">
        <v>3</v>
      </c>
      <c r="U33">
        <v>19</v>
      </c>
      <c r="V33">
        <v>29</v>
      </c>
      <c r="W33">
        <v>8</v>
      </c>
    </row>
    <row r="34" spans="1:23">
      <c r="A34">
        <v>1.35</v>
      </c>
      <c r="B34">
        <v>4</v>
      </c>
      <c r="C34">
        <v>3</v>
      </c>
      <c r="D34">
        <v>2</v>
      </c>
      <c r="E34">
        <v>1</v>
      </c>
      <c r="F34">
        <v>2</v>
      </c>
      <c r="G34">
        <v>1</v>
      </c>
      <c r="H34">
        <v>3</v>
      </c>
      <c r="I34">
        <v>1</v>
      </c>
      <c r="J34">
        <v>1</v>
      </c>
      <c r="K34">
        <v>1</v>
      </c>
      <c r="L34">
        <v>1</v>
      </c>
      <c r="M34">
        <v>3</v>
      </c>
      <c r="N34">
        <v>2</v>
      </c>
      <c r="O34">
        <v>1</v>
      </c>
      <c r="P34">
        <v>2</v>
      </c>
      <c r="Q34">
        <v>2</v>
      </c>
      <c r="R34">
        <v>1</v>
      </c>
      <c r="S34">
        <v>1</v>
      </c>
      <c r="T34">
        <v>1</v>
      </c>
      <c r="U34">
        <v>10</v>
      </c>
      <c r="V34">
        <v>18</v>
      </c>
      <c r="W34">
        <v>4</v>
      </c>
    </row>
    <row r="35" spans="1:23">
      <c r="A35">
        <v>0.92</v>
      </c>
      <c r="B35">
        <v>1</v>
      </c>
      <c r="C35">
        <v>3</v>
      </c>
      <c r="D35">
        <v>3</v>
      </c>
      <c r="E35">
        <v>2</v>
      </c>
      <c r="F35">
        <v>2</v>
      </c>
      <c r="G35">
        <v>2</v>
      </c>
      <c r="H35">
        <v>3</v>
      </c>
      <c r="I35">
        <v>3</v>
      </c>
      <c r="J35">
        <v>3</v>
      </c>
      <c r="K35">
        <v>2</v>
      </c>
      <c r="L35">
        <v>1</v>
      </c>
      <c r="M35">
        <v>1</v>
      </c>
      <c r="N35">
        <v>2</v>
      </c>
      <c r="O35">
        <v>1</v>
      </c>
      <c r="P35">
        <v>1</v>
      </c>
      <c r="Q35">
        <v>3</v>
      </c>
      <c r="R35">
        <v>2</v>
      </c>
      <c r="S35">
        <v>4</v>
      </c>
      <c r="T35">
        <v>3</v>
      </c>
      <c r="U35">
        <v>8</v>
      </c>
      <c r="V35">
        <v>22</v>
      </c>
      <c r="W35">
        <v>9</v>
      </c>
    </row>
    <row r="36" spans="1:23">
      <c r="A36">
        <v>1.81</v>
      </c>
      <c r="B36">
        <v>3</v>
      </c>
      <c r="C36">
        <v>3</v>
      </c>
      <c r="D36">
        <v>2</v>
      </c>
      <c r="E36">
        <v>2</v>
      </c>
      <c r="F36">
        <v>5</v>
      </c>
      <c r="G36">
        <v>1</v>
      </c>
      <c r="H36">
        <v>3</v>
      </c>
      <c r="I36">
        <v>1</v>
      </c>
      <c r="J36">
        <v>1</v>
      </c>
      <c r="K36">
        <v>1</v>
      </c>
      <c r="L36">
        <v>3</v>
      </c>
      <c r="M36">
        <v>4</v>
      </c>
      <c r="N36">
        <v>4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15</v>
      </c>
      <c r="V36">
        <v>21</v>
      </c>
      <c r="W36">
        <v>3</v>
      </c>
    </row>
    <row r="37" spans="1:23">
      <c r="A37">
        <v>0.65</v>
      </c>
      <c r="B37">
        <v>3</v>
      </c>
      <c r="C37">
        <v>4</v>
      </c>
      <c r="D37">
        <v>3</v>
      </c>
      <c r="E37">
        <v>3</v>
      </c>
      <c r="F37">
        <v>2</v>
      </c>
      <c r="G37">
        <v>2</v>
      </c>
      <c r="H37">
        <v>2</v>
      </c>
      <c r="I37">
        <v>1</v>
      </c>
      <c r="J37">
        <v>1</v>
      </c>
      <c r="K37">
        <v>3</v>
      </c>
      <c r="L37">
        <v>2</v>
      </c>
      <c r="M37">
        <v>2</v>
      </c>
      <c r="N37">
        <v>1</v>
      </c>
      <c r="O37">
        <v>1</v>
      </c>
      <c r="P37">
        <v>2</v>
      </c>
      <c r="Q37">
        <v>2</v>
      </c>
      <c r="R37">
        <v>3</v>
      </c>
      <c r="S37">
        <v>2</v>
      </c>
      <c r="T37">
        <v>3</v>
      </c>
      <c r="U37">
        <v>11</v>
      </c>
      <c r="V37">
        <v>21</v>
      </c>
      <c r="W37">
        <v>7</v>
      </c>
    </row>
    <row r="38" spans="1:23">
      <c r="A38">
        <v>1.01</v>
      </c>
      <c r="B38">
        <v>4</v>
      </c>
      <c r="C38">
        <v>3</v>
      </c>
      <c r="D38">
        <v>3</v>
      </c>
      <c r="E38">
        <v>3</v>
      </c>
      <c r="F38">
        <v>3</v>
      </c>
      <c r="G38">
        <v>2</v>
      </c>
      <c r="H38">
        <v>4</v>
      </c>
      <c r="I38">
        <v>3</v>
      </c>
      <c r="J38">
        <v>3</v>
      </c>
      <c r="K38">
        <v>3</v>
      </c>
      <c r="L38">
        <v>2</v>
      </c>
      <c r="M38">
        <v>4</v>
      </c>
      <c r="N38">
        <v>4</v>
      </c>
      <c r="O38">
        <v>4</v>
      </c>
      <c r="P38">
        <v>4</v>
      </c>
      <c r="Q38">
        <v>3</v>
      </c>
      <c r="R38">
        <v>4</v>
      </c>
      <c r="S38">
        <v>5</v>
      </c>
      <c r="T38">
        <v>3</v>
      </c>
      <c r="U38">
        <v>21</v>
      </c>
      <c r="V38">
        <v>28</v>
      </c>
      <c r="W38">
        <v>12</v>
      </c>
    </row>
    <row r="39" spans="1:23">
      <c r="A39">
        <v>0.76</v>
      </c>
      <c r="B39">
        <v>4</v>
      </c>
      <c r="C39">
        <v>3</v>
      </c>
      <c r="D39">
        <v>3</v>
      </c>
      <c r="E39">
        <v>3</v>
      </c>
      <c r="F39">
        <v>3</v>
      </c>
      <c r="G39">
        <v>2</v>
      </c>
      <c r="H39">
        <v>3</v>
      </c>
      <c r="I39">
        <v>3</v>
      </c>
      <c r="J39">
        <v>3</v>
      </c>
      <c r="K39">
        <v>3</v>
      </c>
      <c r="L39">
        <v>4</v>
      </c>
      <c r="M39">
        <v>4</v>
      </c>
      <c r="N39">
        <v>4</v>
      </c>
      <c r="O39">
        <v>5</v>
      </c>
      <c r="P39">
        <v>5</v>
      </c>
      <c r="Q39">
        <v>4</v>
      </c>
      <c r="R39">
        <v>4</v>
      </c>
      <c r="S39">
        <v>5</v>
      </c>
      <c r="T39">
        <v>3</v>
      </c>
      <c r="U39">
        <v>25</v>
      </c>
      <c r="V39">
        <v>27</v>
      </c>
      <c r="W39">
        <v>13</v>
      </c>
    </row>
    <row r="40" spans="1:23">
      <c r="B40">
        <v>0.10395221662165592</v>
      </c>
      <c r="C40">
        <v>-0.11939867341279865</v>
      </c>
      <c r="D40">
        <v>-0.20827381909263282</v>
      </c>
      <c r="E40">
        <v>-5.1069660870001289E-2</v>
      </c>
      <c r="F40">
        <v>-3.354954026247E-2</v>
      </c>
      <c r="G40">
        <v>-8.3453637408953146E-2</v>
      </c>
      <c r="H40">
        <v>3.6038146037817478E-2</v>
      </c>
      <c r="I40">
        <v>-0.10874794229080911</v>
      </c>
      <c r="J40">
        <v>-4.3085867498130828E-2</v>
      </c>
      <c r="K40">
        <v>2.4659589088863149E-2</v>
      </c>
      <c r="L40">
        <v>-0.14204521891999194</v>
      </c>
      <c r="M40">
        <v>2.2638727345375712E-2</v>
      </c>
      <c r="N40">
        <v>-5.7988496892507572E-3</v>
      </c>
      <c r="O40">
        <v>-0.14073902816593481</v>
      </c>
      <c r="P40">
        <v>5.954922562863515E-3</v>
      </c>
      <c r="Q40">
        <v>-0.13385180891195281</v>
      </c>
      <c r="R40">
        <v>-1.3607970036678428E-2</v>
      </c>
      <c r="S40">
        <v>2.5250824114753665E-4</v>
      </c>
      <c r="T40">
        <v>-0.13568270097849219</v>
      </c>
      <c r="U40">
        <v>-5.5168751639422191E-2</v>
      </c>
      <c r="V40">
        <v>-9.1388681619826884E-2</v>
      </c>
      <c r="W40">
        <v>-5.5030269336303984E-2</v>
      </c>
    </row>
  </sheetData>
  <autoFilter ref="AE1:AF1" xr:uid="{FC502EB1-9506-4687-AED3-BC8FD2B9D9DA}">
    <sortState xmlns:xlrd2="http://schemas.microsoft.com/office/spreadsheetml/2017/richdata2" ref="AE2:AF4">
      <sortCondition descending="1" ref="AF1"/>
    </sortState>
  </autoFilter>
  <phoneticPr fontId="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PMC検査結果</vt:lpstr>
      <vt:lpstr>PMCストレスチェックとの相関</vt:lpstr>
      <vt:lpstr>PMCストレスチェック小項目との相関解析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 shozo</dc:creator>
  <cp:lastModifiedBy>HIROFUMI SHIBA</cp:lastModifiedBy>
  <dcterms:created xsi:type="dcterms:W3CDTF">2024-07-25T05:12:43Z</dcterms:created>
  <dcterms:modified xsi:type="dcterms:W3CDTF">2025-02-26T11:26:25Z</dcterms:modified>
</cp:coreProperties>
</file>