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9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0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1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2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Ex13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14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15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16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17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18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19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7.xml" ContentType="application/vnd.openxmlformats-officedocument.drawing+xml"/>
  <Override PartName="/xl/charts/chartEx20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21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8.xml" ContentType="application/vnd.openxmlformats-officedocument.drawing+xml"/>
  <Override PartName="/xl/charts/chartEx22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23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0.xml" ContentType="application/vnd.openxmlformats-officedocument.drawing+xml"/>
  <Override PartName="/xl/charts/chartEx24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1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Ex25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26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27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1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1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irofumi48/Desktop/Mentalism/3-BayesianDataAnalysis/Cocosiru/資料/"/>
    </mc:Choice>
  </mc:AlternateContent>
  <xr:revisionPtr revIDLastSave="0" documentId="13_ncr:1_{1608DC54-4157-DA4D-82A2-18C5D36B5504}" xr6:coauthVersionLast="47" xr6:coauthVersionMax="47" xr10:uidLastSave="{00000000-0000-0000-0000-000000000000}"/>
  <bookViews>
    <workbookView xWindow="1120" yWindow="500" windowWidth="40380" windowHeight="19100" xr2:uid="{00000000-000D-0000-FFFF-FFFF00000000}"/>
  </bookViews>
  <sheets>
    <sheet name="2回目結果" sheetId="2" r:id="rId1"/>
    <sheet name="ストレスチェック小項目との相関解析" sheetId="21" r:id="rId2"/>
    <sheet name="ストレスチェック小項目との相関解析（pp転記用）" sheetId="22" r:id="rId3"/>
    <sheet name="2回目労務管理データ" sheetId="18" r:id="rId4"/>
    <sheet name="2回目フォームの回答 " sheetId="1" r:id="rId5"/>
    <sheet name="1回目→2回目の変化" sheetId="20" r:id="rId6"/>
    <sheet name="1回目結果" sheetId="12" r:id="rId7"/>
    <sheet name="1回目労務管理データ" sheetId="6" r:id="rId8"/>
    <sheet name="2回目相関係数解析" sheetId="17" r:id="rId9"/>
    <sheet name="解析（ストレススコア）" sheetId="3" r:id="rId10"/>
    <sheet name="解析（労務情報）" sheetId="9" r:id="rId11"/>
    <sheet name="解析（アテネ不眠尺度）" sheetId="10" r:id="rId12"/>
    <sheet name="解析（プレゼンティーズム）" sheetId="7" r:id="rId13"/>
    <sheet name="年齢分布" sheetId="4" r:id="rId14"/>
    <sheet name="スコア分布" sheetId="5" r:id="rId15"/>
  </sheets>
  <externalReferences>
    <externalReference r:id="rId16"/>
  </externalReferences>
  <definedNames>
    <definedName name="_xlnm._FilterDatabase" localSheetId="5" hidden="1">'1回目→2回目の変化'!$BM$2:$BN$2</definedName>
    <definedName name="_xlnm._FilterDatabase" localSheetId="6" hidden="1">'1回目結果'!$A$1:$DV$33</definedName>
    <definedName name="_xlnm._FilterDatabase" localSheetId="7" hidden="1">'1回目労務管理データ'!$A$2:$K$32</definedName>
    <definedName name="_xlnm._FilterDatabase" localSheetId="4" hidden="1">'2回目フォームの回答 '!$B$1:$BP$1</definedName>
    <definedName name="_xlnm._FilterDatabase" localSheetId="0" hidden="1">'2回目結果'!$A$1:$EJ$29</definedName>
    <definedName name="_xlnm._FilterDatabase" localSheetId="14" hidden="1">スコア分布!$K$1:$K$26</definedName>
    <definedName name="_xlnm._FilterDatabase" localSheetId="2" hidden="1">'ストレスチェック小項目との相関解析（pp転記用）'!$AD$1:$AE$1</definedName>
    <definedName name="_xlnm._FilterDatabase" localSheetId="12" hidden="1">'解析（プレゼンティーズム）'!$A$2:$B$2</definedName>
    <definedName name="_xlnm._FilterDatabase" localSheetId="10" hidden="1">'解析（労務情報）'!$A$51:$B$51</definedName>
    <definedName name="_xlnm._FilterDatabase" localSheetId="13" hidden="1">年齢分布!$A$2:$B$2</definedName>
    <definedName name="_xlchart.v1.0" hidden="1">'1回目→2回目の変化'!$BA$3:$BA$15</definedName>
    <definedName name="_xlchart.v1.1" hidden="1">'1回目→2回目の変化'!$BB$3:$BB$14</definedName>
    <definedName name="_xlchart.v1.10" hidden="1">'1回目→2回目の変化'!$AJ$4:$AJ$18</definedName>
    <definedName name="_xlchart.v1.11" hidden="1">'1回目→2回目の変化'!$AK$4:$AK$18</definedName>
    <definedName name="_xlchart.v1.12" hidden="1">'1回目→2回目の変化'!$AP$3:$AP$17</definedName>
    <definedName name="_xlchart.v1.13" hidden="1">'1回目→2回目の変化'!$AQ$3:$AQ$17</definedName>
    <definedName name="_xlchart.v1.14" hidden="1">'1回目→2回目の変化'!$BO$3:$BO$17</definedName>
    <definedName name="_xlchart.v1.15" hidden="1">'1回目→2回目の変化'!$BP$3:$BP$17</definedName>
    <definedName name="_xlchart.v1.16" hidden="1">'1回目→2回目の変化'!$AX$3:$AX$15</definedName>
    <definedName name="_xlchart.v1.17" hidden="1">'1回目→2回目の変化'!$AY$3:$AY$15</definedName>
    <definedName name="_xlchart.v1.18" hidden="1">'1回目→2回目の変化'!$K$6:$K$24</definedName>
    <definedName name="_xlchart.v1.19" hidden="1">'1回目→2回目の変化'!$L$6:$L$24</definedName>
    <definedName name="_xlchart.v1.2" hidden="1">'1回目→2回目の変化'!$BJ$3:$BJ$12</definedName>
    <definedName name="_xlchart.v1.20" hidden="1">'1回目→2回目の変化'!$M$6:$M$24</definedName>
    <definedName name="_xlchart.v1.21" hidden="1">'1回目→2回目の変化'!$N$6:$N$24</definedName>
    <definedName name="_xlchart.v1.22" hidden="1">'解析（ストレススコア）'!$G$36</definedName>
    <definedName name="_xlchart.v1.23" hidden="1">'解析（ストレススコア）'!$G$37:$G$56</definedName>
    <definedName name="_xlchart.v1.24" hidden="1">'解析（ストレススコア）'!$H$36</definedName>
    <definedName name="_xlchart.v1.25" hidden="1">'解析（ストレススコア）'!$H$37:$H$56</definedName>
    <definedName name="_xlchart.v1.26" hidden="1">'解析（ストレススコア）'!$G$67:$G$89</definedName>
    <definedName name="_xlchart.v1.27" hidden="1">'解析（ストレススコア）'!$H$67:$H$89</definedName>
    <definedName name="_xlchart.v1.28" hidden="1">'解析（労務情報）'!$A$98:$A$124</definedName>
    <definedName name="_xlchart.v1.29" hidden="1">'解析（労務情報）'!$B$98:$B$124</definedName>
    <definedName name="_xlchart.v1.3" hidden="1">'1回目→2回目の変化'!$BK$3:$BK$12</definedName>
    <definedName name="_xlchart.v1.30" hidden="1">'解析（労務情報）'!$H$3:$H$21</definedName>
    <definedName name="_xlchart.v1.31" hidden="1">'解析（労務情報）'!$I$3:$I$21</definedName>
    <definedName name="_xlchart.v1.32" hidden="1">'解析（労務情報）'!$D$51</definedName>
    <definedName name="_xlchart.v1.33" hidden="1">'解析（労務情報）'!$D$52:$D$72</definedName>
    <definedName name="_xlchart.v1.34" hidden="1">'解析（労務情報）'!$E$51</definedName>
    <definedName name="_xlchart.v1.35" hidden="1">'解析（労務情報）'!$E$52:$E$72</definedName>
    <definedName name="_xlchart.v1.36" hidden="1">'解析（労務情報）'!$L$3:$L$24</definedName>
    <definedName name="_xlchart.v1.37" hidden="1">'解析（労務情報）'!$M$3:$M$24</definedName>
    <definedName name="_xlchart.v1.38" hidden="1">'解析（労務情報）'!$D$2</definedName>
    <definedName name="_xlchart.v1.39" hidden="1">'解析（労務情報）'!$D$3:$D$21</definedName>
    <definedName name="_xlchart.v1.4" hidden="1">'1回目→2回目の変化'!$AE$4:$AE$13</definedName>
    <definedName name="_xlchart.v1.40" hidden="1">'解析（労務情報）'!$E$2</definedName>
    <definedName name="_xlchart.v1.41" hidden="1">'解析（労務情報）'!$E$3:$E$21</definedName>
    <definedName name="_xlchart.v1.42" hidden="1">'解析（労務情報）'!$A$155:$A$178</definedName>
    <definedName name="_xlchart.v1.43" hidden="1">'解析（労務情報）'!$B$155:$B$178</definedName>
    <definedName name="_xlchart.v1.44" hidden="1">'解析（アテネ不眠尺度）'!$I$3:$I$19</definedName>
    <definedName name="_xlchart.v1.45" hidden="1">'解析（アテネ不眠尺度）'!$J$3:$J$19</definedName>
    <definedName name="_xlchart.v1.46" hidden="1">'解析（アテネ不眠尺度）'!$A$3:$A$24</definedName>
    <definedName name="_xlchart.v1.47" hidden="1">'解析（アテネ不眠尺度）'!$B$3:$B$24</definedName>
    <definedName name="_xlchart.v1.48" hidden="1">'解析（プレゼンティーズム）'!$E$4:$E$28</definedName>
    <definedName name="_xlchart.v1.49" hidden="1">'解析（プレゼンティーズム）'!$F$4:$F$28</definedName>
    <definedName name="_xlchart.v1.5" hidden="1">'1回目→2回目の変化'!$AF$4:$AF$13</definedName>
    <definedName name="_xlchart.v1.50" hidden="1">'解析（プレゼンティーズム）'!$K$4:$K$25</definedName>
    <definedName name="_xlchart.v1.51" hidden="1">'解析（プレゼンティーズム）'!$L$4:$L$25</definedName>
    <definedName name="_xlchart.v1.52" hidden="1">スコア分布!$K$2:$K$26</definedName>
    <definedName name="_xlchart.v1.53" hidden="1">スコア分布!$C$2:$C$29</definedName>
    <definedName name="_xlchart.v1.54" hidden="1">スコア分布!$A$2:$A$31</definedName>
    <definedName name="_xlchart.v1.55" hidden="1">スコア分布!$G$2:$G$22</definedName>
    <definedName name="_xlchart.v1.6" hidden="1">'1回目→2回目の変化'!$X$3</definedName>
    <definedName name="_xlchart.v1.7" hidden="1">'1回目→2回目の変化'!$X$4:$X$18</definedName>
    <definedName name="_xlchart.v1.8" hidden="1">'1回目→2回目の変化'!$Y$3</definedName>
    <definedName name="_xlchart.v1.9" hidden="1">'1回目→2回目の変化'!$Y$4:$Y$18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'1回目→2回目の変化'!$AD$7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G24" i="5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AO29" i="21"/>
  <c r="AQ29" i="21"/>
  <c r="AN29" i="21"/>
  <c r="AL29" i="21"/>
  <c r="AJ29" i="21"/>
  <c r="AH29" i="21"/>
  <c r="G29" i="21"/>
  <c r="AF29" i="21"/>
  <c r="AE29" i="21"/>
  <c r="AC29" i="21"/>
  <c r="AA29" i="21"/>
  <c r="Y29" i="21"/>
  <c r="W29" i="21"/>
  <c r="U29" i="21"/>
  <c r="S29" i="21"/>
  <c r="Q29" i="21"/>
  <c r="O29" i="21"/>
  <c r="M29" i="21"/>
  <c r="K29" i="21"/>
  <c r="I29" i="21"/>
  <c r="F29" i="21"/>
  <c r="D29" i="21"/>
  <c r="B29" i="21"/>
  <c r="X2" i="2"/>
  <c r="V2" i="2"/>
  <c r="DY3" i="2"/>
  <c r="DZ3" i="2"/>
  <c r="EA3" i="2"/>
  <c r="EM3" i="2" s="1"/>
  <c r="EB3" i="2"/>
  <c r="EC3" i="2"/>
  <c r="ED3" i="2"/>
  <c r="DY4" i="2"/>
  <c r="DZ4" i="2"/>
  <c r="EA4" i="2"/>
  <c r="EM4" i="2" s="1"/>
  <c r="EB4" i="2"/>
  <c r="EC4" i="2"/>
  <c r="ED4" i="2"/>
  <c r="DY5" i="2"/>
  <c r="DZ5" i="2"/>
  <c r="EA5" i="2"/>
  <c r="EM5" i="2" s="1"/>
  <c r="EB5" i="2"/>
  <c r="EC5" i="2"/>
  <c r="ED5" i="2"/>
  <c r="DY6" i="2"/>
  <c r="DZ6" i="2"/>
  <c r="EA6" i="2"/>
  <c r="EM6" i="2" s="1"/>
  <c r="EB6" i="2"/>
  <c r="EC6" i="2"/>
  <c r="ED6" i="2"/>
  <c r="DY7" i="2"/>
  <c r="DZ7" i="2"/>
  <c r="EA7" i="2"/>
  <c r="EM7" i="2" s="1"/>
  <c r="EB7" i="2"/>
  <c r="EC7" i="2"/>
  <c r="ED7" i="2"/>
  <c r="DY8" i="2"/>
  <c r="DZ8" i="2"/>
  <c r="EA8" i="2"/>
  <c r="EM8" i="2" s="1"/>
  <c r="EB8" i="2"/>
  <c r="EC8" i="2"/>
  <c r="ED8" i="2"/>
  <c r="DY9" i="2"/>
  <c r="DZ9" i="2"/>
  <c r="EA9" i="2"/>
  <c r="EM9" i="2" s="1"/>
  <c r="EB9" i="2"/>
  <c r="EC9" i="2"/>
  <c r="ED9" i="2"/>
  <c r="DY10" i="2"/>
  <c r="DZ10" i="2"/>
  <c r="EA10" i="2"/>
  <c r="EM10" i="2" s="1"/>
  <c r="EB10" i="2"/>
  <c r="EC10" i="2"/>
  <c r="ED10" i="2"/>
  <c r="DY11" i="2"/>
  <c r="DZ11" i="2"/>
  <c r="EA11" i="2"/>
  <c r="EM11" i="2" s="1"/>
  <c r="EB11" i="2"/>
  <c r="EC11" i="2"/>
  <c r="ED11" i="2"/>
  <c r="DY12" i="2"/>
  <c r="DZ12" i="2"/>
  <c r="EA12" i="2"/>
  <c r="EM12" i="2" s="1"/>
  <c r="EB12" i="2"/>
  <c r="EC12" i="2"/>
  <c r="ED12" i="2"/>
  <c r="DY13" i="2"/>
  <c r="DZ13" i="2"/>
  <c r="EA13" i="2"/>
  <c r="EM13" i="2" s="1"/>
  <c r="EB13" i="2"/>
  <c r="EC13" i="2"/>
  <c r="ED13" i="2"/>
  <c r="DY14" i="2"/>
  <c r="DZ14" i="2"/>
  <c r="EA14" i="2"/>
  <c r="EM14" i="2" s="1"/>
  <c r="EB14" i="2"/>
  <c r="EC14" i="2"/>
  <c r="ED14" i="2"/>
  <c r="DY15" i="2"/>
  <c r="DZ15" i="2"/>
  <c r="EA15" i="2"/>
  <c r="EM15" i="2" s="1"/>
  <c r="EB15" i="2"/>
  <c r="EC15" i="2"/>
  <c r="ED15" i="2"/>
  <c r="DY16" i="2"/>
  <c r="DZ16" i="2"/>
  <c r="EA16" i="2"/>
  <c r="EM16" i="2" s="1"/>
  <c r="EB16" i="2"/>
  <c r="EC16" i="2"/>
  <c r="ED16" i="2"/>
  <c r="DY17" i="2"/>
  <c r="DZ17" i="2"/>
  <c r="EA17" i="2"/>
  <c r="EM17" i="2" s="1"/>
  <c r="EB17" i="2"/>
  <c r="EC17" i="2"/>
  <c r="ED17" i="2"/>
  <c r="DY18" i="2"/>
  <c r="DZ18" i="2"/>
  <c r="EA18" i="2"/>
  <c r="EM18" i="2" s="1"/>
  <c r="EB18" i="2"/>
  <c r="EC18" i="2"/>
  <c r="ED18" i="2"/>
  <c r="DY19" i="2"/>
  <c r="DZ19" i="2"/>
  <c r="EA19" i="2"/>
  <c r="EM19" i="2" s="1"/>
  <c r="EB19" i="2"/>
  <c r="EC19" i="2"/>
  <c r="ED19" i="2"/>
  <c r="DY20" i="2"/>
  <c r="DZ20" i="2"/>
  <c r="EA20" i="2"/>
  <c r="EM20" i="2" s="1"/>
  <c r="EB20" i="2"/>
  <c r="EC20" i="2"/>
  <c r="ED20" i="2"/>
  <c r="DY21" i="2"/>
  <c r="DZ21" i="2"/>
  <c r="EA21" i="2"/>
  <c r="EM21" i="2" s="1"/>
  <c r="EB21" i="2"/>
  <c r="EC21" i="2"/>
  <c r="ED21" i="2"/>
  <c r="DY22" i="2"/>
  <c r="DZ22" i="2"/>
  <c r="EA22" i="2"/>
  <c r="EM22" i="2" s="1"/>
  <c r="EB22" i="2"/>
  <c r="EC22" i="2"/>
  <c r="ED22" i="2"/>
  <c r="DY23" i="2"/>
  <c r="DZ23" i="2"/>
  <c r="EA23" i="2"/>
  <c r="EM23" i="2" s="1"/>
  <c r="EB23" i="2"/>
  <c r="EC23" i="2"/>
  <c r="ED23" i="2"/>
  <c r="DY24" i="2"/>
  <c r="DZ24" i="2"/>
  <c r="EA24" i="2"/>
  <c r="EM24" i="2" s="1"/>
  <c r="EB24" i="2"/>
  <c r="EC24" i="2"/>
  <c r="ED24" i="2"/>
  <c r="DY25" i="2"/>
  <c r="DZ25" i="2"/>
  <c r="EA25" i="2"/>
  <c r="EM25" i="2" s="1"/>
  <c r="EB25" i="2"/>
  <c r="EC25" i="2"/>
  <c r="ED25" i="2"/>
  <c r="DY26" i="2"/>
  <c r="DZ26" i="2"/>
  <c r="EA26" i="2"/>
  <c r="EM26" i="2" s="1"/>
  <c r="EB26" i="2"/>
  <c r="EC26" i="2"/>
  <c r="ED26" i="2"/>
  <c r="DY27" i="2"/>
  <c r="DZ27" i="2"/>
  <c r="EA27" i="2"/>
  <c r="EM27" i="2" s="1"/>
  <c r="EB27" i="2"/>
  <c r="EC27" i="2"/>
  <c r="ED27" i="2"/>
  <c r="DY28" i="2"/>
  <c r="DZ28" i="2"/>
  <c r="EA28" i="2"/>
  <c r="EM28" i="2" s="1"/>
  <c r="EB28" i="2"/>
  <c r="EC28" i="2"/>
  <c r="ED28" i="2"/>
  <c r="DY29" i="2"/>
  <c r="DZ29" i="2"/>
  <c r="EA29" i="2"/>
  <c r="EM29" i="2" s="1"/>
  <c r="EB29" i="2"/>
  <c r="EC29" i="2"/>
  <c r="ED29" i="2"/>
  <c r="ED2" i="2"/>
  <c r="DZ2" i="2"/>
  <c r="EA2" i="2"/>
  <c r="EM2" i="2" s="1"/>
  <c r="EB2" i="2"/>
  <c r="EC2" i="2"/>
  <c r="DY2" i="2"/>
  <c r="I24" i="4"/>
  <c r="H24" i="4"/>
  <c r="W23" i="17"/>
  <c r="T30" i="17"/>
  <c r="Q30" i="17"/>
  <c r="N30" i="17"/>
  <c r="H30" i="17"/>
  <c r="E30" i="17"/>
  <c r="B30" i="17"/>
  <c r="K30" i="17"/>
  <c r="E2" i="2" l="1"/>
  <c r="D63" i="5"/>
  <c r="D30" i="5"/>
  <c r="DX22" i="2"/>
  <c r="EJ22" i="2" s="1"/>
  <c r="DX5" i="2"/>
  <c r="EJ5" i="2" s="1"/>
  <c r="DU3" i="2" l="1"/>
  <c r="DV3" i="2"/>
  <c r="DW3" i="2"/>
  <c r="DX3" i="2"/>
  <c r="EJ3" i="2" s="1"/>
  <c r="DU4" i="2"/>
  <c r="DV4" i="2"/>
  <c r="DW4" i="2"/>
  <c r="EK4" i="2" s="1"/>
  <c r="DX4" i="2"/>
  <c r="EJ4" i="2" s="1"/>
  <c r="DU5" i="2"/>
  <c r="DV5" i="2"/>
  <c r="DW5" i="2"/>
  <c r="EK5" i="2" s="1"/>
  <c r="DU6" i="2"/>
  <c r="DV6" i="2"/>
  <c r="DW6" i="2"/>
  <c r="EK6" i="2" s="1"/>
  <c r="DX6" i="2"/>
  <c r="EJ6" i="2" s="1"/>
  <c r="DU7" i="2"/>
  <c r="DV7" i="2"/>
  <c r="DW7" i="2"/>
  <c r="DX7" i="2"/>
  <c r="EJ7" i="2" s="1"/>
  <c r="DU8" i="2"/>
  <c r="DV8" i="2"/>
  <c r="DW8" i="2"/>
  <c r="EK8" i="2" s="1"/>
  <c r="DX8" i="2"/>
  <c r="EJ8" i="2" s="1"/>
  <c r="DU9" i="2"/>
  <c r="DV9" i="2"/>
  <c r="DW9" i="2"/>
  <c r="EK9" i="2" s="1"/>
  <c r="DX9" i="2"/>
  <c r="EJ9" i="2" s="1"/>
  <c r="DU10" i="2"/>
  <c r="DV10" i="2"/>
  <c r="DW10" i="2"/>
  <c r="EK10" i="2" s="1"/>
  <c r="DX10" i="2"/>
  <c r="EJ10" i="2" s="1"/>
  <c r="DU11" i="2"/>
  <c r="DV11" i="2"/>
  <c r="DW11" i="2"/>
  <c r="EK11" i="2" s="1"/>
  <c r="DX11" i="2"/>
  <c r="EJ11" i="2" s="1"/>
  <c r="DU12" i="2"/>
  <c r="DV12" i="2"/>
  <c r="DW12" i="2"/>
  <c r="EK12" i="2" s="1"/>
  <c r="DX12" i="2"/>
  <c r="EJ12" i="2" s="1"/>
  <c r="DU13" i="2"/>
  <c r="DV13" i="2"/>
  <c r="DW13" i="2"/>
  <c r="DX13" i="2"/>
  <c r="EJ13" i="2" s="1"/>
  <c r="DU14" i="2"/>
  <c r="DV14" i="2"/>
  <c r="DW14" i="2"/>
  <c r="EK14" i="2" s="1"/>
  <c r="DX14" i="2"/>
  <c r="EJ14" i="2" s="1"/>
  <c r="DU15" i="2"/>
  <c r="DV15" i="2"/>
  <c r="DW15" i="2"/>
  <c r="EK15" i="2" s="1"/>
  <c r="DX15" i="2"/>
  <c r="EJ15" i="2" s="1"/>
  <c r="DU16" i="2"/>
  <c r="DV16" i="2"/>
  <c r="DW16" i="2"/>
  <c r="DX16" i="2"/>
  <c r="EJ16" i="2" s="1"/>
  <c r="DU17" i="2"/>
  <c r="DV17" i="2"/>
  <c r="DW17" i="2"/>
  <c r="DX17" i="2"/>
  <c r="EJ17" i="2" s="1"/>
  <c r="DU18" i="2"/>
  <c r="DV18" i="2"/>
  <c r="DW18" i="2"/>
  <c r="EK18" i="2" s="1"/>
  <c r="DX18" i="2"/>
  <c r="EJ18" i="2" s="1"/>
  <c r="DU19" i="2"/>
  <c r="DV19" i="2"/>
  <c r="DW19" i="2"/>
  <c r="EK19" i="2" s="1"/>
  <c r="DX19" i="2"/>
  <c r="EJ19" i="2" s="1"/>
  <c r="DU20" i="2"/>
  <c r="DV20" i="2"/>
  <c r="DW20" i="2"/>
  <c r="DX20" i="2"/>
  <c r="EJ20" i="2" s="1"/>
  <c r="DU21" i="2"/>
  <c r="DV21" i="2"/>
  <c r="DW21" i="2"/>
  <c r="EK21" i="2" s="1"/>
  <c r="DX21" i="2"/>
  <c r="EJ21" i="2" s="1"/>
  <c r="DU22" i="2"/>
  <c r="DV22" i="2"/>
  <c r="DW22" i="2"/>
  <c r="EK22" i="2" s="1"/>
  <c r="DU23" i="2"/>
  <c r="DV23" i="2"/>
  <c r="DW23" i="2"/>
  <c r="EK23" i="2" s="1"/>
  <c r="DX23" i="2"/>
  <c r="EJ23" i="2" s="1"/>
  <c r="DU24" i="2"/>
  <c r="DV24" i="2"/>
  <c r="DW24" i="2"/>
  <c r="EK24" i="2" s="1"/>
  <c r="DX24" i="2"/>
  <c r="EJ24" i="2" s="1"/>
  <c r="DU25" i="2"/>
  <c r="DV25" i="2"/>
  <c r="DW25" i="2"/>
  <c r="EK25" i="2" s="1"/>
  <c r="DX25" i="2"/>
  <c r="EJ25" i="2" s="1"/>
  <c r="DU26" i="2"/>
  <c r="DV26" i="2"/>
  <c r="DW26" i="2"/>
  <c r="EK26" i="2" s="1"/>
  <c r="DX26" i="2"/>
  <c r="EJ26" i="2" s="1"/>
  <c r="DU27" i="2"/>
  <c r="DV27" i="2"/>
  <c r="DW27" i="2"/>
  <c r="DX27" i="2"/>
  <c r="EJ27" i="2" s="1"/>
  <c r="DU28" i="2"/>
  <c r="DV28" i="2"/>
  <c r="DW28" i="2"/>
  <c r="EK28" i="2" s="1"/>
  <c r="DX28" i="2"/>
  <c r="EJ28" i="2" s="1"/>
  <c r="DU29" i="2"/>
  <c r="DV29" i="2"/>
  <c r="DW29" i="2"/>
  <c r="DX29" i="2"/>
  <c r="EJ29" i="2" s="1"/>
  <c r="DV2" i="2"/>
  <c r="DW2" i="2"/>
  <c r="EK2" i="2" s="1"/>
  <c r="DX2" i="2"/>
  <c r="EJ2" i="2" s="1"/>
  <c r="DU2" i="2"/>
  <c r="DI31" i="12"/>
  <c r="DH31" i="12"/>
  <c r="DG31" i="12"/>
  <c r="DF31" i="12"/>
  <c r="DE31" i="12"/>
  <c r="DD31" i="12"/>
  <c r="DC31" i="12"/>
  <c r="DB31" i="12"/>
  <c r="DA31" i="12"/>
  <c r="CM31" i="12"/>
  <c r="CL31" i="12"/>
  <c r="CK31" i="12"/>
  <c r="CJ31" i="12"/>
  <c r="CI31" i="12"/>
  <c r="CH31" i="12"/>
  <c r="CG31" i="12"/>
  <c r="CF31" i="12"/>
  <c r="CE31" i="12"/>
  <c r="CD31" i="12"/>
  <c r="CC31" i="12"/>
  <c r="BP31" i="12"/>
  <c r="BO31" i="12"/>
  <c r="BN31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U31" i="12"/>
  <c r="AL31" i="12" s="1"/>
  <c r="AM31" i="12" s="1"/>
  <c r="T31" i="12"/>
  <c r="AJ31" i="12" s="1"/>
  <c r="AK31" i="12" s="1"/>
  <c r="S31" i="12"/>
  <c r="AD31" i="12" s="1"/>
  <c r="AE31" i="12" s="1"/>
  <c r="R31" i="12"/>
  <c r="Q31" i="12"/>
  <c r="P31" i="12"/>
  <c r="O31" i="12"/>
  <c r="AH31" i="12" s="1"/>
  <c r="AI31" i="12" s="1"/>
  <c r="N31" i="12"/>
  <c r="M31" i="12"/>
  <c r="L31" i="12"/>
  <c r="K31" i="12"/>
  <c r="Z31" i="12" s="1"/>
  <c r="AA31" i="12" s="1"/>
  <c r="J31" i="12"/>
  <c r="I31" i="12"/>
  <c r="H31" i="12"/>
  <c r="G31" i="12"/>
  <c r="F31" i="12"/>
  <c r="E31" i="12"/>
  <c r="D31" i="12"/>
  <c r="DI30" i="12"/>
  <c r="DH30" i="12"/>
  <c r="DG30" i="12"/>
  <c r="DF30" i="12"/>
  <c r="DE30" i="12"/>
  <c r="DD30" i="12"/>
  <c r="DC30" i="12"/>
  <c r="DB30" i="12"/>
  <c r="DA30" i="12"/>
  <c r="CM30" i="12"/>
  <c r="CL30" i="12"/>
  <c r="CT30" i="12" s="1"/>
  <c r="CU30" i="12" s="1"/>
  <c r="CK30" i="12"/>
  <c r="CJ30" i="12"/>
  <c r="CI30" i="12"/>
  <c r="CH30" i="12"/>
  <c r="CG30" i="12"/>
  <c r="CF30" i="12"/>
  <c r="CE30" i="12"/>
  <c r="CD30" i="12"/>
  <c r="CC30" i="12"/>
  <c r="BW30" i="12"/>
  <c r="BX30" i="12" s="1"/>
  <c r="BP30" i="12"/>
  <c r="BO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BS30" i="12" s="1"/>
  <c r="BT30" i="12" s="1"/>
  <c r="AP30" i="12"/>
  <c r="AO30" i="12"/>
  <c r="AN30" i="12"/>
  <c r="U30" i="12"/>
  <c r="AL30" i="12" s="1"/>
  <c r="AM30" i="12" s="1"/>
  <c r="T30" i="12"/>
  <c r="AJ30" i="12" s="1"/>
  <c r="AK30" i="12" s="1"/>
  <c r="S30" i="12"/>
  <c r="AD30" i="12" s="1"/>
  <c r="AE30" i="12" s="1"/>
  <c r="R30" i="12"/>
  <c r="Q30" i="12"/>
  <c r="P30" i="12"/>
  <c r="AB30" i="12" s="1"/>
  <c r="AC30" i="12" s="1"/>
  <c r="O30" i="12"/>
  <c r="AH30" i="12" s="1"/>
  <c r="AI30" i="12" s="1"/>
  <c r="N30" i="12"/>
  <c r="M30" i="12"/>
  <c r="L30" i="12"/>
  <c r="K30" i="12"/>
  <c r="Z30" i="12" s="1"/>
  <c r="AA30" i="12" s="1"/>
  <c r="J30" i="12"/>
  <c r="I30" i="12"/>
  <c r="H30" i="12"/>
  <c r="G30" i="12"/>
  <c r="F30" i="12"/>
  <c r="E30" i="12"/>
  <c r="D30" i="12"/>
  <c r="DI29" i="12"/>
  <c r="DH29" i="12"/>
  <c r="DG29" i="12"/>
  <c r="DF29" i="12"/>
  <c r="DE29" i="12"/>
  <c r="DD29" i="12"/>
  <c r="DC29" i="12"/>
  <c r="DB29" i="12"/>
  <c r="DA29" i="12"/>
  <c r="CM29" i="12"/>
  <c r="CL29" i="12"/>
  <c r="CT29" i="12" s="1"/>
  <c r="CU29" i="12" s="1"/>
  <c r="CK29" i="12"/>
  <c r="CJ29" i="12"/>
  <c r="CI29" i="12"/>
  <c r="CH29" i="12"/>
  <c r="CG29" i="12"/>
  <c r="CF29" i="12"/>
  <c r="CE29" i="12"/>
  <c r="CD29" i="12"/>
  <c r="CC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BQ29" i="12" s="1"/>
  <c r="BR29" i="12" s="1"/>
  <c r="U29" i="12"/>
  <c r="AL29" i="12" s="1"/>
  <c r="AM29" i="12" s="1"/>
  <c r="T29" i="12"/>
  <c r="AJ29" i="12" s="1"/>
  <c r="AK29" i="12" s="1"/>
  <c r="S29" i="12"/>
  <c r="AD29" i="12" s="1"/>
  <c r="AE29" i="12" s="1"/>
  <c r="R29" i="12"/>
  <c r="Q29" i="12"/>
  <c r="P29" i="12"/>
  <c r="O29" i="12"/>
  <c r="AH29" i="12" s="1"/>
  <c r="AI29" i="12" s="1"/>
  <c r="N29" i="12"/>
  <c r="M29" i="12"/>
  <c r="L29" i="12"/>
  <c r="K29" i="12"/>
  <c r="Z29" i="12" s="1"/>
  <c r="AA29" i="12" s="1"/>
  <c r="J29" i="12"/>
  <c r="I29" i="12"/>
  <c r="H29" i="12"/>
  <c r="G29" i="12"/>
  <c r="F29" i="12"/>
  <c r="E29" i="12"/>
  <c r="D29" i="12"/>
  <c r="DI28" i="12"/>
  <c r="DH28" i="12"/>
  <c r="DG28" i="12"/>
  <c r="DF28" i="12"/>
  <c r="DE28" i="12"/>
  <c r="DD28" i="12"/>
  <c r="DC28" i="12"/>
  <c r="DB28" i="12"/>
  <c r="DA28" i="12"/>
  <c r="CM28" i="12"/>
  <c r="CL28" i="12"/>
  <c r="CK28" i="12"/>
  <c r="CJ28" i="12"/>
  <c r="CI28" i="12"/>
  <c r="CH28" i="12"/>
  <c r="CG28" i="12"/>
  <c r="CF28" i="12"/>
  <c r="CE28" i="12"/>
  <c r="CD28" i="12"/>
  <c r="CC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U28" i="12"/>
  <c r="AL28" i="12" s="1"/>
  <c r="AM28" i="12" s="1"/>
  <c r="T28" i="12"/>
  <c r="AJ28" i="12" s="1"/>
  <c r="AK28" i="12" s="1"/>
  <c r="S28" i="12"/>
  <c r="AD28" i="12" s="1"/>
  <c r="AE28" i="12" s="1"/>
  <c r="R28" i="12"/>
  <c r="Q28" i="12"/>
  <c r="P28" i="12"/>
  <c r="O28" i="12"/>
  <c r="AH28" i="12" s="1"/>
  <c r="AI28" i="12" s="1"/>
  <c r="N28" i="12"/>
  <c r="M28" i="12"/>
  <c r="L28" i="12"/>
  <c r="K28" i="12"/>
  <c r="Z28" i="12" s="1"/>
  <c r="AA28" i="12" s="1"/>
  <c r="J28" i="12"/>
  <c r="I28" i="12"/>
  <c r="H28" i="12"/>
  <c r="G28" i="12"/>
  <c r="F28" i="12"/>
  <c r="E28" i="12"/>
  <c r="D28" i="12"/>
  <c r="DI27" i="12"/>
  <c r="DH27" i="12"/>
  <c r="DG27" i="12"/>
  <c r="DF27" i="12"/>
  <c r="DE27" i="12"/>
  <c r="DD27" i="12"/>
  <c r="DC27" i="12"/>
  <c r="DB27" i="12"/>
  <c r="DA27" i="12"/>
  <c r="CM27" i="12"/>
  <c r="CL27" i="12"/>
  <c r="CK27" i="12"/>
  <c r="CJ27" i="12"/>
  <c r="CI27" i="12"/>
  <c r="CH27" i="12"/>
  <c r="CG27" i="12"/>
  <c r="CF27" i="12"/>
  <c r="CE27" i="12"/>
  <c r="CD27" i="12"/>
  <c r="CC27" i="12"/>
  <c r="BP27" i="12"/>
  <c r="BO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I27" i="12"/>
  <c r="U27" i="12"/>
  <c r="AL27" i="12" s="1"/>
  <c r="AM27" i="12" s="1"/>
  <c r="T27" i="12"/>
  <c r="AJ27" i="12" s="1"/>
  <c r="AK27" i="12" s="1"/>
  <c r="S27" i="12"/>
  <c r="AD27" i="12" s="1"/>
  <c r="AE27" i="12" s="1"/>
  <c r="R27" i="12"/>
  <c r="Q27" i="12"/>
  <c r="P27" i="12"/>
  <c r="O27" i="12"/>
  <c r="AH27" i="12" s="1"/>
  <c r="N27" i="12"/>
  <c r="M27" i="12"/>
  <c r="L27" i="12"/>
  <c r="AF27" i="12" s="1"/>
  <c r="AG27" i="12" s="1"/>
  <c r="K27" i="12"/>
  <c r="Z27" i="12" s="1"/>
  <c r="AA27" i="12" s="1"/>
  <c r="J27" i="12"/>
  <c r="I27" i="12"/>
  <c r="H27" i="12"/>
  <c r="G27" i="12"/>
  <c r="F27" i="12"/>
  <c r="E27" i="12"/>
  <c r="V27" i="12" s="1"/>
  <c r="W27" i="12" s="1"/>
  <c r="D27" i="12"/>
  <c r="DI26" i="12"/>
  <c r="DH26" i="12"/>
  <c r="DG26" i="12"/>
  <c r="DF26" i="12"/>
  <c r="DE26" i="12"/>
  <c r="DD26" i="12"/>
  <c r="DC26" i="12"/>
  <c r="DB26" i="12"/>
  <c r="DA26" i="12"/>
  <c r="CM26" i="12"/>
  <c r="CL26" i="12"/>
  <c r="CT26" i="12" s="1"/>
  <c r="CU26" i="12" s="1"/>
  <c r="CK26" i="12"/>
  <c r="CJ26" i="12"/>
  <c r="CI26" i="12"/>
  <c r="CH26" i="12"/>
  <c r="CG26" i="12"/>
  <c r="CF26" i="12"/>
  <c r="CE26" i="12"/>
  <c r="CD26" i="12"/>
  <c r="CC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BW26" i="12" s="1"/>
  <c r="BX26" i="12" s="1"/>
  <c r="AV26" i="12"/>
  <c r="AU26" i="12"/>
  <c r="AT26" i="12"/>
  <c r="AS26" i="12"/>
  <c r="AR26" i="12"/>
  <c r="AQ26" i="12"/>
  <c r="AP26" i="12"/>
  <c r="AO26" i="12"/>
  <c r="AN26" i="12"/>
  <c r="U26" i="12"/>
  <c r="AL26" i="12" s="1"/>
  <c r="AM26" i="12" s="1"/>
  <c r="T26" i="12"/>
  <c r="AJ26" i="12" s="1"/>
  <c r="AK26" i="12" s="1"/>
  <c r="S26" i="12"/>
  <c r="AD26" i="12" s="1"/>
  <c r="AE26" i="12" s="1"/>
  <c r="R26" i="12"/>
  <c r="Q26" i="12"/>
  <c r="P26" i="12"/>
  <c r="O26" i="12"/>
  <c r="AH26" i="12" s="1"/>
  <c r="AI26" i="12" s="1"/>
  <c r="N26" i="12"/>
  <c r="M26" i="12"/>
  <c r="L26" i="12"/>
  <c r="K26" i="12"/>
  <c r="Z26" i="12" s="1"/>
  <c r="AA26" i="12" s="1"/>
  <c r="J26" i="12"/>
  <c r="I26" i="12"/>
  <c r="H26" i="12"/>
  <c r="G26" i="12"/>
  <c r="F26" i="12"/>
  <c r="E26" i="12"/>
  <c r="D26" i="12"/>
  <c r="DI25" i="12"/>
  <c r="DH25" i="12"/>
  <c r="DG25" i="12"/>
  <c r="DF25" i="12"/>
  <c r="DE25" i="12"/>
  <c r="DD25" i="12"/>
  <c r="DC25" i="12"/>
  <c r="DB25" i="12"/>
  <c r="DA25" i="12"/>
  <c r="CM25" i="12"/>
  <c r="CL25" i="12"/>
  <c r="CT25" i="12" s="1"/>
  <c r="CU25" i="12" s="1"/>
  <c r="CK25" i="12"/>
  <c r="CJ25" i="12"/>
  <c r="CI25" i="12"/>
  <c r="CH25" i="12"/>
  <c r="CG25" i="12"/>
  <c r="CF25" i="12"/>
  <c r="CE25" i="12"/>
  <c r="CD25" i="12"/>
  <c r="CC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H25" i="12"/>
  <c r="AI25" i="12" s="1"/>
  <c r="U25" i="12"/>
  <c r="AL25" i="12" s="1"/>
  <c r="AM25" i="12" s="1"/>
  <c r="T25" i="12"/>
  <c r="AJ25" i="12" s="1"/>
  <c r="AK25" i="12" s="1"/>
  <c r="S25" i="12"/>
  <c r="AD25" i="12" s="1"/>
  <c r="AE25" i="12" s="1"/>
  <c r="R25" i="12"/>
  <c r="Q25" i="12"/>
  <c r="P25" i="12"/>
  <c r="O25" i="12"/>
  <c r="N25" i="12"/>
  <c r="M25" i="12"/>
  <c r="AF25" i="12" s="1"/>
  <c r="AG25" i="12" s="1"/>
  <c r="L25" i="12"/>
  <c r="K25" i="12"/>
  <c r="Z25" i="12" s="1"/>
  <c r="AA25" i="12" s="1"/>
  <c r="J25" i="12"/>
  <c r="I25" i="12"/>
  <c r="H25" i="12"/>
  <c r="G25" i="12"/>
  <c r="F25" i="12"/>
  <c r="E25" i="12"/>
  <c r="D25" i="12"/>
  <c r="DI24" i="12"/>
  <c r="DH24" i="12"/>
  <c r="DG24" i="12"/>
  <c r="DF24" i="12"/>
  <c r="DE24" i="12"/>
  <c r="DD24" i="12"/>
  <c r="DC24" i="12"/>
  <c r="DB24" i="12"/>
  <c r="DA24" i="12"/>
  <c r="CM24" i="12"/>
  <c r="CL24" i="12"/>
  <c r="CK24" i="12"/>
  <c r="CJ24" i="12"/>
  <c r="CI24" i="12"/>
  <c r="CH24" i="12"/>
  <c r="CG24" i="12"/>
  <c r="CF24" i="12"/>
  <c r="CE24" i="12"/>
  <c r="CD24" i="12"/>
  <c r="CC24" i="12"/>
  <c r="BP24" i="12"/>
  <c r="BO24" i="12"/>
  <c r="BN24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H24" i="12"/>
  <c r="AI24" i="12" s="1"/>
  <c r="Z24" i="12"/>
  <c r="AA24" i="12" s="1"/>
  <c r="U24" i="12"/>
  <c r="AL24" i="12" s="1"/>
  <c r="AM24" i="12" s="1"/>
  <c r="T24" i="12"/>
  <c r="AJ24" i="12" s="1"/>
  <c r="AK24" i="12" s="1"/>
  <c r="S24" i="12"/>
  <c r="AD24" i="12" s="1"/>
  <c r="AE24" i="12" s="1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DI23" i="12"/>
  <c r="DH23" i="12"/>
  <c r="DG23" i="12"/>
  <c r="DF23" i="12"/>
  <c r="DE23" i="12"/>
  <c r="DD23" i="12"/>
  <c r="DC23" i="12"/>
  <c r="DB23" i="12"/>
  <c r="DA23" i="12"/>
  <c r="CM23" i="12"/>
  <c r="CL23" i="12"/>
  <c r="CK23" i="12"/>
  <c r="CJ23" i="12"/>
  <c r="CI23" i="12"/>
  <c r="CH23" i="12"/>
  <c r="CG23" i="12"/>
  <c r="CF23" i="12"/>
  <c r="CE23" i="12"/>
  <c r="CR23" i="12" s="1"/>
  <c r="CS23" i="12" s="1"/>
  <c r="CD23" i="12"/>
  <c r="CC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BQ23" i="12" s="1"/>
  <c r="BR23" i="12" s="1"/>
  <c r="U23" i="12"/>
  <c r="AL23" i="12" s="1"/>
  <c r="AM23" i="12" s="1"/>
  <c r="T23" i="12"/>
  <c r="AJ23" i="12" s="1"/>
  <c r="AK23" i="12" s="1"/>
  <c r="S23" i="12"/>
  <c r="AD23" i="12" s="1"/>
  <c r="AE23" i="12" s="1"/>
  <c r="R23" i="12"/>
  <c r="Q23" i="12"/>
  <c r="P23" i="12"/>
  <c r="O23" i="12"/>
  <c r="AH23" i="12" s="1"/>
  <c r="AI23" i="12" s="1"/>
  <c r="N23" i="12"/>
  <c r="M23" i="12"/>
  <c r="L23" i="12"/>
  <c r="K23" i="12"/>
  <c r="Z23" i="12" s="1"/>
  <c r="AA23" i="12" s="1"/>
  <c r="J23" i="12"/>
  <c r="I23" i="12"/>
  <c r="H23" i="12"/>
  <c r="G23" i="12"/>
  <c r="F23" i="12"/>
  <c r="E23" i="12"/>
  <c r="D23" i="12"/>
  <c r="DI22" i="12"/>
  <c r="DH22" i="12"/>
  <c r="DG22" i="12"/>
  <c r="DF22" i="12"/>
  <c r="DE22" i="12"/>
  <c r="DD22" i="12"/>
  <c r="DC22" i="12"/>
  <c r="DB22" i="12"/>
  <c r="DA22" i="12"/>
  <c r="CM22" i="12"/>
  <c r="CL22" i="12"/>
  <c r="CT22" i="12" s="1"/>
  <c r="CU22" i="12" s="1"/>
  <c r="CK22" i="12"/>
  <c r="CJ22" i="12"/>
  <c r="CI22" i="12"/>
  <c r="CH22" i="12"/>
  <c r="CG22" i="12"/>
  <c r="CF22" i="12"/>
  <c r="CE22" i="12"/>
  <c r="CD22" i="12"/>
  <c r="CC22" i="12"/>
  <c r="BP22" i="12"/>
  <c r="BO22" i="12"/>
  <c r="BN22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U22" i="12"/>
  <c r="AL22" i="12" s="1"/>
  <c r="AM22" i="12" s="1"/>
  <c r="T22" i="12"/>
  <c r="AJ22" i="12" s="1"/>
  <c r="AK22" i="12" s="1"/>
  <c r="S22" i="12"/>
  <c r="AD22" i="12" s="1"/>
  <c r="AE22" i="12" s="1"/>
  <c r="R22" i="12"/>
  <c r="Q22" i="12"/>
  <c r="P22" i="12"/>
  <c r="O22" i="12"/>
  <c r="AH22" i="12" s="1"/>
  <c r="AI22" i="12" s="1"/>
  <c r="N22" i="12"/>
  <c r="M22" i="12"/>
  <c r="L22" i="12"/>
  <c r="K22" i="12"/>
  <c r="Z22" i="12" s="1"/>
  <c r="AA22" i="12" s="1"/>
  <c r="J22" i="12"/>
  <c r="I22" i="12"/>
  <c r="H22" i="12"/>
  <c r="G22" i="12"/>
  <c r="F22" i="12"/>
  <c r="E22" i="12"/>
  <c r="D22" i="12"/>
  <c r="DI21" i="12"/>
  <c r="DH21" i="12"/>
  <c r="DG21" i="12"/>
  <c r="DF21" i="12"/>
  <c r="DE21" i="12"/>
  <c r="DD21" i="12"/>
  <c r="DC21" i="12"/>
  <c r="DB21" i="12"/>
  <c r="DA21" i="12"/>
  <c r="CM21" i="12"/>
  <c r="CL21" i="12"/>
  <c r="CK21" i="12"/>
  <c r="CJ21" i="12"/>
  <c r="CI21" i="12"/>
  <c r="CH21" i="12"/>
  <c r="CG21" i="12"/>
  <c r="CF21" i="12"/>
  <c r="CE21" i="12"/>
  <c r="CD21" i="12"/>
  <c r="CC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B21" i="12"/>
  <c r="AC21" i="12" s="1"/>
  <c r="U21" i="12"/>
  <c r="AL21" i="12" s="1"/>
  <c r="AM21" i="12" s="1"/>
  <c r="T21" i="12"/>
  <c r="AJ21" i="12" s="1"/>
  <c r="AK21" i="12" s="1"/>
  <c r="S21" i="12"/>
  <c r="AD21" i="12" s="1"/>
  <c r="AE21" i="12" s="1"/>
  <c r="R21" i="12"/>
  <c r="Q21" i="12"/>
  <c r="P21" i="12"/>
  <c r="O21" i="12"/>
  <c r="AH21" i="12" s="1"/>
  <c r="AI21" i="12" s="1"/>
  <c r="N21" i="12"/>
  <c r="M21" i="12"/>
  <c r="L21" i="12"/>
  <c r="K21" i="12"/>
  <c r="Z21" i="12" s="1"/>
  <c r="AA21" i="12" s="1"/>
  <c r="J21" i="12"/>
  <c r="I21" i="12"/>
  <c r="H21" i="12"/>
  <c r="G21" i="12"/>
  <c r="F21" i="12"/>
  <c r="E21" i="12"/>
  <c r="D21" i="12"/>
  <c r="DI20" i="12"/>
  <c r="DH20" i="12"/>
  <c r="DG20" i="12"/>
  <c r="DF20" i="12"/>
  <c r="DE20" i="12"/>
  <c r="DD20" i="12"/>
  <c r="DC20" i="12"/>
  <c r="DB20" i="12"/>
  <c r="DA20" i="12"/>
  <c r="CM20" i="12"/>
  <c r="CL20" i="12"/>
  <c r="CK20" i="12"/>
  <c r="CJ20" i="12"/>
  <c r="CI20" i="12"/>
  <c r="CH20" i="12"/>
  <c r="CG20" i="12"/>
  <c r="CF20" i="12"/>
  <c r="CE20" i="12"/>
  <c r="CD20" i="12"/>
  <c r="CC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U20" i="12"/>
  <c r="AL20" i="12" s="1"/>
  <c r="AM20" i="12" s="1"/>
  <c r="T20" i="12"/>
  <c r="AJ20" i="12" s="1"/>
  <c r="AK20" i="12" s="1"/>
  <c r="S20" i="12"/>
  <c r="AD20" i="12" s="1"/>
  <c r="AE20" i="12" s="1"/>
  <c r="R20" i="12"/>
  <c r="Q20" i="12"/>
  <c r="P20" i="12"/>
  <c r="O20" i="12"/>
  <c r="AH20" i="12" s="1"/>
  <c r="AI20" i="12" s="1"/>
  <c r="N20" i="12"/>
  <c r="M20" i="12"/>
  <c r="L20" i="12"/>
  <c r="K20" i="12"/>
  <c r="Z20" i="12" s="1"/>
  <c r="AA20" i="12" s="1"/>
  <c r="J20" i="12"/>
  <c r="I20" i="12"/>
  <c r="H20" i="12"/>
  <c r="G20" i="12"/>
  <c r="F20" i="12"/>
  <c r="E20" i="12"/>
  <c r="D20" i="12"/>
  <c r="DI19" i="12"/>
  <c r="DH19" i="12"/>
  <c r="DG19" i="12"/>
  <c r="DF19" i="12"/>
  <c r="DE19" i="12"/>
  <c r="DD19" i="12"/>
  <c r="DC19" i="12"/>
  <c r="DB19" i="12"/>
  <c r="DA19" i="12"/>
  <c r="CM19" i="12"/>
  <c r="CL19" i="12"/>
  <c r="CK19" i="12"/>
  <c r="CJ19" i="12"/>
  <c r="CI19" i="12"/>
  <c r="CH19" i="12"/>
  <c r="CG19" i="12"/>
  <c r="CF19" i="12"/>
  <c r="CE19" i="12"/>
  <c r="CD19" i="12"/>
  <c r="CC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BU19" i="12" s="1"/>
  <c r="BV19" i="12" s="1"/>
  <c r="AS19" i="12"/>
  <c r="AR19" i="12"/>
  <c r="AQ19" i="12"/>
  <c r="AP19" i="12"/>
  <c r="AO19" i="12"/>
  <c r="AN19" i="12"/>
  <c r="U19" i="12"/>
  <c r="AL19" i="12" s="1"/>
  <c r="AM19" i="12" s="1"/>
  <c r="T19" i="12"/>
  <c r="AJ19" i="12" s="1"/>
  <c r="AK19" i="12" s="1"/>
  <c r="S19" i="12"/>
  <c r="AD19" i="12" s="1"/>
  <c r="AE19" i="12" s="1"/>
  <c r="R19" i="12"/>
  <c r="Q19" i="12"/>
  <c r="P19" i="12"/>
  <c r="O19" i="12"/>
  <c r="AH19" i="12" s="1"/>
  <c r="AI19" i="12" s="1"/>
  <c r="N19" i="12"/>
  <c r="M19" i="12"/>
  <c r="L19" i="12"/>
  <c r="K19" i="12"/>
  <c r="Z19" i="12" s="1"/>
  <c r="AA19" i="12" s="1"/>
  <c r="J19" i="12"/>
  <c r="I19" i="12"/>
  <c r="H19" i="12"/>
  <c r="G19" i="12"/>
  <c r="F19" i="12"/>
  <c r="E19" i="12"/>
  <c r="D19" i="12"/>
  <c r="DI18" i="12"/>
  <c r="DH18" i="12"/>
  <c r="DG18" i="12"/>
  <c r="DF18" i="12"/>
  <c r="DE18" i="12"/>
  <c r="DD18" i="12"/>
  <c r="DC18" i="12"/>
  <c r="DB18" i="12"/>
  <c r="DA18" i="12"/>
  <c r="CM18" i="12"/>
  <c r="CL18" i="12"/>
  <c r="CT18" i="12" s="1"/>
  <c r="CU18" i="12" s="1"/>
  <c r="CK18" i="12"/>
  <c r="CJ18" i="12"/>
  <c r="CI18" i="12"/>
  <c r="CH18" i="12"/>
  <c r="CG18" i="12"/>
  <c r="CF18" i="12"/>
  <c r="CE18" i="12"/>
  <c r="CD18" i="12"/>
  <c r="CC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U18" i="12"/>
  <c r="AL18" i="12" s="1"/>
  <c r="AM18" i="12" s="1"/>
  <c r="T18" i="12"/>
  <c r="AJ18" i="12" s="1"/>
  <c r="AK18" i="12" s="1"/>
  <c r="S18" i="12"/>
  <c r="AD18" i="12" s="1"/>
  <c r="AE18" i="12" s="1"/>
  <c r="R18" i="12"/>
  <c r="Q18" i="12"/>
  <c r="P18" i="12"/>
  <c r="O18" i="12"/>
  <c r="AH18" i="12" s="1"/>
  <c r="AI18" i="12" s="1"/>
  <c r="N18" i="12"/>
  <c r="M18" i="12"/>
  <c r="L18" i="12"/>
  <c r="K18" i="12"/>
  <c r="Z18" i="12" s="1"/>
  <c r="AA18" i="12" s="1"/>
  <c r="J18" i="12"/>
  <c r="I18" i="12"/>
  <c r="H18" i="12"/>
  <c r="G18" i="12"/>
  <c r="F18" i="12"/>
  <c r="E18" i="12"/>
  <c r="D18" i="12"/>
  <c r="DI17" i="12"/>
  <c r="DH17" i="12"/>
  <c r="DG17" i="12"/>
  <c r="DF17" i="12"/>
  <c r="DE17" i="12"/>
  <c r="DD17" i="12"/>
  <c r="DC17" i="12"/>
  <c r="DB17" i="12"/>
  <c r="DA17" i="12"/>
  <c r="CM17" i="12"/>
  <c r="CL17" i="12"/>
  <c r="CK17" i="12"/>
  <c r="CJ17" i="12"/>
  <c r="CI17" i="12"/>
  <c r="CH17" i="12"/>
  <c r="CG17" i="12"/>
  <c r="CF17" i="12"/>
  <c r="CE17" i="12"/>
  <c r="CD17" i="12"/>
  <c r="CC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BU17" i="12" s="1"/>
  <c r="BV17" i="12" s="1"/>
  <c r="AS17" i="12"/>
  <c r="AR17" i="12"/>
  <c r="AQ17" i="12"/>
  <c r="AP17" i="12"/>
  <c r="AO17" i="12"/>
  <c r="AN17" i="12"/>
  <c r="AL17" i="12"/>
  <c r="AM17" i="12" s="1"/>
  <c r="U17" i="12"/>
  <c r="T17" i="12"/>
  <c r="AJ17" i="12" s="1"/>
  <c r="AK17" i="12" s="1"/>
  <c r="S17" i="12"/>
  <c r="AD17" i="12" s="1"/>
  <c r="AE17" i="12" s="1"/>
  <c r="R17" i="12"/>
  <c r="Q17" i="12"/>
  <c r="P17" i="12"/>
  <c r="O17" i="12"/>
  <c r="AH17" i="12" s="1"/>
  <c r="AI17" i="12" s="1"/>
  <c r="N17" i="12"/>
  <c r="M17" i="12"/>
  <c r="L17" i="12"/>
  <c r="K17" i="12"/>
  <c r="Z17" i="12" s="1"/>
  <c r="AA17" i="12" s="1"/>
  <c r="J17" i="12"/>
  <c r="I17" i="12"/>
  <c r="H17" i="12"/>
  <c r="G17" i="12"/>
  <c r="F17" i="12"/>
  <c r="E17" i="12"/>
  <c r="D17" i="12"/>
  <c r="DI16" i="12"/>
  <c r="DH16" i="12"/>
  <c r="DG16" i="12"/>
  <c r="DF16" i="12"/>
  <c r="DE16" i="12"/>
  <c r="DD16" i="12"/>
  <c r="DC16" i="12"/>
  <c r="DB16" i="12"/>
  <c r="DA16" i="12"/>
  <c r="CM16" i="12"/>
  <c r="CL16" i="12"/>
  <c r="CK16" i="12"/>
  <c r="CJ16" i="12"/>
  <c r="CI16" i="12"/>
  <c r="CH16" i="12"/>
  <c r="CG16" i="12"/>
  <c r="CF16" i="12"/>
  <c r="CE16" i="12"/>
  <c r="CD16" i="12"/>
  <c r="CC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BQ16" i="12" s="1"/>
  <c r="BR16" i="12" s="1"/>
  <c r="U16" i="12"/>
  <c r="AL16" i="12" s="1"/>
  <c r="AM16" i="12" s="1"/>
  <c r="T16" i="12"/>
  <c r="AJ16" i="12" s="1"/>
  <c r="AK16" i="12" s="1"/>
  <c r="S16" i="12"/>
  <c r="AD16" i="12" s="1"/>
  <c r="AE16" i="12" s="1"/>
  <c r="R16" i="12"/>
  <c r="Q16" i="12"/>
  <c r="P16" i="12"/>
  <c r="O16" i="12"/>
  <c r="AH16" i="12" s="1"/>
  <c r="AI16" i="12" s="1"/>
  <c r="N16" i="12"/>
  <c r="M16" i="12"/>
  <c r="L16" i="12"/>
  <c r="K16" i="12"/>
  <c r="Z16" i="12" s="1"/>
  <c r="AA16" i="12" s="1"/>
  <c r="J16" i="12"/>
  <c r="I16" i="12"/>
  <c r="H16" i="12"/>
  <c r="G16" i="12"/>
  <c r="F16" i="12"/>
  <c r="E16" i="12"/>
  <c r="D16" i="12"/>
  <c r="DI15" i="12"/>
  <c r="DH15" i="12"/>
  <c r="DG15" i="12"/>
  <c r="DF15" i="12"/>
  <c r="DE15" i="12"/>
  <c r="DD15" i="12"/>
  <c r="DC15" i="12"/>
  <c r="DB15" i="12"/>
  <c r="DA15" i="12"/>
  <c r="CM15" i="12"/>
  <c r="CL15" i="12"/>
  <c r="CK15" i="12"/>
  <c r="CJ15" i="12"/>
  <c r="CI15" i="12"/>
  <c r="CH15" i="12"/>
  <c r="CG15" i="12"/>
  <c r="CF15" i="12"/>
  <c r="CE15" i="12"/>
  <c r="CD15" i="12"/>
  <c r="CC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H15" i="12"/>
  <c r="AI15" i="12" s="1"/>
  <c r="U15" i="12"/>
  <c r="AL15" i="12" s="1"/>
  <c r="AM15" i="12" s="1"/>
  <c r="T15" i="12"/>
  <c r="AJ15" i="12" s="1"/>
  <c r="AK15" i="12" s="1"/>
  <c r="S15" i="12"/>
  <c r="AD15" i="12" s="1"/>
  <c r="AE15" i="12" s="1"/>
  <c r="R15" i="12"/>
  <c r="AB15" i="12" s="1"/>
  <c r="AC15" i="12" s="1"/>
  <c r="Q15" i="12"/>
  <c r="P15" i="12"/>
  <c r="O15" i="12"/>
  <c r="N15" i="12"/>
  <c r="M15" i="12"/>
  <c r="L15" i="12"/>
  <c r="K15" i="12"/>
  <c r="Z15" i="12" s="1"/>
  <c r="AA15" i="12" s="1"/>
  <c r="J15" i="12"/>
  <c r="I15" i="12"/>
  <c r="H15" i="12"/>
  <c r="G15" i="12"/>
  <c r="F15" i="12"/>
  <c r="E15" i="12"/>
  <c r="D15" i="12"/>
  <c r="DI14" i="12"/>
  <c r="DH14" i="12"/>
  <c r="DG14" i="12"/>
  <c r="DF14" i="12"/>
  <c r="DE14" i="12"/>
  <c r="DD14" i="12"/>
  <c r="DC14" i="12"/>
  <c r="DB14" i="12"/>
  <c r="DA14" i="12"/>
  <c r="CM14" i="12"/>
  <c r="CL14" i="12"/>
  <c r="CK14" i="12"/>
  <c r="CJ14" i="12"/>
  <c r="CI14" i="12"/>
  <c r="CH14" i="12"/>
  <c r="CG14" i="12"/>
  <c r="CF14" i="12"/>
  <c r="CE14" i="12"/>
  <c r="CD14" i="12"/>
  <c r="CC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U14" i="12"/>
  <c r="AL14" i="12" s="1"/>
  <c r="AM14" i="12" s="1"/>
  <c r="T14" i="12"/>
  <c r="AJ14" i="12" s="1"/>
  <c r="AK14" i="12" s="1"/>
  <c r="S14" i="12"/>
  <c r="AD14" i="12" s="1"/>
  <c r="AE14" i="12" s="1"/>
  <c r="R14" i="12"/>
  <c r="Q14" i="12"/>
  <c r="P14" i="12"/>
  <c r="O14" i="12"/>
  <c r="AH14" i="12" s="1"/>
  <c r="AI14" i="12" s="1"/>
  <c r="N14" i="12"/>
  <c r="M14" i="12"/>
  <c r="L14" i="12"/>
  <c r="K14" i="12"/>
  <c r="Z14" i="12" s="1"/>
  <c r="AA14" i="12" s="1"/>
  <c r="J14" i="12"/>
  <c r="I14" i="12"/>
  <c r="H14" i="12"/>
  <c r="G14" i="12"/>
  <c r="F14" i="12"/>
  <c r="E14" i="12"/>
  <c r="V14" i="12" s="1"/>
  <c r="W14" i="12" s="1"/>
  <c r="D14" i="12"/>
  <c r="DI13" i="12"/>
  <c r="DH13" i="12"/>
  <c r="DG13" i="12"/>
  <c r="DF13" i="12"/>
  <c r="DE13" i="12"/>
  <c r="DD13" i="12"/>
  <c r="DC13" i="12"/>
  <c r="DB13" i="12"/>
  <c r="DA13" i="12"/>
  <c r="CM13" i="12"/>
  <c r="CL13" i="12"/>
  <c r="CT13" i="12" s="1"/>
  <c r="CU13" i="12" s="1"/>
  <c r="CK13" i="12"/>
  <c r="CJ13" i="12"/>
  <c r="CI13" i="12"/>
  <c r="CH13" i="12"/>
  <c r="CG13" i="12"/>
  <c r="CF13" i="12"/>
  <c r="CE13" i="12"/>
  <c r="CD13" i="12"/>
  <c r="CC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U13" i="12"/>
  <c r="AL13" i="12" s="1"/>
  <c r="AM13" i="12" s="1"/>
  <c r="T13" i="12"/>
  <c r="AJ13" i="12" s="1"/>
  <c r="AK13" i="12" s="1"/>
  <c r="S13" i="12"/>
  <c r="AD13" i="12" s="1"/>
  <c r="AE13" i="12" s="1"/>
  <c r="R13" i="12"/>
  <c r="Q13" i="12"/>
  <c r="P13" i="12"/>
  <c r="O13" i="12"/>
  <c r="AH13" i="12" s="1"/>
  <c r="AI13" i="12" s="1"/>
  <c r="N13" i="12"/>
  <c r="M13" i="12"/>
  <c r="L13" i="12"/>
  <c r="AF13" i="12" s="1"/>
  <c r="AG13" i="12" s="1"/>
  <c r="K13" i="12"/>
  <c r="Z13" i="12" s="1"/>
  <c r="AA13" i="12" s="1"/>
  <c r="J13" i="12"/>
  <c r="I13" i="12"/>
  <c r="H13" i="12"/>
  <c r="G13" i="12"/>
  <c r="F13" i="12"/>
  <c r="E13" i="12"/>
  <c r="D13" i="12"/>
  <c r="DI12" i="12"/>
  <c r="DH12" i="12"/>
  <c r="DG12" i="12"/>
  <c r="DF12" i="12"/>
  <c r="DE12" i="12"/>
  <c r="DD12" i="12"/>
  <c r="DC12" i="12"/>
  <c r="DB12" i="12"/>
  <c r="DA12" i="12"/>
  <c r="CM12" i="12"/>
  <c r="CL12" i="12"/>
  <c r="CK12" i="12"/>
  <c r="CJ12" i="12"/>
  <c r="CI12" i="12"/>
  <c r="CH12" i="12"/>
  <c r="CG12" i="12"/>
  <c r="CF12" i="12"/>
  <c r="CE12" i="12"/>
  <c r="CD12" i="12"/>
  <c r="CC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Z12" i="12"/>
  <c r="AA12" i="12" s="1"/>
  <c r="U12" i="12"/>
  <c r="AL12" i="12" s="1"/>
  <c r="AM12" i="12" s="1"/>
  <c r="T12" i="12"/>
  <c r="AJ12" i="12" s="1"/>
  <c r="AK12" i="12" s="1"/>
  <c r="S12" i="12"/>
  <c r="AD12" i="12" s="1"/>
  <c r="AE12" i="12" s="1"/>
  <c r="R12" i="12"/>
  <c r="Q12" i="12"/>
  <c r="P12" i="12"/>
  <c r="O12" i="12"/>
  <c r="AH12" i="12" s="1"/>
  <c r="AI12" i="12" s="1"/>
  <c r="N12" i="12"/>
  <c r="M12" i="12"/>
  <c r="L12" i="12"/>
  <c r="K12" i="12"/>
  <c r="J12" i="12"/>
  <c r="I12" i="12"/>
  <c r="H12" i="12"/>
  <c r="G12" i="12"/>
  <c r="F12" i="12"/>
  <c r="E12" i="12"/>
  <c r="D12" i="12"/>
  <c r="DI11" i="12"/>
  <c r="DH11" i="12"/>
  <c r="DG11" i="12"/>
  <c r="DF11" i="12"/>
  <c r="DE11" i="12"/>
  <c r="DD11" i="12"/>
  <c r="DC11" i="12"/>
  <c r="DB11" i="12"/>
  <c r="DA11" i="12"/>
  <c r="CM11" i="12"/>
  <c r="CL11" i="12"/>
  <c r="CK11" i="12"/>
  <c r="CJ11" i="12"/>
  <c r="CI11" i="12"/>
  <c r="CH11" i="12"/>
  <c r="CG11" i="12"/>
  <c r="CF11" i="12"/>
  <c r="CE11" i="12"/>
  <c r="CD11" i="12"/>
  <c r="CC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U11" i="12"/>
  <c r="AL11" i="12" s="1"/>
  <c r="AM11" i="12" s="1"/>
  <c r="T11" i="12"/>
  <c r="AJ11" i="12" s="1"/>
  <c r="AK11" i="12" s="1"/>
  <c r="S11" i="12"/>
  <c r="AD11" i="12" s="1"/>
  <c r="AE11" i="12" s="1"/>
  <c r="R11" i="12"/>
  <c r="Q11" i="12"/>
  <c r="P11" i="12"/>
  <c r="O11" i="12"/>
  <c r="AH11" i="12" s="1"/>
  <c r="AI11" i="12" s="1"/>
  <c r="N11" i="12"/>
  <c r="M11" i="12"/>
  <c r="L11" i="12"/>
  <c r="K11" i="12"/>
  <c r="Z11" i="12" s="1"/>
  <c r="AA11" i="12" s="1"/>
  <c r="J11" i="12"/>
  <c r="I11" i="12"/>
  <c r="H11" i="12"/>
  <c r="G11" i="12"/>
  <c r="F11" i="12"/>
  <c r="E11" i="12"/>
  <c r="V11" i="12" s="1"/>
  <c r="W11" i="12" s="1"/>
  <c r="D11" i="12"/>
  <c r="DI10" i="12"/>
  <c r="DH10" i="12"/>
  <c r="DG10" i="12"/>
  <c r="DF10" i="12"/>
  <c r="DE10" i="12"/>
  <c r="DD10" i="12"/>
  <c r="DC10" i="12"/>
  <c r="DB10" i="12"/>
  <c r="DA10" i="12"/>
  <c r="CM10" i="12"/>
  <c r="CL10" i="12"/>
  <c r="CK10" i="12"/>
  <c r="CJ10" i="12"/>
  <c r="CI10" i="12"/>
  <c r="CH10" i="12"/>
  <c r="CG10" i="12"/>
  <c r="CF10" i="12"/>
  <c r="CE10" i="12"/>
  <c r="CD10" i="12"/>
  <c r="CC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D10" i="12"/>
  <c r="AE10" i="12" s="1"/>
  <c r="U10" i="12"/>
  <c r="AL10" i="12" s="1"/>
  <c r="AM10" i="12" s="1"/>
  <c r="T10" i="12"/>
  <c r="AJ10" i="12" s="1"/>
  <c r="AK10" i="12" s="1"/>
  <c r="S10" i="12"/>
  <c r="R10" i="12"/>
  <c r="Q10" i="12"/>
  <c r="P10" i="12"/>
  <c r="O10" i="12"/>
  <c r="AH10" i="12" s="1"/>
  <c r="AI10" i="12" s="1"/>
  <c r="N10" i="12"/>
  <c r="M10" i="12"/>
  <c r="L10" i="12"/>
  <c r="K10" i="12"/>
  <c r="Z10" i="12" s="1"/>
  <c r="AA10" i="12" s="1"/>
  <c r="J10" i="12"/>
  <c r="I10" i="12"/>
  <c r="H10" i="12"/>
  <c r="G10" i="12"/>
  <c r="F10" i="12"/>
  <c r="E10" i="12"/>
  <c r="D10" i="12"/>
  <c r="DI9" i="12"/>
  <c r="DH9" i="12"/>
  <c r="DG9" i="12"/>
  <c r="DF9" i="12"/>
  <c r="DE9" i="12"/>
  <c r="DD9" i="12"/>
  <c r="DC9" i="12"/>
  <c r="DB9" i="12"/>
  <c r="DA9" i="12"/>
  <c r="CM9" i="12"/>
  <c r="CL9" i="12"/>
  <c r="CK9" i="12"/>
  <c r="CJ9" i="12"/>
  <c r="CI9" i="12"/>
  <c r="CH9" i="12"/>
  <c r="CG9" i="12"/>
  <c r="CF9" i="12"/>
  <c r="CE9" i="12"/>
  <c r="CD9" i="12"/>
  <c r="CC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U9" i="12"/>
  <c r="AL9" i="12" s="1"/>
  <c r="AM9" i="12" s="1"/>
  <c r="T9" i="12"/>
  <c r="AJ9" i="12" s="1"/>
  <c r="AK9" i="12" s="1"/>
  <c r="S9" i="12"/>
  <c r="AD9" i="12" s="1"/>
  <c r="AE9" i="12" s="1"/>
  <c r="R9" i="12"/>
  <c r="Q9" i="12"/>
  <c r="P9" i="12"/>
  <c r="O9" i="12"/>
  <c r="AH9" i="12" s="1"/>
  <c r="AI9" i="12" s="1"/>
  <c r="N9" i="12"/>
  <c r="M9" i="12"/>
  <c r="L9" i="12"/>
  <c r="K9" i="12"/>
  <c r="Z9" i="12" s="1"/>
  <c r="AA9" i="12" s="1"/>
  <c r="J9" i="12"/>
  <c r="I9" i="12"/>
  <c r="H9" i="12"/>
  <c r="X9" i="12" s="1"/>
  <c r="Y9" i="12" s="1"/>
  <c r="G9" i="12"/>
  <c r="F9" i="12"/>
  <c r="E9" i="12"/>
  <c r="D9" i="12"/>
  <c r="DI8" i="12"/>
  <c r="DH8" i="12"/>
  <c r="DG8" i="12"/>
  <c r="DF8" i="12"/>
  <c r="DE8" i="12"/>
  <c r="DD8" i="12"/>
  <c r="DC8" i="12"/>
  <c r="DB8" i="12"/>
  <c r="DA8" i="12"/>
  <c r="CM8" i="12"/>
  <c r="CL8" i="12"/>
  <c r="CK8" i="12"/>
  <c r="CJ8" i="12"/>
  <c r="CI8" i="12"/>
  <c r="CH8" i="12"/>
  <c r="CG8" i="12"/>
  <c r="CF8" i="12"/>
  <c r="CE8" i="12"/>
  <c r="CD8" i="12"/>
  <c r="CC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U8" i="12"/>
  <c r="AL8" i="12" s="1"/>
  <c r="AM8" i="12" s="1"/>
  <c r="T8" i="12"/>
  <c r="AJ8" i="12" s="1"/>
  <c r="AK8" i="12" s="1"/>
  <c r="S8" i="12"/>
  <c r="AD8" i="12" s="1"/>
  <c r="AE8" i="12" s="1"/>
  <c r="R8" i="12"/>
  <c r="Q8" i="12"/>
  <c r="P8" i="12"/>
  <c r="O8" i="12"/>
  <c r="AH8" i="12" s="1"/>
  <c r="AI8" i="12" s="1"/>
  <c r="N8" i="12"/>
  <c r="M8" i="12"/>
  <c r="L8" i="12"/>
  <c r="K8" i="12"/>
  <c r="Z8" i="12" s="1"/>
  <c r="AA8" i="12" s="1"/>
  <c r="J8" i="12"/>
  <c r="I8" i="12"/>
  <c r="H8" i="12"/>
  <c r="G8" i="12"/>
  <c r="F8" i="12"/>
  <c r="E8" i="12"/>
  <c r="D8" i="12"/>
  <c r="DI7" i="12"/>
  <c r="DH7" i="12"/>
  <c r="DG7" i="12"/>
  <c r="DF7" i="12"/>
  <c r="DE7" i="12"/>
  <c r="DD7" i="12"/>
  <c r="DC7" i="12"/>
  <c r="DB7" i="12"/>
  <c r="DA7" i="12"/>
  <c r="CM7" i="12"/>
  <c r="CL7" i="12"/>
  <c r="CK7" i="12"/>
  <c r="CJ7" i="12"/>
  <c r="CI7" i="12"/>
  <c r="CH7" i="12"/>
  <c r="CG7" i="12"/>
  <c r="CF7" i="12"/>
  <c r="CE7" i="12"/>
  <c r="CD7" i="12"/>
  <c r="CC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BW7" i="12" s="1"/>
  <c r="BX7" i="12" s="1"/>
  <c r="AW7" i="12"/>
  <c r="AV7" i="12"/>
  <c r="AU7" i="12"/>
  <c r="AT7" i="12"/>
  <c r="AS7" i="12"/>
  <c r="AR7" i="12"/>
  <c r="AQ7" i="12"/>
  <c r="AP7" i="12"/>
  <c r="AO7" i="12"/>
  <c r="AN7" i="12"/>
  <c r="BQ7" i="12" s="1"/>
  <c r="BR7" i="12" s="1"/>
  <c r="AI7" i="12"/>
  <c r="Z7" i="12"/>
  <c r="AA7" i="12" s="1"/>
  <c r="U7" i="12"/>
  <c r="AL7" i="12" s="1"/>
  <c r="AM7" i="12" s="1"/>
  <c r="T7" i="12"/>
  <c r="AJ7" i="12" s="1"/>
  <c r="AK7" i="12" s="1"/>
  <c r="S7" i="12"/>
  <c r="AD7" i="12" s="1"/>
  <c r="AE7" i="12" s="1"/>
  <c r="R7" i="12"/>
  <c r="Q7" i="12"/>
  <c r="P7" i="12"/>
  <c r="O7" i="12"/>
  <c r="AH7" i="12" s="1"/>
  <c r="N7" i="12"/>
  <c r="M7" i="12"/>
  <c r="L7" i="12"/>
  <c r="K7" i="12"/>
  <c r="J7" i="12"/>
  <c r="I7" i="12"/>
  <c r="H7" i="12"/>
  <c r="G7" i="12"/>
  <c r="F7" i="12"/>
  <c r="E7" i="12"/>
  <c r="D7" i="12"/>
  <c r="DI6" i="12"/>
  <c r="DH6" i="12"/>
  <c r="DG6" i="12"/>
  <c r="DF6" i="12"/>
  <c r="DE6" i="12"/>
  <c r="DD6" i="12"/>
  <c r="DC6" i="12"/>
  <c r="DB6" i="12"/>
  <c r="DA6" i="12"/>
  <c r="CM6" i="12"/>
  <c r="CL6" i="12"/>
  <c r="CT6" i="12" s="1"/>
  <c r="CU6" i="12" s="1"/>
  <c r="CK6" i="12"/>
  <c r="CJ6" i="12"/>
  <c r="CI6" i="12"/>
  <c r="CH6" i="12"/>
  <c r="CG6" i="12"/>
  <c r="CF6" i="12"/>
  <c r="CE6" i="12"/>
  <c r="CD6" i="12"/>
  <c r="CC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BW6" i="12" s="1"/>
  <c r="BX6" i="12" s="1"/>
  <c r="AV6" i="12"/>
  <c r="AU6" i="12"/>
  <c r="AT6" i="12"/>
  <c r="AS6" i="12"/>
  <c r="AR6" i="12"/>
  <c r="AQ6" i="12"/>
  <c r="AP6" i="12"/>
  <c r="AO6" i="12"/>
  <c r="AN6" i="12"/>
  <c r="AH6" i="12"/>
  <c r="AI6" i="12" s="1"/>
  <c r="U6" i="12"/>
  <c r="AL6" i="12" s="1"/>
  <c r="AM6" i="12" s="1"/>
  <c r="T6" i="12"/>
  <c r="AJ6" i="12" s="1"/>
  <c r="AK6" i="12" s="1"/>
  <c r="S6" i="12"/>
  <c r="AD6" i="12" s="1"/>
  <c r="AE6" i="12" s="1"/>
  <c r="R6" i="12"/>
  <c r="Q6" i="12"/>
  <c r="P6" i="12"/>
  <c r="O6" i="12"/>
  <c r="N6" i="12"/>
  <c r="M6" i="12"/>
  <c r="L6" i="12"/>
  <c r="AF6" i="12" s="1"/>
  <c r="AG6" i="12" s="1"/>
  <c r="K6" i="12"/>
  <c r="Z6" i="12" s="1"/>
  <c r="AA6" i="12" s="1"/>
  <c r="J6" i="12"/>
  <c r="I6" i="12"/>
  <c r="H6" i="12"/>
  <c r="G6" i="12"/>
  <c r="F6" i="12"/>
  <c r="E6" i="12"/>
  <c r="D6" i="12"/>
  <c r="DI5" i="12"/>
  <c r="DH5" i="12"/>
  <c r="DG5" i="12"/>
  <c r="DF5" i="12"/>
  <c r="DE5" i="12"/>
  <c r="DD5" i="12"/>
  <c r="DC5" i="12"/>
  <c r="DB5" i="12"/>
  <c r="DA5" i="12"/>
  <c r="CM5" i="12"/>
  <c r="CL5" i="12"/>
  <c r="CK5" i="12"/>
  <c r="CJ5" i="12"/>
  <c r="CI5" i="12"/>
  <c r="CH5" i="12"/>
  <c r="CG5" i="12"/>
  <c r="CF5" i="12"/>
  <c r="CE5" i="12"/>
  <c r="CD5" i="12"/>
  <c r="CC5" i="12"/>
  <c r="BP5" i="12"/>
  <c r="BO5" i="12"/>
  <c r="BN5" i="12"/>
  <c r="BM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U5" i="12"/>
  <c r="AL5" i="12" s="1"/>
  <c r="AM5" i="12" s="1"/>
  <c r="T5" i="12"/>
  <c r="AJ5" i="12" s="1"/>
  <c r="AK5" i="12" s="1"/>
  <c r="S5" i="12"/>
  <c r="AD5" i="12" s="1"/>
  <c r="AE5" i="12" s="1"/>
  <c r="R5" i="12"/>
  <c r="Q5" i="12"/>
  <c r="P5" i="12"/>
  <c r="AB5" i="12" s="1"/>
  <c r="AC5" i="12" s="1"/>
  <c r="O5" i="12"/>
  <c r="AH5" i="12" s="1"/>
  <c r="AI5" i="12" s="1"/>
  <c r="N5" i="12"/>
  <c r="M5" i="12"/>
  <c r="L5" i="12"/>
  <c r="K5" i="12"/>
  <c r="Z5" i="12" s="1"/>
  <c r="AA5" i="12" s="1"/>
  <c r="J5" i="12"/>
  <c r="I5" i="12"/>
  <c r="H5" i="12"/>
  <c r="G5" i="12"/>
  <c r="F5" i="12"/>
  <c r="E5" i="12"/>
  <c r="D5" i="12"/>
  <c r="DI4" i="12"/>
  <c r="DH4" i="12"/>
  <c r="DG4" i="12"/>
  <c r="DF4" i="12"/>
  <c r="DE4" i="12"/>
  <c r="DD4" i="12"/>
  <c r="DC4" i="12"/>
  <c r="DB4" i="12"/>
  <c r="DA4" i="12"/>
  <c r="CM4" i="12"/>
  <c r="CL4" i="12"/>
  <c r="CK4" i="12"/>
  <c r="CJ4" i="12"/>
  <c r="CI4" i="12"/>
  <c r="CH4" i="12"/>
  <c r="CG4" i="12"/>
  <c r="CF4" i="12"/>
  <c r="CE4" i="12"/>
  <c r="CD4" i="12"/>
  <c r="CC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L4" i="12"/>
  <c r="AM4" i="12" s="1"/>
  <c r="U4" i="12"/>
  <c r="T4" i="12"/>
  <c r="AJ4" i="12" s="1"/>
  <c r="AK4" i="12" s="1"/>
  <c r="S4" i="12"/>
  <c r="AD4" i="12" s="1"/>
  <c r="AE4" i="12" s="1"/>
  <c r="R4" i="12"/>
  <c r="Q4" i="12"/>
  <c r="P4" i="12"/>
  <c r="O4" i="12"/>
  <c r="AH4" i="12" s="1"/>
  <c r="AI4" i="12" s="1"/>
  <c r="N4" i="12"/>
  <c r="M4" i="12"/>
  <c r="L4" i="12"/>
  <c r="K4" i="12"/>
  <c r="Z4" i="12" s="1"/>
  <c r="AA4" i="12" s="1"/>
  <c r="J4" i="12"/>
  <c r="I4" i="12"/>
  <c r="H4" i="12"/>
  <c r="G4" i="12"/>
  <c r="F4" i="12"/>
  <c r="E4" i="12"/>
  <c r="D4" i="12"/>
  <c r="DI3" i="12"/>
  <c r="DH3" i="12"/>
  <c r="DG3" i="12"/>
  <c r="DF3" i="12"/>
  <c r="DE3" i="12"/>
  <c r="DD3" i="12"/>
  <c r="DC3" i="12"/>
  <c r="DB3" i="12"/>
  <c r="DA3" i="12"/>
  <c r="CM3" i="12"/>
  <c r="CL3" i="12"/>
  <c r="CK3" i="12"/>
  <c r="CJ3" i="12"/>
  <c r="CI3" i="12"/>
  <c r="CH3" i="12"/>
  <c r="CG3" i="12"/>
  <c r="CF3" i="12"/>
  <c r="CE3" i="12"/>
  <c r="CD3" i="12"/>
  <c r="CC3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BQ3" i="12" s="1"/>
  <c r="BR3" i="12" s="1"/>
  <c r="U3" i="12"/>
  <c r="AL3" i="12" s="1"/>
  <c r="AM3" i="12" s="1"/>
  <c r="T3" i="12"/>
  <c r="AJ3" i="12" s="1"/>
  <c r="AK3" i="12" s="1"/>
  <c r="S3" i="12"/>
  <c r="AD3" i="12" s="1"/>
  <c r="AE3" i="12" s="1"/>
  <c r="R3" i="12"/>
  <c r="Q3" i="12"/>
  <c r="P3" i="12"/>
  <c r="O3" i="12"/>
  <c r="AH3" i="12" s="1"/>
  <c r="AI3" i="12" s="1"/>
  <c r="N3" i="12"/>
  <c r="M3" i="12"/>
  <c r="L3" i="12"/>
  <c r="K3" i="12"/>
  <c r="Z3" i="12" s="1"/>
  <c r="AA3" i="12" s="1"/>
  <c r="J3" i="12"/>
  <c r="I3" i="12"/>
  <c r="H3" i="12"/>
  <c r="G3" i="12"/>
  <c r="F3" i="12"/>
  <c r="E3" i="12"/>
  <c r="D3" i="12"/>
  <c r="DI2" i="12"/>
  <c r="DH2" i="12"/>
  <c r="DG2" i="12"/>
  <c r="DF2" i="12"/>
  <c r="DE2" i="12"/>
  <c r="DD2" i="12"/>
  <c r="DC2" i="12"/>
  <c r="DB2" i="12"/>
  <c r="DA2" i="12"/>
  <c r="CM2" i="12"/>
  <c r="CL2" i="12"/>
  <c r="CK2" i="12"/>
  <c r="CJ2" i="12"/>
  <c r="CI2" i="12"/>
  <c r="CH2" i="12"/>
  <c r="CG2" i="12"/>
  <c r="CF2" i="12"/>
  <c r="CE2" i="12"/>
  <c r="CD2" i="12"/>
  <c r="CC2" i="12"/>
  <c r="BP2" i="12"/>
  <c r="BO2" i="12"/>
  <c r="BN2" i="12"/>
  <c r="BM2" i="12"/>
  <c r="BL2" i="12"/>
  <c r="BK2" i="12"/>
  <c r="BJ2" i="12"/>
  <c r="BI2" i="12"/>
  <c r="BH2" i="12"/>
  <c r="BG2" i="12"/>
  <c r="BF2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BQ2" i="12" s="1"/>
  <c r="BR2" i="12" s="1"/>
  <c r="U2" i="12"/>
  <c r="AL2" i="12" s="1"/>
  <c r="AM2" i="12" s="1"/>
  <c r="T2" i="12"/>
  <c r="AJ2" i="12" s="1"/>
  <c r="AK2" i="12" s="1"/>
  <c r="S2" i="12"/>
  <c r="AD2" i="12" s="1"/>
  <c r="AE2" i="12" s="1"/>
  <c r="R2" i="12"/>
  <c r="Q2" i="12"/>
  <c r="P2" i="12"/>
  <c r="O2" i="12"/>
  <c r="AH2" i="12" s="1"/>
  <c r="AI2" i="12" s="1"/>
  <c r="N2" i="12"/>
  <c r="M2" i="12"/>
  <c r="L2" i="12"/>
  <c r="K2" i="12"/>
  <c r="Z2" i="12" s="1"/>
  <c r="AA2" i="12" s="1"/>
  <c r="J2" i="12"/>
  <c r="I2" i="12"/>
  <c r="H2" i="12"/>
  <c r="G2" i="12"/>
  <c r="F2" i="12"/>
  <c r="V2" i="12" s="1"/>
  <c r="W2" i="12" s="1"/>
  <c r="E2" i="12"/>
  <c r="D2" i="12"/>
  <c r="BW13" i="12" l="1"/>
  <c r="BX13" i="12" s="1"/>
  <c r="AB17" i="12"/>
  <c r="AC17" i="12" s="1"/>
  <c r="BS22" i="12"/>
  <c r="BT22" i="12" s="1"/>
  <c r="V26" i="12"/>
  <c r="W26" i="12" s="1"/>
  <c r="CT2" i="12"/>
  <c r="CU2" i="12" s="1"/>
  <c r="X15" i="12"/>
  <c r="Y15" i="12" s="1"/>
  <c r="BW15" i="12"/>
  <c r="BX15" i="12" s="1"/>
  <c r="AF16" i="12"/>
  <c r="AG16" i="12" s="1"/>
  <c r="V17" i="12"/>
  <c r="W17" i="12" s="1"/>
  <c r="BW23" i="12"/>
  <c r="BX23" i="12" s="1"/>
  <c r="AF24" i="12"/>
  <c r="AG24" i="12" s="1"/>
  <c r="BQ24" i="12"/>
  <c r="BR24" i="12" s="1"/>
  <c r="DJ31" i="12"/>
  <c r="DK31" i="12" s="1"/>
  <c r="CP31" i="12"/>
  <c r="CQ31" i="12" s="1"/>
  <c r="V5" i="12"/>
  <c r="W5" i="12" s="1"/>
  <c r="CP8" i="12"/>
  <c r="CQ8" i="12" s="1"/>
  <c r="V30" i="12"/>
  <c r="W30" i="12" s="1"/>
  <c r="BU30" i="12"/>
  <c r="BV30" i="12" s="1"/>
  <c r="BY7" i="12"/>
  <c r="BZ7" i="12" s="1"/>
  <c r="AF18" i="12"/>
  <c r="AG18" i="12" s="1"/>
  <c r="CR8" i="12"/>
  <c r="CS8" i="12" s="1"/>
  <c r="AF3" i="12"/>
  <c r="AG3" i="12" s="1"/>
  <c r="BS26" i="12"/>
  <c r="BT26" i="12" s="1"/>
  <c r="X30" i="12"/>
  <c r="Y30" i="12" s="1"/>
  <c r="X8" i="12"/>
  <c r="Y8" i="12" s="1"/>
  <c r="BS12" i="12"/>
  <c r="BT12" i="12" s="1"/>
  <c r="AB29" i="12"/>
  <c r="AC29" i="12" s="1"/>
  <c r="BU29" i="12"/>
  <c r="BV29" i="12" s="1"/>
  <c r="BS6" i="12"/>
  <c r="BT6" i="12" s="1"/>
  <c r="BU7" i="12"/>
  <c r="BV7" i="12" s="1"/>
  <c r="AF22" i="12"/>
  <c r="AG22" i="12" s="1"/>
  <c r="BW24" i="12"/>
  <c r="BX24" i="12" s="1"/>
  <c r="V29" i="12"/>
  <c r="W29" i="12" s="1"/>
  <c r="CR18" i="12"/>
  <c r="CS18" i="12" s="1"/>
  <c r="CN27" i="12"/>
  <c r="CO27" i="12" s="1"/>
  <c r="AB2" i="12"/>
  <c r="AC2" i="12" s="1"/>
  <c r="BU3" i="12"/>
  <c r="BV3" i="12" s="1"/>
  <c r="BW10" i="12"/>
  <c r="BX10" i="12" s="1"/>
  <c r="CR10" i="12"/>
  <c r="CS10" i="12" s="1"/>
  <c r="CP12" i="12"/>
  <c r="CQ12" i="12" s="1"/>
  <c r="X16" i="12"/>
  <c r="Y16" i="12" s="1"/>
  <c r="CR16" i="12"/>
  <c r="CS16" i="12" s="1"/>
  <c r="BY17" i="12"/>
  <c r="BZ17" i="12" s="1"/>
  <c r="AF20" i="12"/>
  <c r="AG20" i="12" s="1"/>
  <c r="CT20" i="12"/>
  <c r="CU20" i="12" s="1"/>
  <c r="BU21" i="12"/>
  <c r="BV21" i="12" s="1"/>
  <c r="BU24" i="12"/>
  <c r="BV24" i="12" s="1"/>
  <c r="V28" i="12"/>
  <c r="W28" i="12" s="1"/>
  <c r="BS31" i="12"/>
  <c r="BT31" i="12" s="1"/>
  <c r="CP28" i="12"/>
  <c r="CT8" i="12"/>
  <c r="CU8" i="12" s="1"/>
  <c r="BS11" i="12"/>
  <c r="BT11" i="12" s="1"/>
  <c r="CP15" i="12"/>
  <c r="BW25" i="12"/>
  <c r="BX25" i="12" s="1"/>
  <c r="CP25" i="12"/>
  <c r="CQ25" i="12" s="1"/>
  <c r="BQ26" i="12"/>
  <c r="BR26" i="12" s="1"/>
  <c r="BY26" i="12"/>
  <c r="BZ26" i="12" s="1"/>
  <c r="BW31" i="12"/>
  <c r="BX31" i="12" s="1"/>
  <c r="X18" i="12"/>
  <c r="Y18" i="12" s="1"/>
  <c r="CT19" i="12"/>
  <c r="CU19" i="12" s="1"/>
  <c r="CP21" i="12"/>
  <c r="CQ21" i="12" s="1"/>
  <c r="CR2" i="12"/>
  <c r="CS2" i="12" s="1"/>
  <c r="BW5" i="12"/>
  <c r="BX5" i="12" s="1"/>
  <c r="BQ6" i="12"/>
  <c r="BR6" i="12" s="1"/>
  <c r="BY6" i="12"/>
  <c r="BZ6" i="12" s="1"/>
  <c r="BQ15" i="12"/>
  <c r="BR15" i="12" s="1"/>
  <c r="AB22" i="12"/>
  <c r="AC22" i="12" s="1"/>
  <c r="X23" i="12"/>
  <c r="Y23" i="12" s="1"/>
  <c r="AF28" i="12"/>
  <c r="AG28" i="12" s="1"/>
  <c r="BS29" i="12"/>
  <c r="BT29" i="12" s="1"/>
  <c r="CT3" i="12"/>
  <c r="CU3" i="12" s="1"/>
  <c r="AF9" i="12"/>
  <c r="AG9" i="12" s="1"/>
  <c r="CT9" i="12"/>
  <c r="CU9" i="12" s="1"/>
  <c r="BU10" i="12"/>
  <c r="BV10" i="12" s="1"/>
  <c r="CT12" i="12"/>
  <c r="CU12" i="12" s="1"/>
  <c r="BU13" i="12"/>
  <c r="BV13" i="12" s="1"/>
  <c r="BW14" i="12"/>
  <c r="BX14" i="12" s="1"/>
  <c r="AF15" i="12"/>
  <c r="AG15" i="12" s="1"/>
  <c r="AB16" i="12"/>
  <c r="AC16" i="12" s="1"/>
  <c r="BU16" i="12"/>
  <c r="BV16" i="12" s="1"/>
  <c r="BY18" i="12"/>
  <c r="BZ18" i="12" s="1"/>
  <c r="X20" i="12"/>
  <c r="Y20" i="12" s="1"/>
  <c r="CT21" i="12"/>
  <c r="CU21" i="12" s="1"/>
  <c r="V22" i="12"/>
  <c r="W22" i="12" s="1"/>
  <c r="CW22" i="12" s="1"/>
  <c r="BW27" i="12"/>
  <c r="BX27" i="12" s="1"/>
  <c r="BQ28" i="12"/>
  <c r="BR28" i="12" s="1"/>
  <c r="BY28" i="12"/>
  <c r="BZ28" i="12" s="1"/>
  <c r="BY14" i="12"/>
  <c r="BZ14" i="12" s="1"/>
  <c r="BY2" i="12"/>
  <c r="BZ2" i="12" s="1"/>
  <c r="BY11" i="12"/>
  <c r="BZ11" i="12" s="1"/>
  <c r="V3" i="12"/>
  <c r="W3" i="12" s="1"/>
  <c r="X4" i="12"/>
  <c r="Y4" i="12" s="1"/>
  <c r="BW4" i="12"/>
  <c r="BX4" i="12" s="1"/>
  <c r="BQ14" i="12"/>
  <c r="BR14" i="12" s="1"/>
  <c r="CN17" i="12"/>
  <c r="CO17" i="12" s="1"/>
  <c r="BS18" i="12"/>
  <c r="BT18" i="12" s="1"/>
  <c r="X22" i="12"/>
  <c r="Y22" i="12" s="1"/>
  <c r="BU25" i="12"/>
  <c r="BV25" i="12" s="1"/>
  <c r="AB28" i="12"/>
  <c r="AC28" i="12" s="1"/>
  <c r="BQ31" i="12"/>
  <c r="BR31" i="12" s="1"/>
  <c r="BU14" i="12"/>
  <c r="BV14" i="12" s="1"/>
  <c r="CN24" i="12"/>
  <c r="CO24" i="12" s="1"/>
  <c r="CT11" i="12"/>
  <c r="CU11" i="12" s="1"/>
  <c r="BY29" i="12"/>
  <c r="BZ29" i="12" s="1"/>
  <c r="DJ4" i="12"/>
  <c r="DK4" i="12" s="1"/>
  <c r="CP5" i="12"/>
  <c r="CQ5" i="12" s="1"/>
  <c r="V12" i="12"/>
  <c r="W12" i="12" s="1"/>
  <c r="V19" i="12"/>
  <c r="W19" i="12" s="1"/>
  <c r="CR4" i="12"/>
  <c r="CS4" i="12" s="1"/>
  <c r="CN21" i="12"/>
  <c r="CO21" i="12" s="1"/>
  <c r="BQ25" i="12"/>
  <c r="BR25" i="12" s="1"/>
  <c r="BS27" i="12"/>
  <c r="BT27" i="12" s="1"/>
  <c r="CN2" i="12"/>
  <c r="CO2" i="12" s="1"/>
  <c r="CP3" i="12"/>
  <c r="CP7" i="12"/>
  <c r="CQ7" i="12" s="1"/>
  <c r="CR12" i="12"/>
  <c r="CS12" i="12" s="1"/>
  <c r="AB27" i="12"/>
  <c r="AC27" i="12" s="1"/>
  <c r="CN30" i="12"/>
  <c r="CO30" i="12" s="1"/>
  <c r="CP2" i="12"/>
  <c r="CQ2" i="12" s="1"/>
  <c r="AB6" i="12"/>
  <c r="AC6" i="12" s="1"/>
  <c r="CR7" i="12"/>
  <c r="CS7" i="12" s="1"/>
  <c r="BQ13" i="12"/>
  <c r="BR13" i="12" s="1"/>
  <c r="V16" i="12"/>
  <c r="W16" i="12" s="1"/>
  <c r="BQ19" i="12"/>
  <c r="BR19" i="12" s="1"/>
  <c r="CP19" i="12"/>
  <c r="CQ19" i="12" s="1"/>
  <c r="CA28" i="12"/>
  <c r="CB28" i="12" s="1"/>
  <c r="CP30" i="12"/>
  <c r="CQ30" i="12" s="1"/>
  <c r="CR28" i="12"/>
  <c r="CS28" i="12" s="1"/>
  <c r="AF30" i="12"/>
  <c r="AG30" i="12" s="1"/>
  <c r="CR30" i="12"/>
  <c r="CS30" i="12" s="1"/>
  <c r="V15" i="12"/>
  <c r="W15" i="12" s="1"/>
  <c r="CW15" i="12" s="1"/>
  <c r="AB31" i="12"/>
  <c r="AC31" i="12" s="1"/>
  <c r="AB8" i="12"/>
  <c r="AC8" i="12" s="1"/>
  <c r="X13" i="12"/>
  <c r="Y13" i="12" s="1"/>
  <c r="V8" i="12"/>
  <c r="W8" i="12" s="1"/>
  <c r="BS10" i="12"/>
  <c r="BT10" i="12" s="1"/>
  <c r="AB11" i="12"/>
  <c r="AC11" i="12" s="1"/>
  <c r="CN4" i="12"/>
  <c r="CO4" i="12" s="1"/>
  <c r="BS7" i="12"/>
  <c r="BT7" i="12" s="1"/>
  <c r="CR14" i="12"/>
  <c r="CS14" i="12" s="1"/>
  <c r="CP18" i="12"/>
  <c r="CQ18" i="12" s="1"/>
  <c r="CP4" i="12"/>
  <c r="CQ4" i="12" s="1"/>
  <c r="V6" i="12"/>
  <c r="W6" i="12" s="1"/>
  <c r="CN6" i="12"/>
  <c r="CO6" i="12" s="1"/>
  <c r="X7" i="12"/>
  <c r="Y7" i="12" s="1"/>
  <c r="BQ8" i="12"/>
  <c r="BR8" i="12" s="1"/>
  <c r="BY8" i="12"/>
  <c r="BZ8" i="12" s="1"/>
  <c r="BS9" i="12"/>
  <c r="BT9" i="12" s="1"/>
  <c r="BW11" i="12"/>
  <c r="BX11" i="12" s="1"/>
  <c r="AF12" i="12"/>
  <c r="AG12" i="12" s="1"/>
  <c r="BQ12" i="12"/>
  <c r="BR12" i="12" s="1"/>
  <c r="BY12" i="12"/>
  <c r="BZ12" i="12" s="1"/>
  <c r="CP13" i="12"/>
  <c r="CQ13" i="12" s="1"/>
  <c r="AB20" i="12"/>
  <c r="AC20" i="12" s="1"/>
  <c r="CP20" i="12"/>
  <c r="CQ20" i="12" s="1"/>
  <c r="BW22" i="12"/>
  <c r="BX22" i="12" s="1"/>
  <c r="AF23" i="12"/>
  <c r="AG23" i="12" s="1"/>
  <c r="CN25" i="12"/>
  <c r="CO25" i="12" s="1"/>
  <c r="BW3" i="12"/>
  <c r="BX3" i="12" s="1"/>
  <c r="BS5" i="12"/>
  <c r="BT5" i="12" s="1"/>
  <c r="CP6" i="12"/>
  <c r="CQ6" i="12" s="1"/>
  <c r="BU9" i="12"/>
  <c r="BV9" i="12" s="1"/>
  <c r="AB14" i="12"/>
  <c r="AC14" i="12" s="1"/>
  <c r="BS14" i="12"/>
  <c r="BT14" i="12" s="1"/>
  <c r="CT14" i="12"/>
  <c r="CU14" i="12" s="1"/>
  <c r="AF19" i="12"/>
  <c r="AG19" i="12" s="1"/>
  <c r="V20" i="12"/>
  <c r="W20" i="12" s="1"/>
  <c r="CW20" i="12" s="1"/>
  <c r="CR26" i="12"/>
  <c r="CS26" i="12" s="1"/>
  <c r="BW28" i="12"/>
  <c r="BX28" i="12" s="1"/>
  <c r="CN28" i="12"/>
  <c r="CO28" i="12" s="1"/>
  <c r="BQ30" i="12"/>
  <c r="BR30" i="12" s="1"/>
  <c r="BY30" i="12"/>
  <c r="BZ30" i="12" s="1"/>
  <c r="BY31" i="12"/>
  <c r="BZ31" i="12" s="1"/>
  <c r="V18" i="12"/>
  <c r="W18" i="12" s="1"/>
  <c r="AB18" i="12"/>
  <c r="AC18" i="12" s="1"/>
  <c r="BU8" i="12"/>
  <c r="BV8" i="12" s="1"/>
  <c r="CA8" i="12"/>
  <c r="CB8" i="12" s="1"/>
  <c r="BY13" i="12"/>
  <c r="BZ13" i="12" s="1"/>
  <c r="CN15" i="12"/>
  <c r="CO15" i="12" s="1"/>
  <c r="CN23" i="12"/>
  <c r="CO23" i="12" s="1"/>
  <c r="CX23" i="12" s="1"/>
  <c r="AF26" i="12"/>
  <c r="AG26" i="12" s="1"/>
  <c r="BQ27" i="12"/>
  <c r="BR27" i="12" s="1"/>
  <c r="AF17" i="12"/>
  <c r="AG17" i="12" s="1"/>
  <c r="DJ22" i="12"/>
  <c r="DK22" i="12" s="1"/>
  <c r="BU20" i="12"/>
  <c r="BV20" i="12" s="1"/>
  <c r="BS25" i="12"/>
  <c r="BT25" i="12" s="1"/>
  <c r="CR20" i="12"/>
  <c r="CS20" i="12" s="1"/>
  <c r="X2" i="12"/>
  <c r="Y2" i="12" s="1"/>
  <c r="BW2" i="12"/>
  <c r="BX2" i="12" s="1"/>
  <c r="AB10" i="12"/>
  <c r="AC10" i="12" s="1"/>
  <c r="DJ11" i="12"/>
  <c r="DK11" i="12" s="1"/>
  <c r="X12" i="12"/>
  <c r="Y12" i="12" s="1"/>
  <c r="CR22" i="12"/>
  <c r="CS22" i="12" s="1"/>
  <c r="CP26" i="12"/>
  <c r="CQ26" i="12" s="1"/>
  <c r="V13" i="12"/>
  <c r="W13" i="12" s="1"/>
  <c r="AB13" i="12"/>
  <c r="AC13" i="12" s="1"/>
  <c r="DJ6" i="12"/>
  <c r="DK6" i="12" s="1"/>
  <c r="CR6" i="12"/>
  <c r="CS6" i="12" s="1"/>
  <c r="CA7" i="12"/>
  <c r="CB7" i="12" s="1"/>
  <c r="CV7" i="12" s="1"/>
  <c r="DJ13" i="12"/>
  <c r="DK13" i="12" s="1"/>
  <c r="AF14" i="12"/>
  <c r="AG14" i="12" s="1"/>
  <c r="CR29" i="12"/>
  <c r="CS29" i="12" s="1"/>
  <c r="V31" i="12"/>
  <c r="W31" i="12" s="1"/>
  <c r="BS3" i="12"/>
  <c r="BT3" i="12" s="1"/>
  <c r="AB4" i="12"/>
  <c r="AC4" i="12" s="1"/>
  <c r="CR5" i="12"/>
  <c r="CS5" i="12" s="1"/>
  <c r="CN8" i="12"/>
  <c r="CO8" i="12" s="1"/>
  <c r="CP9" i="12"/>
  <c r="CQ9" i="12" s="1"/>
  <c r="V10" i="12"/>
  <c r="W10" i="12" s="1"/>
  <c r="CR11" i="12"/>
  <c r="CS11" i="12" s="1"/>
  <c r="BW12" i="12"/>
  <c r="BX12" i="12" s="1"/>
  <c r="DJ12" i="12"/>
  <c r="DK12" i="12" s="1"/>
  <c r="BU15" i="12"/>
  <c r="BV15" i="12" s="1"/>
  <c r="AB19" i="12"/>
  <c r="AC19" i="12" s="1"/>
  <c r="X21" i="12"/>
  <c r="Y21" i="12" s="1"/>
  <c r="BQ21" i="12"/>
  <c r="BR21" i="12" s="1"/>
  <c r="CN22" i="12"/>
  <c r="CO22" i="12" s="1"/>
  <c r="CP23" i="12"/>
  <c r="CQ23" i="12" s="1"/>
  <c r="DJ24" i="12"/>
  <c r="DK24" i="12" s="1"/>
  <c r="BY27" i="12"/>
  <c r="BZ27" i="12" s="1"/>
  <c r="DJ29" i="12"/>
  <c r="DK29" i="12" s="1"/>
  <c r="X31" i="12"/>
  <c r="Y31" i="12" s="1"/>
  <c r="CT31" i="12"/>
  <c r="CU31" i="12" s="1"/>
  <c r="AF2" i="12"/>
  <c r="AG2" i="12" s="1"/>
  <c r="V4" i="12"/>
  <c r="W4" i="12" s="1"/>
  <c r="AF5" i="12"/>
  <c r="AG5" i="12" s="1"/>
  <c r="BQ5" i="12"/>
  <c r="BR5" i="12" s="1"/>
  <c r="BY5" i="12"/>
  <c r="BZ5" i="12" s="1"/>
  <c r="CA5" i="12"/>
  <c r="CB5" i="12" s="1"/>
  <c r="BW8" i="12"/>
  <c r="BX8" i="12" s="1"/>
  <c r="BW9" i="12"/>
  <c r="BX9" i="12" s="1"/>
  <c r="CR9" i="12"/>
  <c r="CS9" i="12" s="1"/>
  <c r="CT10" i="12"/>
  <c r="CU10" i="12" s="1"/>
  <c r="CN12" i="12"/>
  <c r="CO12" i="12" s="1"/>
  <c r="CR15" i="12"/>
  <c r="CS15" i="12" s="1"/>
  <c r="BS16" i="12"/>
  <c r="BT16" i="12" s="1"/>
  <c r="BY16" i="12"/>
  <c r="BZ16" i="12" s="1"/>
  <c r="CT16" i="12"/>
  <c r="CU16" i="12" s="1"/>
  <c r="DJ16" i="12"/>
  <c r="DK16" i="12" s="1"/>
  <c r="BW17" i="12"/>
  <c r="BX17" i="12" s="1"/>
  <c r="CA17" i="12"/>
  <c r="CB17" i="12" s="1"/>
  <c r="DJ17" i="12"/>
  <c r="DK17" i="12" s="1"/>
  <c r="BW20" i="12"/>
  <c r="BX20" i="12" s="1"/>
  <c r="BS21" i="12"/>
  <c r="BT21" i="12" s="1"/>
  <c r="CP22" i="12"/>
  <c r="X25" i="12"/>
  <c r="Y25" i="12" s="1"/>
  <c r="CN26" i="12"/>
  <c r="CO26" i="12" s="1"/>
  <c r="X27" i="12"/>
  <c r="Y27" i="12" s="1"/>
  <c r="BU31" i="12"/>
  <c r="BV31" i="12" s="1"/>
  <c r="DJ26" i="12"/>
  <c r="DK26" i="12" s="1"/>
  <c r="CT27" i="12"/>
  <c r="CU27" i="12" s="1"/>
  <c r="BU27" i="12"/>
  <c r="BV27" i="12" s="1"/>
  <c r="CR31" i="12"/>
  <c r="CS31" i="12" s="1"/>
  <c r="BQ9" i="12"/>
  <c r="BR9" i="12" s="1"/>
  <c r="BY15" i="12"/>
  <c r="BZ15" i="12" s="1"/>
  <c r="BW18" i="12"/>
  <c r="BX18" i="12" s="1"/>
  <c r="CR19" i="12"/>
  <c r="CS19" i="12" s="1"/>
  <c r="BY20" i="12"/>
  <c r="BZ20" i="12" s="1"/>
  <c r="DJ20" i="12"/>
  <c r="DK20" i="12" s="1"/>
  <c r="AB23" i="12"/>
  <c r="AC23" i="12" s="1"/>
  <c r="CT23" i="12"/>
  <c r="CU23" i="12" s="1"/>
  <c r="DJ25" i="12"/>
  <c r="DK25" i="12" s="1"/>
  <c r="CA27" i="12"/>
  <c r="CB27" i="12" s="1"/>
  <c r="CP27" i="12"/>
  <c r="CQ27" i="12" s="1"/>
  <c r="DJ30" i="12"/>
  <c r="DK30" i="12" s="1"/>
  <c r="X3" i="12"/>
  <c r="Y3" i="12" s="1"/>
  <c r="AF7" i="12"/>
  <c r="AG7" i="12" s="1"/>
  <c r="BQ11" i="12"/>
  <c r="BR11" i="12" s="1"/>
  <c r="X29" i="12"/>
  <c r="Y29" i="12" s="1"/>
  <c r="CA19" i="12"/>
  <c r="CB19" i="12" s="1"/>
  <c r="BS4" i="12"/>
  <c r="BT4" i="12" s="1"/>
  <c r="CT4" i="12"/>
  <c r="CU4" i="12" s="1"/>
  <c r="CN9" i="12"/>
  <c r="CO9" i="12" s="1"/>
  <c r="CX9" i="12" s="1"/>
  <c r="CN13" i="12"/>
  <c r="CO13" i="12" s="1"/>
  <c r="AF31" i="12"/>
  <c r="AG31" i="12" s="1"/>
  <c r="BU4" i="12"/>
  <c r="BV4" i="12" s="1"/>
  <c r="BU5" i="12"/>
  <c r="BV5" i="12" s="1"/>
  <c r="CT7" i="12"/>
  <c r="CU7" i="12" s="1"/>
  <c r="BS8" i="12"/>
  <c r="BT8" i="12" s="1"/>
  <c r="AB9" i="12"/>
  <c r="AC9" i="12" s="1"/>
  <c r="AF10" i="12"/>
  <c r="AG10" i="12" s="1"/>
  <c r="CN10" i="12"/>
  <c r="CO10" i="12" s="1"/>
  <c r="CX10" i="12" s="1"/>
  <c r="AB12" i="12"/>
  <c r="AC12" i="12" s="1"/>
  <c r="BW16" i="12"/>
  <c r="BX16" i="12" s="1"/>
  <c r="X17" i="12"/>
  <c r="Y17" i="12" s="1"/>
  <c r="CW17" i="12" s="1"/>
  <c r="BS17" i="12"/>
  <c r="BT17" i="12" s="1"/>
  <c r="BW19" i="12"/>
  <c r="BX19" i="12" s="1"/>
  <c r="BS20" i="12"/>
  <c r="BT20" i="12" s="1"/>
  <c r="BS23" i="12"/>
  <c r="BT23" i="12" s="1"/>
  <c r="CR25" i="12"/>
  <c r="CS25" i="12" s="1"/>
  <c r="CR27" i="12"/>
  <c r="CS27" i="12" s="1"/>
  <c r="AF29" i="12"/>
  <c r="AG29" i="12" s="1"/>
  <c r="CA18" i="12"/>
  <c r="CB18" i="12" s="1"/>
  <c r="BS19" i="12"/>
  <c r="BT19" i="12" s="1"/>
  <c r="CR3" i="12"/>
  <c r="CS3" i="12" s="1"/>
  <c r="X10" i="12"/>
  <c r="Y10" i="12" s="1"/>
  <c r="AF21" i="12"/>
  <c r="AG21" i="12" s="1"/>
  <c r="X19" i="12"/>
  <c r="Y19" i="12" s="1"/>
  <c r="BS2" i="12"/>
  <c r="BT2" i="12" s="1"/>
  <c r="CN3" i="12"/>
  <c r="CO3" i="12" s="1"/>
  <c r="AF4" i="12"/>
  <c r="AG4" i="12" s="1"/>
  <c r="V7" i="12"/>
  <c r="W7" i="12" s="1"/>
  <c r="V9" i="12"/>
  <c r="W9" i="12" s="1"/>
  <c r="CP10" i="12"/>
  <c r="CQ10" i="12" s="1"/>
  <c r="BU11" i="12"/>
  <c r="BV11" i="12" s="1"/>
  <c r="CA11" i="12"/>
  <c r="CB11" i="12" s="1"/>
  <c r="X14" i="12"/>
  <c r="Y14" i="12" s="1"/>
  <c r="CP16" i="12"/>
  <c r="CQ16" i="12" s="1"/>
  <c r="BQ18" i="12"/>
  <c r="BR18" i="12" s="1"/>
  <c r="V21" i="12"/>
  <c r="W21" i="12" s="1"/>
  <c r="BU23" i="12"/>
  <c r="BV23" i="12" s="1"/>
  <c r="CA23" i="12"/>
  <c r="CB23" i="12" s="1"/>
  <c r="CR24" i="12"/>
  <c r="CS24" i="12" s="1"/>
  <c r="AB25" i="12"/>
  <c r="AC25" i="12" s="1"/>
  <c r="BY25" i="12"/>
  <c r="BZ25" i="12" s="1"/>
  <c r="X26" i="12"/>
  <c r="Y26" i="12" s="1"/>
  <c r="BU26" i="12"/>
  <c r="BV26" i="12" s="1"/>
  <c r="BS28" i="12"/>
  <c r="BT28" i="12" s="1"/>
  <c r="BW29" i="12"/>
  <c r="BX29" i="12" s="1"/>
  <c r="CN31" i="12"/>
  <c r="CO31" i="12" s="1"/>
  <c r="CX31" i="12" s="1"/>
  <c r="DJ2" i="12"/>
  <c r="DK2" i="12" s="1"/>
  <c r="CN11" i="12"/>
  <c r="CO11" i="12" s="1"/>
  <c r="CN19" i="12"/>
  <c r="CO19" i="12" s="1"/>
  <c r="CT5" i="12"/>
  <c r="CU5" i="12" s="1"/>
  <c r="AF8" i="12"/>
  <c r="AG8" i="12" s="1"/>
  <c r="CN18" i="12"/>
  <c r="CO18" i="12" s="1"/>
  <c r="BU2" i="12"/>
  <c r="BV2" i="12" s="1"/>
  <c r="AB3" i="12"/>
  <c r="AC3" i="12" s="1"/>
  <c r="DJ3" i="12"/>
  <c r="DK3" i="12" s="1"/>
  <c r="X5" i="12"/>
  <c r="Y5" i="12" s="1"/>
  <c r="DJ5" i="12"/>
  <c r="DK5" i="12" s="1"/>
  <c r="X6" i="12"/>
  <c r="Y6" i="12" s="1"/>
  <c r="CA6" i="12"/>
  <c r="CB6" i="12" s="1"/>
  <c r="CN7" i="12"/>
  <c r="CO7" i="12" s="1"/>
  <c r="AF11" i="12"/>
  <c r="AG11" i="12" s="1"/>
  <c r="BU12" i="12"/>
  <c r="BV12" i="12" s="1"/>
  <c r="BS15" i="12"/>
  <c r="BT15" i="12" s="1"/>
  <c r="CT15" i="12"/>
  <c r="CU15" i="12" s="1"/>
  <c r="CT17" i="12"/>
  <c r="CU17" i="12" s="1"/>
  <c r="CN20" i="12"/>
  <c r="CO20" i="12" s="1"/>
  <c r="BU22" i="12"/>
  <c r="BV22" i="12" s="1"/>
  <c r="V23" i="12"/>
  <c r="W23" i="12" s="1"/>
  <c r="DJ23" i="12"/>
  <c r="DK23" i="12" s="1"/>
  <c r="X24" i="12"/>
  <c r="Y24" i="12" s="1"/>
  <c r="BY24" i="12"/>
  <c r="BZ24" i="12" s="1"/>
  <c r="CT24" i="12"/>
  <c r="CU24" i="12" s="1"/>
  <c r="V25" i="12"/>
  <c r="W25" i="12" s="1"/>
  <c r="CW25" i="12" s="1"/>
  <c r="BU28" i="12"/>
  <c r="BV28" i="12" s="1"/>
  <c r="CT28" i="12"/>
  <c r="CU28" i="12" s="1"/>
  <c r="CA4" i="12"/>
  <c r="CB4" i="12" s="1"/>
  <c r="CA21" i="12"/>
  <c r="CB21" i="12" s="1"/>
  <c r="DJ7" i="12"/>
  <c r="DK7" i="12" s="1"/>
  <c r="CP17" i="12"/>
  <c r="CQ17" i="12" s="1"/>
  <c r="CA22" i="12"/>
  <c r="CB22" i="12" s="1"/>
  <c r="CA2" i="12"/>
  <c r="CB2" i="12" s="1"/>
  <c r="CA3" i="12"/>
  <c r="CB3" i="12" s="1"/>
  <c r="CA12" i="12"/>
  <c r="CB12" i="12" s="1"/>
  <c r="BY4" i="12"/>
  <c r="BZ4" i="12" s="1"/>
  <c r="CA31" i="12"/>
  <c r="CB31" i="12" s="1"/>
  <c r="DJ14" i="12"/>
  <c r="DK14" i="12" s="1"/>
  <c r="X11" i="12"/>
  <c r="Y11" i="12" s="1"/>
  <c r="CA9" i="12"/>
  <c r="CB9" i="12" s="1"/>
  <c r="DJ10" i="12"/>
  <c r="DK10" i="12" s="1"/>
  <c r="CP11" i="12"/>
  <c r="CQ11" i="12" s="1"/>
  <c r="CA20" i="12"/>
  <c r="CB20" i="12" s="1"/>
  <c r="V24" i="12"/>
  <c r="W24" i="12" s="1"/>
  <c r="CA10" i="12"/>
  <c r="CB10" i="12" s="1"/>
  <c r="DJ18" i="12"/>
  <c r="DK18" i="12" s="1"/>
  <c r="CA24" i="12"/>
  <c r="CB24" i="12" s="1"/>
  <c r="CA30" i="12"/>
  <c r="CB30" i="12" s="1"/>
  <c r="CA16" i="12"/>
  <c r="CB16" i="12" s="1"/>
  <c r="BY21" i="12"/>
  <c r="BZ21" i="12" s="1"/>
  <c r="AB24" i="12"/>
  <c r="AC24" i="12" s="1"/>
  <c r="CP29" i="12"/>
  <c r="CQ29" i="12" s="1"/>
  <c r="BY3" i="12"/>
  <c r="BZ3" i="12" s="1"/>
  <c r="CA29" i="12"/>
  <c r="CB29" i="12" s="1"/>
  <c r="CA15" i="12"/>
  <c r="CB15" i="12" s="1"/>
  <c r="DJ28" i="12"/>
  <c r="DK28" i="12" s="1"/>
  <c r="BY9" i="12"/>
  <c r="BZ9" i="12" s="1"/>
  <c r="BY10" i="12"/>
  <c r="BZ10" i="12" s="1"/>
  <c r="CP14" i="12"/>
  <c r="CQ14" i="12" s="1"/>
  <c r="DJ15" i="12"/>
  <c r="DK15" i="12" s="1"/>
  <c r="CN16" i="12"/>
  <c r="CO16" i="12" s="1"/>
  <c r="BQ17" i="12"/>
  <c r="BR17" i="12" s="1"/>
  <c r="BY22" i="12"/>
  <c r="BZ22" i="12" s="1"/>
  <c r="CP24" i="12"/>
  <c r="AB26" i="12"/>
  <c r="AC26" i="12" s="1"/>
  <c r="BY23" i="12"/>
  <c r="BZ23" i="12" s="1"/>
  <c r="DJ19" i="12"/>
  <c r="DK19" i="12" s="1"/>
  <c r="DJ8" i="12"/>
  <c r="DK8" i="12" s="1"/>
  <c r="CR13" i="12"/>
  <c r="CS13" i="12" s="1"/>
  <c r="CN14" i="12"/>
  <c r="CO14" i="12" s="1"/>
  <c r="AB7" i="12"/>
  <c r="AC7" i="12" s="1"/>
  <c r="CN5" i="12"/>
  <c r="CO5" i="12" s="1"/>
  <c r="BU6" i="12"/>
  <c r="BV6" i="12" s="1"/>
  <c r="BS13" i="12"/>
  <c r="BT13" i="12" s="1"/>
  <c r="CA14" i="12"/>
  <c r="CB14" i="12" s="1"/>
  <c r="BU18" i="12"/>
  <c r="BV18" i="12" s="1"/>
  <c r="BS24" i="12"/>
  <c r="BT24" i="12" s="1"/>
  <c r="CA25" i="12"/>
  <c r="CB25" i="12" s="1"/>
  <c r="CA26" i="12"/>
  <c r="CB26" i="12" s="1"/>
  <c r="DJ27" i="12"/>
  <c r="DK27" i="12" s="1"/>
  <c r="X28" i="12"/>
  <c r="Y28" i="12" s="1"/>
  <c r="DJ9" i="12"/>
  <c r="DK9" i="12" s="1"/>
  <c r="BW21" i="12"/>
  <c r="BX21" i="12" s="1"/>
  <c r="DJ21" i="12"/>
  <c r="DK21" i="12" s="1"/>
  <c r="CN29" i="12"/>
  <c r="CO29" i="12" s="1"/>
  <c r="BQ4" i="12"/>
  <c r="BR4" i="12" s="1"/>
  <c r="CA13" i="12"/>
  <c r="CB13" i="12" s="1"/>
  <c r="BQ20" i="12"/>
  <c r="BR20" i="12" s="1"/>
  <c r="CR17" i="12"/>
  <c r="CS17" i="12" s="1"/>
  <c r="CR21" i="12"/>
  <c r="CS21" i="12" s="1"/>
  <c r="BQ10" i="12"/>
  <c r="BR10" i="12" s="1"/>
  <c r="BY19" i="12"/>
  <c r="BZ19" i="12" s="1"/>
  <c r="BQ22" i="12"/>
  <c r="BR22" i="12" s="1"/>
  <c r="CW29" i="12" l="1"/>
  <c r="CQ15" i="12"/>
  <c r="CQ22" i="12"/>
  <c r="CX8" i="12"/>
  <c r="CQ24" i="12"/>
  <c r="CX24" i="12" s="1"/>
  <c r="CW30" i="12"/>
  <c r="CW24" i="12"/>
  <c r="CY24" i="12" s="1"/>
  <c r="CQ3" i="12"/>
  <c r="CX3" i="12" s="1"/>
  <c r="CW19" i="12"/>
  <c r="CW27" i="12"/>
  <c r="CW2" i="12"/>
  <c r="CV29" i="12"/>
  <c r="CY29" i="12" s="1"/>
  <c r="CV24" i="12"/>
  <c r="CW18" i="12"/>
  <c r="CV25" i="12"/>
  <c r="CY25" i="12" s="1"/>
  <c r="CQ28" i="12"/>
  <c r="CX28" i="12" s="1"/>
  <c r="CX4" i="12"/>
  <c r="CV14" i="12"/>
  <c r="CY14" i="12" s="1"/>
  <c r="CW28" i="12"/>
  <c r="CV9" i="12"/>
  <c r="CY9" i="12" s="1"/>
  <c r="CW9" i="12"/>
  <c r="CV11" i="12"/>
  <c r="CY11" i="12" s="1"/>
  <c r="CX12" i="12"/>
  <c r="CV26" i="12"/>
  <c r="CW16" i="12"/>
  <c r="CV2" i="12"/>
  <c r="CV5" i="12"/>
  <c r="CX7" i="12"/>
  <c r="CW21" i="12"/>
  <c r="CW6" i="12"/>
  <c r="CX2" i="12"/>
  <c r="CV6" i="12"/>
  <c r="CY6" i="12" s="1"/>
  <c r="CV30" i="12"/>
  <c r="CY30" i="12" s="1"/>
  <c r="CX13" i="12"/>
  <c r="CV19" i="12"/>
  <c r="CX26" i="12"/>
  <c r="CW23" i="12"/>
  <c r="CW10" i="12"/>
  <c r="CV31" i="12"/>
  <c r="CY31" i="12" s="1"/>
  <c r="CW26" i="12"/>
  <c r="CY26" i="12" s="1"/>
  <c r="CV18" i="12"/>
  <c r="CY18" i="12" s="1"/>
  <c r="CV8" i="12"/>
  <c r="CW3" i="12"/>
  <c r="CW13" i="12"/>
  <c r="CV13" i="12"/>
  <c r="CV15" i="12"/>
  <c r="CW8" i="12"/>
  <c r="CW4" i="12"/>
  <c r="CV27" i="12"/>
  <c r="CY27" i="12" s="1"/>
  <c r="CX14" i="12"/>
  <c r="CV22" i="12"/>
  <c r="CW14" i="12"/>
  <c r="CW12" i="12"/>
  <c r="CW5" i="12"/>
  <c r="CV28" i="12"/>
  <c r="CW31" i="12"/>
  <c r="CX30" i="12"/>
  <c r="CX21" i="12"/>
  <c r="CV23" i="12"/>
  <c r="CX6" i="12"/>
  <c r="CX20" i="12"/>
  <c r="CX18" i="12"/>
  <c r="CX25" i="12"/>
  <c r="CX16" i="12"/>
  <c r="CV16" i="12"/>
  <c r="CV12" i="12"/>
  <c r="CX27" i="12"/>
  <c r="CV20" i="12"/>
  <c r="CX11" i="12"/>
  <c r="CX22" i="12"/>
  <c r="CX17" i="12"/>
  <c r="CX19" i="12"/>
  <c r="CV3" i="12"/>
  <c r="CV17" i="12"/>
  <c r="CW11" i="12"/>
  <c r="CX5" i="12"/>
  <c r="CV21" i="12"/>
  <c r="CW7" i="12"/>
  <c r="CX15" i="12"/>
  <c r="CY15" i="12"/>
  <c r="CV10" i="12"/>
  <c r="CV4" i="12"/>
  <c r="CY4" i="12" s="1"/>
  <c r="CX29" i="12"/>
  <c r="CY22" i="12" l="1"/>
  <c r="CY8" i="12"/>
  <c r="CY17" i="12"/>
  <c r="CY13" i="12"/>
  <c r="CY19" i="12"/>
  <c r="CY12" i="12"/>
  <c r="CY28" i="12"/>
  <c r="CY7" i="12"/>
  <c r="CY2" i="12"/>
  <c r="CY10" i="12"/>
  <c r="CY5" i="12"/>
  <c r="CY16" i="12"/>
  <c r="CY23" i="12"/>
  <c r="CY21" i="12"/>
  <c r="CY20" i="12"/>
  <c r="CY3" i="12"/>
  <c r="DO3" i="2" l="1"/>
  <c r="EL3" i="2" s="1"/>
  <c r="DO4" i="2"/>
  <c r="EL4" i="2" s="1"/>
  <c r="DO5" i="2"/>
  <c r="EL5" i="2" s="1"/>
  <c r="DO6" i="2"/>
  <c r="EL6" i="2" s="1"/>
  <c r="DO7" i="2"/>
  <c r="EL7" i="2" s="1"/>
  <c r="DO8" i="2"/>
  <c r="EL8" i="2" s="1"/>
  <c r="DO9" i="2"/>
  <c r="EL9" i="2" s="1"/>
  <c r="DO10" i="2"/>
  <c r="EL10" i="2" s="1"/>
  <c r="DO11" i="2"/>
  <c r="EL11" i="2" s="1"/>
  <c r="DO12" i="2"/>
  <c r="EL12" i="2" s="1"/>
  <c r="DO13" i="2"/>
  <c r="EL13" i="2" s="1"/>
  <c r="DO14" i="2"/>
  <c r="EL14" i="2" s="1"/>
  <c r="DO15" i="2"/>
  <c r="EL15" i="2" s="1"/>
  <c r="DO16" i="2"/>
  <c r="EL16" i="2" s="1"/>
  <c r="DO17" i="2"/>
  <c r="EL17" i="2" s="1"/>
  <c r="DO18" i="2"/>
  <c r="EL18" i="2" s="1"/>
  <c r="DO19" i="2"/>
  <c r="EL19" i="2" s="1"/>
  <c r="DO20" i="2"/>
  <c r="EL20" i="2" s="1"/>
  <c r="DO21" i="2"/>
  <c r="EL21" i="2" s="1"/>
  <c r="DO22" i="2"/>
  <c r="EL22" i="2" s="1"/>
  <c r="DO23" i="2"/>
  <c r="EL23" i="2" s="1"/>
  <c r="DO24" i="2"/>
  <c r="EL24" i="2" s="1"/>
  <c r="DO25" i="2"/>
  <c r="EL25" i="2" s="1"/>
  <c r="DO26" i="2"/>
  <c r="EL26" i="2" s="1"/>
  <c r="DO27" i="2"/>
  <c r="EL27" i="2" s="1"/>
  <c r="DO28" i="2"/>
  <c r="EL28" i="2" s="1"/>
  <c r="DO29" i="2"/>
  <c r="EL29" i="2" s="1"/>
  <c r="DO2" i="2"/>
  <c r="EL2" i="2" s="1"/>
  <c r="CZ3" i="2" l="1"/>
  <c r="DA2" i="2" s="1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2" i="2"/>
  <c r="K34" i="3" l="1"/>
  <c r="F4" i="6"/>
  <c r="F5" i="6"/>
  <c r="F6" i="6"/>
  <c r="F7" i="6"/>
  <c r="F8" i="6"/>
  <c r="F9" i="6"/>
  <c r="F10" i="6"/>
  <c r="F11" i="6"/>
  <c r="F12" i="6"/>
  <c r="F13" i="6"/>
  <c r="F15" i="6"/>
  <c r="F16" i="6"/>
  <c r="F18" i="6"/>
  <c r="F23" i="6"/>
  <c r="F19" i="6"/>
  <c r="F20" i="6"/>
  <c r="F21" i="6"/>
  <c r="F22" i="6"/>
  <c r="F24" i="6"/>
  <c r="F25" i="6"/>
  <c r="F26" i="6"/>
  <c r="F27" i="6"/>
  <c r="F28" i="6"/>
  <c r="F29" i="6"/>
  <c r="F14" i="6"/>
  <c r="F30" i="6"/>
  <c r="F31" i="6"/>
  <c r="F17" i="6"/>
  <c r="F32" i="6"/>
  <c r="F3" i="6"/>
  <c r="B66" i="5"/>
  <c r="B32" i="5"/>
  <c r="B24" i="3" l="1"/>
  <c r="F14" i="3"/>
  <c r="G14" i="3"/>
  <c r="C24" i="3"/>
  <c r="AX2" i="2" l="1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2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2" i="2"/>
  <c r="CD2" i="2"/>
  <c r="CE2" i="2"/>
  <c r="CF2" i="2"/>
  <c r="CG2" i="2"/>
  <c r="CH2" i="2"/>
  <c r="CI2" i="2"/>
  <c r="CJ2" i="2"/>
  <c r="CK2" i="2"/>
  <c r="CD3" i="2"/>
  <c r="CE3" i="2"/>
  <c r="CF3" i="2"/>
  <c r="CG3" i="2"/>
  <c r="CH3" i="2"/>
  <c r="CI3" i="2"/>
  <c r="CJ3" i="2"/>
  <c r="CK3" i="2"/>
  <c r="CD4" i="2"/>
  <c r="CE4" i="2"/>
  <c r="CF4" i="2"/>
  <c r="CG4" i="2"/>
  <c r="CH4" i="2"/>
  <c r="CI4" i="2"/>
  <c r="CJ4" i="2"/>
  <c r="CK4" i="2"/>
  <c r="CD5" i="2"/>
  <c r="CE5" i="2"/>
  <c r="CF5" i="2"/>
  <c r="CG5" i="2"/>
  <c r="CH5" i="2"/>
  <c r="CI5" i="2"/>
  <c r="CJ5" i="2"/>
  <c r="CK5" i="2"/>
  <c r="CD6" i="2"/>
  <c r="CE6" i="2"/>
  <c r="CF6" i="2"/>
  <c r="CG6" i="2"/>
  <c r="CH6" i="2"/>
  <c r="CI6" i="2"/>
  <c r="CJ6" i="2"/>
  <c r="CK6" i="2"/>
  <c r="CD7" i="2"/>
  <c r="CE7" i="2"/>
  <c r="CF7" i="2"/>
  <c r="CG7" i="2"/>
  <c r="CH7" i="2"/>
  <c r="CI7" i="2"/>
  <c r="CJ7" i="2"/>
  <c r="CK7" i="2"/>
  <c r="CD8" i="2"/>
  <c r="CE8" i="2"/>
  <c r="CF8" i="2"/>
  <c r="CG8" i="2"/>
  <c r="CH8" i="2"/>
  <c r="CI8" i="2"/>
  <c r="CJ8" i="2"/>
  <c r="CK8" i="2"/>
  <c r="CD9" i="2"/>
  <c r="CE9" i="2"/>
  <c r="CF9" i="2"/>
  <c r="CG9" i="2"/>
  <c r="CH9" i="2"/>
  <c r="CI9" i="2"/>
  <c r="CJ9" i="2"/>
  <c r="CK9" i="2"/>
  <c r="CD10" i="2"/>
  <c r="CE10" i="2"/>
  <c r="CF10" i="2"/>
  <c r="CG10" i="2"/>
  <c r="CH10" i="2"/>
  <c r="CI10" i="2"/>
  <c r="CJ10" i="2"/>
  <c r="CK10" i="2"/>
  <c r="CD11" i="2"/>
  <c r="CE11" i="2"/>
  <c r="CF11" i="2"/>
  <c r="CG11" i="2"/>
  <c r="CH11" i="2"/>
  <c r="CI11" i="2"/>
  <c r="CJ11" i="2"/>
  <c r="CK11" i="2"/>
  <c r="CD12" i="2"/>
  <c r="CE12" i="2"/>
  <c r="CF12" i="2"/>
  <c r="CG12" i="2"/>
  <c r="CH12" i="2"/>
  <c r="CI12" i="2"/>
  <c r="CJ12" i="2"/>
  <c r="CK12" i="2"/>
  <c r="CD13" i="2"/>
  <c r="CE13" i="2"/>
  <c r="CF13" i="2"/>
  <c r="CG13" i="2"/>
  <c r="CH13" i="2"/>
  <c r="CI13" i="2"/>
  <c r="CJ13" i="2"/>
  <c r="CK13" i="2"/>
  <c r="CD14" i="2"/>
  <c r="CE14" i="2"/>
  <c r="CF14" i="2"/>
  <c r="CG14" i="2"/>
  <c r="CH14" i="2"/>
  <c r="CI14" i="2"/>
  <c r="CJ14" i="2"/>
  <c r="CK14" i="2"/>
  <c r="CD15" i="2"/>
  <c r="CE15" i="2"/>
  <c r="CF15" i="2"/>
  <c r="CG15" i="2"/>
  <c r="CH15" i="2"/>
  <c r="CI15" i="2"/>
  <c r="CJ15" i="2"/>
  <c r="CK15" i="2"/>
  <c r="CD16" i="2"/>
  <c r="CE16" i="2"/>
  <c r="CF16" i="2"/>
  <c r="CG16" i="2"/>
  <c r="CH16" i="2"/>
  <c r="CI16" i="2"/>
  <c r="CJ16" i="2"/>
  <c r="CK16" i="2"/>
  <c r="CD17" i="2"/>
  <c r="CE17" i="2"/>
  <c r="CF17" i="2"/>
  <c r="CG17" i="2"/>
  <c r="CH17" i="2"/>
  <c r="CI17" i="2"/>
  <c r="CJ17" i="2"/>
  <c r="CK17" i="2"/>
  <c r="CD18" i="2"/>
  <c r="CE18" i="2"/>
  <c r="CF18" i="2"/>
  <c r="CG18" i="2"/>
  <c r="CH18" i="2"/>
  <c r="CI18" i="2"/>
  <c r="CJ18" i="2"/>
  <c r="CK18" i="2"/>
  <c r="CD19" i="2"/>
  <c r="CE19" i="2"/>
  <c r="CF19" i="2"/>
  <c r="CG19" i="2"/>
  <c r="CH19" i="2"/>
  <c r="CI19" i="2"/>
  <c r="CJ19" i="2"/>
  <c r="CK19" i="2"/>
  <c r="CD20" i="2"/>
  <c r="CE20" i="2"/>
  <c r="CF20" i="2"/>
  <c r="CG20" i="2"/>
  <c r="CH20" i="2"/>
  <c r="CI20" i="2"/>
  <c r="CJ20" i="2"/>
  <c r="CK20" i="2"/>
  <c r="CD21" i="2"/>
  <c r="CE21" i="2"/>
  <c r="CF21" i="2"/>
  <c r="CG21" i="2"/>
  <c r="CH21" i="2"/>
  <c r="CI21" i="2"/>
  <c r="CJ21" i="2"/>
  <c r="CK21" i="2"/>
  <c r="CD22" i="2"/>
  <c r="CE22" i="2"/>
  <c r="CF22" i="2"/>
  <c r="CG22" i="2"/>
  <c r="CH22" i="2"/>
  <c r="CI22" i="2"/>
  <c r="CJ22" i="2"/>
  <c r="CK22" i="2"/>
  <c r="CD23" i="2"/>
  <c r="CE23" i="2"/>
  <c r="CF23" i="2"/>
  <c r="CG23" i="2"/>
  <c r="CH23" i="2"/>
  <c r="CI23" i="2"/>
  <c r="CJ23" i="2"/>
  <c r="CK23" i="2"/>
  <c r="CD24" i="2"/>
  <c r="CE24" i="2"/>
  <c r="CF24" i="2"/>
  <c r="CG24" i="2"/>
  <c r="CH24" i="2"/>
  <c r="CI24" i="2"/>
  <c r="CJ24" i="2"/>
  <c r="CK24" i="2"/>
  <c r="CD25" i="2"/>
  <c r="CE25" i="2"/>
  <c r="CF25" i="2"/>
  <c r="CG25" i="2"/>
  <c r="CH25" i="2"/>
  <c r="CI25" i="2"/>
  <c r="CJ25" i="2"/>
  <c r="CK25" i="2"/>
  <c r="CD26" i="2"/>
  <c r="CE26" i="2"/>
  <c r="CF26" i="2"/>
  <c r="CG26" i="2"/>
  <c r="CH26" i="2"/>
  <c r="CI26" i="2"/>
  <c r="CJ26" i="2"/>
  <c r="CK26" i="2"/>
  <c r="CD27" i="2"/>
  <c r="CE27" i="2"/>
  <c r="CF27" i="2"/>
  <c r="CG27" i="2"/>
  <c r="CH27" i="2"/>
  <c r="CI27" i="2"/>
  <c r="CJ27" i="2"/>
  <c r="CK27" i="2"/>
  <c r="CD28" i="2"/>
  <c r="CE28" i="2"/>
  <c r="CF28" i="2"/>
  <c r="CG28" i="2"/>
  <c r="CH28" i="2"/>
  <c r="CI28" i="2"/>
  <c r="CJ28" i="2"/>
  <c r="CK28" i="2"/>
  <c r="CD29" i="2"/>
  <c r="CE29" i="2"/>
  <c r="CF29" i="2"/>
  <c r="CG29" i="2"/>
  <c r="CH29" i="2"/>
  <c r="CI29" i="2"/>
  <c r="CJ29" i="2"/>
  <c r="CK29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2" i="2"/>
  <c r="AO2" i="2"/>
  <c r="AP2" i="2"/>
  <c r="AQ2" i="2"/>
  <c r="AR2" i="2"/>
  <c r="AS2" i="2"/>
  <c r="AT2" i="2"/>
  <c r="AU2" i="2"/>
  <c r="AW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AO3" i="2"/>
  <c r="AP3" i="2"/>
  <c r="AQ3" i="2"/>
  <c r="AR3" i="2"/>
  <c r="AS3" i="2"/>
  <c r="AT3" i="2"/>
  <c r="AU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AO4" i="2"/>
  <c r="AP4" i="2"/>
  <c r="AQ4" i="2"/>
  <c r="AR4" i="2"/>
  <c r="AS4" i="2"/>
  <c r="AT4" i="2"/>
  <c r="AU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AO5" i="2"/>
  <c r="AP5" i="2"/>
  <c r="AQ5" i="2"/>
  <c r="AR5" i="2"/>
  <c r="AS5" i="2"/>
  <c r="AT5" i="2"/>
  <c r="AU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AO6" i="2"/>
  <c r="AP6" i="2"/>
  <c r="AQ6" i="2"/>
  <c r="AR6" i="2"/>
  <c r="AS6" i="2"/>
  <c r="AT6" i="2"/>
  <c r="AU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AO7" i="2"/>
  <c r="AP7" i="2"/>
  <c r="AQ7" i="2"/>
  <c r="AR7" i="2"/>
  <c r="AS7" i="2"/>
  <c r="AT7" i="2"/>
  <c r="AU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AO8" i="2"/>
  <c r="AP8" i="2"/>
  <c r="AQ8" i="2"/>
  <c r="AR8" i="2"/>
  <c r="AS8" i="2"/>
  <c r="AT8" i="2"/>
  <c r="AU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AO9" i="2"/>
  <c r="AP9" i="2"/>
  <c r="AQ9" i="2"/>
  <c r="AR9" i="2"/>
  <c r="AS9" i="2"/>
  <c r="AT9" i="2"/>
  <c r="AU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AO10" i="2"/>
  <c r="AP10" i="2"/>
  <c r="AQ10" i="2"/>
  <c r="AR10" i="2"/>
  <c r="AS10" i="2"/>
  <c r="AT10" i="2"/>
  <c r="AU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AO11" i="2"/>
  <c r="AP11" i="2"/>
  <c r="AQ11" i="2"/>
  <c r="AR11" i="2"/>
  <c r="AS11" i="2"/>
  <c r="AT11" i="2"/>
  <c r="AU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AO12" i="2"/>
  <c r="AP12" i="2"/>
  <c r="AQ12" i="2"/>
  <c r="AR12" i="2"/>
  <c r="AS12" i="2"/>
  <c r="AT12" i="2"/>
  <c r="AU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AO13" i="2"/>
  <c r="AP13" i="2"/>
  <c r="AQ13" i="2"/>
  <c r="AR13" i="2"/>
  <c r="AS13" i="2"/>
  <c r="AT13" i="2"/>
  <c r="AU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AO14" i="2"/>
  <c r="AP14" i="2"/>
  <c r="AQ14" i="2"/>
  <c r="AR14" i="2"/>
  <c r="AS14" i="2"/>
  <c r="AT14" i="2"/>
  <c r="AU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AO15" i="2"/>
  <c r="AP15" i="2"/>
  <c r="AQ15" i="2"/>
  <c r="AR15" i="2"/>
  <c r="AS15" i="2"/>
  <c r="AT15" i="2"/>
  <c r="AU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AO16" i="2"/>
  <c r="AP16" i="2"/>
  <c r="AQ16" i="2"/>
  <c r="AR16" i="2"/>
  <c r="AS16" i="2"/>
  <c r="AT16" i="2"/>
  <c r="AU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AO17" i="2"/>
  <c r="AP17" i="2"/>
  <c r="AQ17" i="2"/>
  <c r="AR17" i="2"/>
  <c r="AS17" i="2"/>
  <c r="AT17" i="2"/>
  <c r="AU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AO18" i="2"/>
  <c r="AP18" i="2"/>
  <c r="AQ18" i="2"/>
  <c r="AR18" i="2"/>
  <c r="AS18" i="2"/>
  <c r="AT18" i="2"/>
  <c r="AU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AO19" i="2"/>
  <c r="AP19" i="2"/>
  <c r="AQ19" i="2"/>
  <c r="AR19" i="2"/>
  <c r="AS19" i="2"/>
  <c r="AT19" i="2"/>
  <c r="AU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AO20" i="2"/>
  <c r="AP20" i="2"/>
  <c r="AQ20" i="2"/>
  <c r="AR20" i="2"/>
  <c r="AS20" i="2"/>
  <c r="AT20" i="2"/>
  <c r="AU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AO21" i="2"/>
  <c r="AP21" i="2"/>
  <c r="AQ21" i="2"/>
  <c r="AR21" i="2"/>
  <c r="AS21" i="2"/>
  <c r="AT21" i="2"/>
  <c r="AU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AO22" i="2"/>
  <c r="AP22" i="2"/>
  <c r="AQ22" i="2"/>
  <c r="AR22" i="2"/>
  <c r="AS22" i="2"/>
  <c r="AT22" i="2"/>
  <c r="AU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AO23" i="2"/>
  <c r="AP23" i="2"/>
  <c r="AQ23" i="2"/>
  <c r="AR23" i="2"/>
  <c r="AS23" i="2"/>
  <c r="AT23" i="2"/>
  <c r="AU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AO24" i="2"/>
  <c r="AP24" i="2"/>
  <c r="AQ24" i="2"/>
  <c r="AR24" i="2"/>
  <c r="AS24" i="2"/>
  <c r="AT24" i="2"/>
  <c r="AU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AO25" i="2"/>
  <c r="AP25" i="2"/>
  <c r="AQ25" i="2"/>
  <c r="AR25" i="2"/>
  <c r="AS25" i="2"/>
  <c r="AT25" i="2"/>
  <c r="AU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AO26" i="2"/>
  <c r="AP26" i="2"/>
  <c r="AQ26" i="2"/>
  <c r="AR26" i="2"/>
  <c r="AS26" i="2"/>
  <c r="AT26" i="2"/>
  <c r="AU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AO27" i="2"/>
  <c r="AP27" i="2"/>
  <c r="AQ27" i="2"/>
  <c r="AR27" i="2"/>
  <c r="AS27" i="2"/>
  <c r="AT27" i="2"/>
  <c r="AU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AO28" i="2"/>
  <c r="AP28" i="2"/>
  <c r="AQ28" i="2"/>
  <c r="AR28" i="2"/>
  <c r="AS28" i="2"/>
  <c r="AT28" i="2"/>
  <c r="AU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AO29" i="2"/>
  <c r="AP29" i="2"/>
  <c r="AQ29" i="2"/>
  <c r="AR29" i="2"/>
  <c r="AS29" i="2"/>
  <c r="AT29" i="2"/>
  <c r="AU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2" i="2"/>
  <c r="F2" i="2"/>
  <c r="G2" i="2"/>
  <c r="H2" i="2"/>
  <c r="I2" i="2"/>
  <c r="J2" i="2"/>
  <c r="K2" i="2"/>
  <c r="Z2" i="2" s="1"/>
  <c r="AA2" i="2" s="1"/>
  <c r="L2" i="2"/>
  <c r="M2" i="2"/>
  <c r="N2" i="2"/>
  <c r="O2" i="2"/>
  <c r="AH2" i="2" s="1"/>
  <c r="AI2" i="2" s="1"/>
  <c r="P2" i="2"/>
  <c r="Q2" i="2"/>
  <c r="R2" i="2"/>
  <c r="S2" i="2"/>
  <c r="AD2" i="2" s="1"/>
  <c r="AE2" i="2" s="1"/>
  <c r="T2" i="2"/>
  <c r="U2" i="2"/>
  <c r="AL2" i="2" s="1"/>
  <c r="AM2" i="2" s="1"/>
  <c r="F3" i="2"/>
  <c r="G3" i="2"/>
  <c r="H3" i="2"/>
  <c r="I3" i="2"/>
  <c r="J3" i="2"/>
  <c r="K3" i="2"/>
  <c r="Z3" i="2" s="1"/>
  <c r="AA3" i="2" s="1"/>
  <c r="L3" i="2"/>
  <c r="M3" i="2"/>
  <c r="N3" i="2"/>
  <c r="O3" i="2"/>
  <c r="AH3" i="2" s="1"/>
  <c r="AI3" i="2" s="1"/>
  <c r="P3" i="2"/>
  <c r="Q3" i="2"/>
  <c r="R3" i="2"/>
  <c r="S3" i="2"/>
  <c r="AD3" i="2" s="1"/>
  <c r="AE3" i="2" s="1"/>
  <c r="T3" i="2"/>
  <c r="AJ3" i="2" s="1"/>
  <c r="AK3" i="2" s="1"/>
  <c r="U3" i="2"/>
  <c r="AL3" i="2" s="1"/>
  <c r="AM3" i="2" s="1"/>
  <c r="F4" i="2"/>
  <c r="G4" i="2"/>
  <c r="H4" i="2"/>
  <c r="I4" i="2"/>
  <c r="J4" i="2"/>
  <c r="K4" i="2"/>
  <c r="Z4" i="2" s="1"/>
  <c r="AA4" i="2" s="1"/>
  <c r="L4" i="2"/>
  <c r="M4" i="2"/>
  <c r="N4" i="2"/>
  <c r="O4" i="2"/>
  <c r="AH4" i="2" s="1"/>
  <c r="AI4" i="2" s="1"/>
  <c r="P4" i="2"/>
  <c r="Q4" i="2"/>
  <c r="R4" i="2"/>
  <c r="S4" i="2"/>
  <c r="AD4" i="2" s="1"/>
  <c r="AE4" i="2" s="1"/>
  <c r="T4" i="2"/>
  <c r="AJ4" i="2" s="1"/>
  <c r="AK4" i="2" s="1"/>
  <c r="U4" i="2"/>
  <c r="AL4" i="2" s="1"/>
  <c r="AM4" i="2" s="1"/>
  <c r="F5" i="2"/>
  <c r="G5" i="2"/>
  <c r="H5" i="2"/>
  <c r="I5" i="2"/>
  <c r="J5" i="2"/>
  <c r="K5" i="2"/>
  <c r="Z5" i="2" s="1"/>
  <c r="AA5" i="2" s="1"/>
  <c r="L5" i="2"/>
  <c r="M5" i="2"/>
  <c r="N5" i="2"/>
  <c r="O5" i="2"/>
  <c r="AH5" i="2" s="1"/>
  <c r="AI5" i="2" s="1"/>
  <c r="P5" i="2"/>
  <c r="Q5" i="2"/>
  <c r="R5" i="2"/>
  <c r="S5" i="2"/>
  <c r="AD5" i="2" s="1"/>
  <c r="AE5" i="2" s="1"/>
  <c r="T5" i="2"/>
  <c r="AJ5" i="2" s="1"/>
  <c r="AK5" i="2" s="1"/>
  <c r="U5" i="2"/>
  <c r="AL5" i="2" s="1"/>
  <c r="AM5" i="2" s="1"/>
  <c r="F6" i="2"/>
  <c r="G6" i="2"/>
  <c r="H6" i="2"/>
  <c r="I6" i="2"/>
  <c r="J6" i="2"/>
  <c r="K6" i="2"/>
  <c r="Z6" i="2" s="1"/>
  <c r="AA6" i="2" s="1"/>
  <c r="L6" i="2"/>
  <c r="M6" i="2"/>
  <c r="N6" i="2"/>
  <c r="O6" i="2"/>
  <c r="AH6" i="2" s="1"/>
  <c r="AI6" i="2" s="1"/>
  <c r="P6" i="2"/>
  <c r="Q6" i="2"/>
  <c r="R6" i="2"/>
  <c r="S6" i="2"/>
  <c r="AD6" i="2" s="1"/>
  <c r="AE6" i="2" s="1"/>
  <c r="T6" i="2"/>
  <c r="AJ6" i="2" s="1"/>
  <c r="AK6" i="2" s="1"/>
  <c r="U6" i="2"/>
  <c r="AL6" i="2" s="1"/>
  <c r="AM6" i="2" s="1"/>
  <c r="F7" i="2"/>
  <c r="G7" i="2"/>
  <c r="H7" i="2"/>
  <c r="I7" i="2"/>
  <c r="J7" i="2"/>
  <c r="K7" i="2"/>
  <c r="Z7" i="2" s="1"/>
  <c r="AA7" i="2" s="1"/>
  <c r="L7" i="2"/>
  <c r="M7" i="2"/>
  <c r="N7" i="2"/>
  <c r="O7" i="2"/>
  <c r="AH7" i="2" s="1"/>
  <c r="AI7" i="2" s="1"/>
  <c r="P7" i="2"/>
  <c r="Q7" i="2"/>
  <c r="R7" i="2"/>
  <c r="S7" i="2"/>
  <c r="AD7" i="2" s="1"/>
  <c r="AE7" i="2" s="1"/>
  <c r="T7" i="2"/>
  <c r="AJ7" i="2" s="1"/>
  <c r="AK7" i="2" s="1"/>
  <c r="U7" i="2"/>
  <c r="AL7" i="2" s="1"/>
  <c r="AM7" i="2" s="1"/>
  <c r="F8" i="2"/>
  <c r="G8" i="2"/>
  <c r="H8" i="2"/>
  <c r="I8" i="2"/>
  <c r="J8" i="2"/>
  <c r="K8" i="2"/>
  <c r="Z8" i="2" s="1"/>
  <c r="AA8" i="2" s="1"/>
  <c r="L8" i="2"/>
  <c r="M8" i="2"/>
  <c r="N8" i="2"/>
  <c r="O8" i="2"/>
  <c r="AH8" i="2" s="1"/>
  <c r="AI8" i="2" s="1"/>
  <c r="P8" i="2"/>
  <c r="Q8" i="2"/>
  <c r="R8" i="2"/>
  <c r="S8" i="2"/>
  <c r="AD8" i="2" s="1"/>
  <c r="AE8" i="2" s="1"/>
  <c r="T8" i="2"/>
  <c r="AJ8" i="2" s="1"/>
  <c r="AK8" i="2" s="1"/>
  <c r="U8" i="2"/>
  <c r="AL8" i="2" s="1"/>
  <c r="AM8" i="2" s="1"/>
  <c r="F9" i="2"/>
  <c r="G9" i="2"/>
  <c r="H9" i="2"/>
  <c r="I9" i="2"/>
  <c r="J9" i="2"/>
  <c r="K9" i="2"/>
  <c r="Z9" i="2" s="1"/>
  <c r="AA9" i="2" s="1"/>
  <c r="L9" i="2"/>
  <c r="M9" i="2"/>
  <c r="N9" i="2"/>
  <c r="O9" i="2"/>
  <c r="AH9" i="2" s="1"/>
  <c r="AI9" i="2" s="1"/>
  <c r="P9" i="2"/>
  <c r="Q9" i="2"/>
  <c r="R9" i="2"/>
  <c r="S9" i="2"/>
  <c r="AD9" i="2" s="1"/>
  <c r="AE9" i="2" s="1"/>
  <c r="T9" i="2"/>
  <c r="AJ9" i="2" s="1"/>
  <c r="AK9" i="2" s="1"/>
  <c r="U9" i="2"/>
  <c r="AL9" i="2" s="1"/>
  <c r="AM9" i="2" s="1"/>
  <c r="F10" i="2"/>
  <c r="G10" i="2"/>
  <c r="H10" i="2"/>
  <c r="I10" i="2"/>
  <c r="J10" i="2"/>
  <c r="K10" i="2"/>
  <c r="Z10" i="2" s="1"/>
  <c r="AA10" i="2" s="1"/>
  <c r="L10" i="2"/>
  <c r="M10" i="2"/>
  <c r="N10" i="2"/>
  <c r="O10" i="2"/>
  <c r="AH10" i="2" s="1"/>
  <c r="AI10" i="2" s="1"/>
  <c r="P10" i="2"/>
  <c r="Q10" i="2"/>
  <c r="R10" i="2"/>
  <c r="S10" i="2"/>
  <c r="AD10" i="2" s="1"/>
  <c r="AE10" i="2" s="1"/>
  <c r="T10" i="2"/>
  <c r="AJ10" i="2" s="1"/>
  <c r="AK10" i="2" s="1"/>
  <c r="U10" i="2"/>
  <c r="AL10" i="2" s="1"/>
  <c r="AM10" i="2" s="1"/>
  <c r="F11" i="2"/>
  <c r="G11" i="2"/>
  <c r="H11" i="2"/>
  <c r="I11" i="2"/>
  <c r="J11" i="2"/>
  <c r="K11" i="2"/>
  <c r="Z11" i="2" s="1"/>
  <c r="AA11" i="2" s="1"/>
  <c r="L11" i="2"/>
  <c r="M11" i="2"/>
  <c r="N11" i="2"/>
  <c r="O11" i="2"/>
  <c r="AH11" i="2" s="1"/>
  <c r="AI11" i="2" s="1"/>
  <c r="P11" i="2"/>
  <c r="Q11" i="2"/>
  <c r="R11" i="2"/>
  <c r="S11" i="2"/>
  <c r="AD11" i="2" s="1"/>
  <c r="AE11" i="2" s="1"/>
  <c r="T11" i="2"/>
  <c r="AJ11" i="2" s="1"/>
  <c r="AK11" i="2" s="1"/>
  <c r="U11" i="2"/>
  <c r="AL11" i="2" s="1"/>
  <c r="AM11" i="2" s="1"/>
  <c r="F12" i="2"/>
  <c r="G12" i="2"/>
  <c r="H12" i="2"/>
  <c r="I12" i="2"/>
  <c r="J12" i="2"/>
  <c r="K12" i="2"/>
  <c r="Z12" i="2" s="1"/>
  <c r="AA12" i="2" s="1"/>
  <c r="L12" i="2"/>
  <c r="M12" i="2"/>
  <c r="N12" i="2"/>
  <c r="O12" i="2"/>
  <c r="AH12" i="2" s="1"/>
  <c r="AI12" i="2" s="1"/>
  <c r="P12" i="2"/>
  <c r="Q12" i="2"/>
  <c r="R12" i="2"/>
  <c r="S12" i="2"/>
  <c r="AD12" i="2" s="1"/>
  <c r="AE12" i="2" s="1"/>
  <c r="T12" i="2"/>
  <c r="AJ12" i="2" s="1"/>
  <c r="AK12" i="2" s="1"/>
  <c r="U12" i="2"/>
  <c r="AL12" i="2" s="1"/>
  <c r="AM12" i="2" s="1"/>
  <c r="F13" i="2"/>
  <c r="G13" i="2"/>
  <c r="H13" i="2"/>
  <c r="I13" i="2"/>
  <c r="J13" i="2"/>
  <c r="K13" i="2"/>
  <c r="Z13" i="2" s="1"/>
  <c r="AA13" i="2" s="1"/>
  <c r="L13" i="2"/>
  <c r="M13" i="2"/>
  <c r="N13" i="2"/>
  <c r="O13" i="2"/>
  <c r="AH13" i="2" s="1"/>
  <c r="AI13" i="2" s="1"/>
  <c r="P13" i="2"/>
  <c r="Q13" i="2"/>
  <c r="R13" i="2"/>
  <c r="S13" i="2"/>
  <c r="AD13" i="2" s="1"/>
  <c r="AE13" i="2" s="1"/>
  <c r="T13" i="2"/>
  <c r="AJ13" i="2" s="1"/>
  <c r="AK13" i="2" s="1"/>
  <c r="U13" i="2"/>
  <c r="AL13" i="2" s="1"/>
  <c r="AM13" i="2" s="1"/>
  <c r="F14" i="2"/>
  <c r="G14" i="2"/>
  <c r="H14" i="2"/>
  <c r="I14" i="2"/>
  <c r="J14" i="2"/>
  <c r="K14" i="2"/>
  <c r="Z14" i="2" s="1"/>
  <c r="AA14" i="2" s="1"/>
  <c r="L14" i="2"/>
  <c r="M14" i="2"/>
  <c r="N14" i="2"/>
  <c r="O14" i="2"/>
  <c r="AH14" i="2" s="1"/>
  <c r="AI14" i="2" s="1"/>
  <c r="P14" i="2"/>
  <c r="Q14" i="2"/>
  <c r="R14" i="2"/>
  <c r="S14" i="2"/>
  <c r="AD14" i="2" s="1"/>
  <c r="AE14" i="2" s="1"/>
  <c r="T14" i="2"/>
  <c r="AJ14" i="2" s="1"/>
  <c r="AK14" i="2" s="1"/>
  <c r="U14" i="2"/>
  <c r="AL14" i="2" s="1"/>
  <c r="AM14" i="2" s="1"/>
  <c r="F15" i="2"/>
  <c r="G15" i="2"/>
  <c r="H15" i="2"/>
  <c r="I15" i="2"/>
  <c r="J15" i="2"/>
  <c r="K15" i="2"/>
  <c r="Z15" i="2" s="1"/>
  <c r="AA15" i="2" s="1"/>
  <c r="L15" i="2"/>
  <c r="M15" i="2"/>
  <c r="N15" i="2"/>
  <c r="O15" i="2"/>
  <c r="AH15" i="2" s="1"/>
  <c r="AI15" i="2" s="1"/>
  <c r="P15" i="2"/>
  <c r="Q15" i="2"/>
  <c r="R15" i="2"/>
  <c r="S15" i="2"/>
  <c r="AD15" i="2" s="1"/>
  <c r="AE15" i="2" s="1"/>
  <c r="T15" i="2"/>
  <c r="AJ15" i="2" s="1"/>
  <c r="AK15" i="2" s="1"/>
  <c r="U15" i="2"/>
  <c r="AL15" i="2" s="1"/>
  <c r="AM15" i="2" s="1"/>
  <c r="F16" i="2"/>
  <c r="G16" i="2"/>
  <c r="H16" i="2"/>
  <c r="I16" i="2"/>
  <c r="J16" i="2"/>
  <c r="K16" i="2"/>
  <c r="Z16" i="2" s="1"/>
  <c r="AA16" i="2" s="1"/>
  <c r="L16" i="2"/>
  <c r="M16" i="2"/>
  <c r="N16" i="2"/>
  <c r="O16" i="2"/>
  <c r="AH16" i="2" s="1"/>
  <c r="AI16" i="2" s="1"/>
  <c r="P16" i="2"/>
  <c r="Q16" i="2"/>
  <c r="R16" i="2"/>
  <c r="S16" i="2"/>
  <c r="AD16" i="2" s="1"/>
  <c r="AE16" i="2" s="1"/>
  <c r="T16" i="2"/>
  <c r="AJ16" i="2" s="1"/>
  <c r="AK16" i="2" s="1"/>
  <c r="U16" i="2"/>
  <c r="AL16" i="2" s="1"/>
  <c r="AM16" i="2" s="1"/>
  <c r="F17" i="2"/>
  <c r="G17" i="2"/>
  <c r="H17" i="2"/>
  <c r="I17" i="2"/>
  <c r="J17" i="2"/>
  <c r="K17" i="2"/>
  <c r="Z17" i="2" s="1"/>
  <c r="AA17" i="2" s="1"/>
  <c r="L17" i="2"/>
  <c r="M17" i="2"/>
  <c r="N17" i="2"/>
  <c r="O17" i="2"/>
  <c r="AH17" i="2" s="1"/>
  <c r="AI17" i="2" s="1"/>
  <c r="P17" i="2"/>
  <c r="Q17" i="2"/>
  <c r="R17" i="2"/>
  <c r="S17" i="2"/>
  <c r="AD17" i="2" s="1"/>
  <c r="AE17" i="2" s="1"/>
  <c r="T17" i="2"/>
  <c r="AJ17" i="2" s="1"/>
  <c r="AK17" i="2" s="1"/>
  <c r="U17" i="2"/>
  <c r="AL17" i="2" s="1"/>
  <c r="AM17" i="2" s="1"/>
  <c r="F18" i="2"/>
  <c r="G18" i="2"/>
  <c r="H18" i="2"/>
  <c r="I18" i="2"/>
  <c r="J18" i="2"/>
  <c r="K18" i="2"/>
  <c r="Z18" i="2" s="1"/>
  <c r="AA18" i="2" s="1"/>
  <c r="L18" i="2"/>
  <c r="M18" i="2"/>
  <c r="N18" i="2"/>
  <c r="O18" i="2"/>
  <c r="AH18" i="2" s="1"/>
  <c r="AI18" i="2" s="1"/>
  <c r="P18" i="2"/>
  <c r="Q18" i="2"/>
  <c r="R18" i="2"/>
  <c r="S18" i="2"/>
  <c r="AD18" i="2" s="1"/>
  <c r="AE18" i="2" s="1"/>
  <c r="T18" i="2"/>
  <c r="AJ18" i="2" s="1"/>
  <c r="AK18" i="2" s="1"/>
  <c r="U18" i="2"/>
  <c r="AL18" i="2" s="1"/>
  <c r="AM18" i="2" s="1"/>
  <c r="F19" i="2"/>
  <c r="G19" i="2"/>
  <c r="H19" i="2"/>
  <c r="I19" i="2"/>
  <c r="J19" i="2"/>
  <c r="K19" i="2"/>
  <c r="Z19" i="2" s="1"/>
  <c r="AA19" i="2" s="1"/>
  <c r="L19" i="2"/>
  <c r="M19" i="2"/>
  <c r="N19" i="2"/>
  <c r="O19" i="2"/>
  <c r="AH19" i="2" s="1"/>
  <c r="AI19" i="2" s="1"/>
  <c r="P19" i="2"/>
  <c r="Q19" i="2"/>
  <c r="R19" i="2"/>
  <c r="S19" i="2"/>
  <c r="AD19" i="2" s="1"/>
  <c r="AE19" i="2" s="1"/>
  <c r="T19" i="2"/>
  <c r="AJ19" i="2" s="1"/>
  <c r="AK19" i="2" s="1"/>
  <c r="U19" i="2"/>
  <c r="AL19" i="2" s="1"/>
  <c r="AM19" i="2" s="1"/>
  <c r="F20" i="2"/>
  <c r="G20" i="2"/>
  <c r="H20" i="2"/>
  <c r="I20" i="2"/>
  <c r="J20" i="2"/>
  <c r="K20" i="2"/>
  <c r="Z20" i="2" s="1"/>
  <c r="AA20" i="2" s="1"/>
  <c r="L20" i="2"/>
  <c r="M20" i="2"/>
  <c r="N20" i="2"/>
  <c r="O20" i="2"/>
  <c r="AH20" i="2" s="1"/>
  <c r="AI20" i="2" s="1"/>
  <c r="P20" i="2"/>
  <c r="Q20" i="2"/>
  <c r="R20" i="2"/>
  <c r="S20" i="2"/>
  <c r="AD20" i="2" s="1"/>
  <c r="AE20" i="2" s="1"/>
  <c r="T20" i="2"/>
  <c r="AJ20" i="2" s="1"/>
  <c r="AK20" i="2" s="1"/>
  <c r="U20" i="2"/>
  <c r="AL20" i="2" s="1"/>
  <c r="AM20" i="2" s="1"/>
  <c r="F21" i="2"/>
  <c r="G21" i="2"/>
  <c r="H21" i="2"/>
  <c r="I21" i="2"/>
  <c r="J21" i="2"/>
  <c r="K21" i="2"/>
  <c r="Z21" i="2" s="1"/>
  <c r="AA21" i="2" s="1"/>
  <c r="L21" i="2"/>
  <c r="M21" i="2"/>
  <c r="N21" i="2"/>
  <c r="O21" i="2"/>
  <c r="AH21" i="2" s="1"/>
  <c r="AI21" i="2" s="1"/>
  <c r="P21" i="2"/>
  <c r="Q21" i="2"/>
  <c r="R21" i="2"/>
  <c r="S21" i="2"/>
  <c r="AD21" i="2" s="1"/>
  <c r="AE21" i="2" s="1"/>
  <c r="T21" i="2"/>
  <c r="AJ21" i="2" s="1"/>
  <c r="AK21" i="2" s="1"/>
  <c r="U21" i="2"/>
  <c r="AL21" i="2" s="1"/>
  <c r="AM21" i="2" s="1"/>
  <c r="F22" i="2"/>
  <c r="G22" i="2"/>
  <c r="H22" i="2"/>
  <c r="I22" i="2"/>
  <c r="J22" i="2"/>
  <c r="K22" i="2"/>
  <c r="Z22" i="2" s="1"/>
  <c r="AA22" i="2" s="1"/>
  <c r="L22" i="2"/>
  <c r="M22" i="2"/>
  <c r="N22" i="2"/>
  <c r="O22" i="2"/>
  <c r="AH22" i="2" s="1"/>
  <c r="AI22" i="2" s="1"/>
  <c r="P22" i="2"/>
  <c r="Q22" i="2"/>
  <c r="R22" i="2"/>
  <c r="S22" i="2"/>
  <c r="AD22" i="2" s="1"/>
  <c r="AE22" i="2" s="1"/>
  <c r="T22" i="2"/>
  <c r="AJ22" i="2" s="1"/>
  <c r="AK22" i="2" s="1"/>
  <c r="U22" i="2"/>
  <c r="AL22" i="2" s="1"/>
  <c r="AM22" i="2" s="1"/>
  <c r="F23" i="2"/>
  <c r="G23" i="2"/>
  <c r="H23" i="2"/>
  <c r="I23" i="2"/>
  <c r="J23" i="2"/>
  <c r="K23" i="2"/>
  <c r="Z23" i="2" s="1"/>
  <c r="AA23" i="2" s="1"/>
  <c r="L23" i="2"/>
  <c r="M23" i="2"/>
  <c r="N23" i="2"/>
  <c r="O23" i="2"/>
  <c r="AH23" i="2" s="1"/>
  <c r="AI23" i="2" s="1"/>
  <c r="P23" i="2"/>
  <c r="Q23" i="2"/>
  <c r="R23" i="2"/>
  <c r="S23" i="2"/>
  <c r="AD23" i="2" s="1"/>
  <c r="AE23" i="2" s="1"/>
  <c r="T23" i="2"/>
  <c r="AJ23" i="2" s="1"/>
  <c r="AK23" i="2" s="1"/>
  <c r="U23" i="2"/>
  <c r="AL23" i="2" s="1"/>
  <c r="AM23" i="2" s="1"/>
  <c r="F24" i="2"/>
  <c r="G24" i="2"/>
  <c r="H24" i="2"/>
  <c r="I24" i="2"/>
  <c r="J24" i="2"/>
  <c r="K24" i="2"/>
  <c r="Z24" i="2" s="1"/>
  <c r="AA24" i="2" s="1"/>
  <c r="L24" i="2"/>
  <c r="M24" i="2"/>
  <c r="N24" i="2"/>
  <c r="O24" i="2"/>
  <c r="AH24" i="2" s="1"/>
  <c r="AI24" i="2" s="1"/>
  <c r="P24" i="2"/>
  <c r="Q24" i="2"/>
  <c r="R24" i="2"/>
  <c r="S24" i="2"/>
  <c r="AD24" i="2" s="1"/>
  <c r="AE24" i="2" s="1"/>
  <c r="T24" i="2"/>
  <c r="AJ24" i="2" s="1"/>
  <c r="AK24" i="2" s="1"/>
  <c r="U24" i="2"/>
  <c r="AL24" i="2" s="1"/>
  <c r="AM24" i="2" s="1"/>
  <c r="F25" i="2"/>
  <c r="G25" i="2"/>
  <c r="H25" i="2"/>
  <c r="I25" i="2"/>
  <c r="J25" i="2"/>
  <c r="K25" i="2"/>
  <c r="Z25" i="2" s="1"/>
  <c r="AA25" i="2" s="1"/>
  <c r="L25" i="2"/>
  <c r="M25" i="2"/>
  <c r="N25" i="2"/>
  <c r="O25" i="2"/>
  <c r="AH25" i="2" s="1"/>
  <c r="AI25" i="2" s="1"/>
  <c r="P25" i="2"/>
  <c r="Q25" i="2"/>
  <c r="R25" i="2"/>
  <c r="S25" i="2"/>
  <c r="AD25" i="2" s="1"/>
  <c r="AE25" i="2" s="1"/>
  <c r="T25" i="2"/>
  <c r="AJ25" i="2" s="1"/>
  <c r="AK25" i="2" s="1"/>
  <c r="U25" i="2"/>
  <c r="AL25" i="2" s="1"/>
  <c r="AM25" i="2" s="1"/>
  <c r="F26" i="2"/>
  <c r="G26" i="2"/>
  <c r="H26" i="2"/>
  <c r="I26" i="2"/>
  <c r="J26" i="2"/>
  <c r="K26" i="2"/>
  <c r="Z26" i="2" s="1"/>
  <c r="AA26" i="2" s="1"/>
  <c r="L26" i="2"/>
  <c r="M26" i="2"/>
  <c r="N26" i="2"/>
  <c r="O26" i="2"/>
  <c r="AH26" i="2" s="1"/>
  <c r="AI26" i="2" s="1"/>
  <c r="P26" i="2"/>
  <c r="Q26" i="2"/>
  <c r="R26" i="2"/>
  <c r="S26" i="2"/>
  <c r="AD26" i="2" s="1"/>
  <c r="AE26" i="2" s="1"/>
  <c r="T26" i="2"/>
  <c r="AJ26" i="2" s="1"/>
  <c r="AK26" i="2" s="1"/>
  <c r="U26" i="2"/>
  <c r="AL26" i="2" s="1"/>
  <c r="AM26" i="2" s="1"/>
  <c r="F27" i="2"/>
  <c r="G27" i="2"/>
  <c r="H27" i="2"/>
  <c r="I27" i="2"/>
  <c r="J27" i="2"/>
  <c r="K27" i="2"/>
  <c r="Z27" i="2" s="1"/>
  <c r="AA27" i="2" s="1"/>
  <c r="L27" i="2"/>
  <c r="M27" i="2"/>
  <c r="N27" i="2"/>
  <c r="O27" i="2"/>
  <c r="AH27" i="2" s="1"/>
  <c r="AI27" i="2" s="1"/>
  <c r="P27" i="2"/>
  <c r="Q27" i="2"/>
  <c r="R27" i="2"/>
  <c r="S27" i="2"/>
  <c r="AD27" i="2" s="1"/>
  <c r="AE27" i="2" s="1"/>
  <c r="T27" i="2"/>
  <c r="AJ27" i="2" s="1"/>
  <c r="AK27" i="2" s="1"/>
  <c r="U27" i="2"/>
  <c r="AL27" i="2" s="1"/>
  <c r="AM27" i="2" s="1"/>
  <c r="F28" i="2"/>
  <c r="G28" i="2"/>
  <c r="H28" i="2"/>
  <c r="I28" i="2"/>
  <c r="J28" i="2"/>
  <c r="K28" i="2"/>
  <c r="Z28" i="2" s="1"/>
  <c r="AA28" i="2" s="1"/>
  <c r="L28" i="2"/>
  <c r="M28" i="2"/>
  <c r="N28" i="2"/>
  <c r="O28" i="2"/>
  <c r="AH28" i="2" s="1"/>
  <c r="AI28" i="2" s="1"/>
  <c r="P28" i="2"/>
  <c r="Q28" i="2"/>
  <c r="R28" i="2"/>
  <c r="S28" i="2"/>
  <c r="AD28" i="2" s="1"/>
  <c r="AE28" i="2" s="1"/>
  <c r="T28" i="2"/>
  <c r="AJ28" i="2" s="1"/>
  <c r="AK28" i="2" s="1"/>
  <c r="U28" i="2"/>
  <c r="AL28" i="2" s="1"/>
  <c r="AM28" i="2" s="1"/>
  <c r="F29" i="2"/>
  <c r="G29" i="2"/>
  <c r="H29" i="2"/>
  <c r="I29" i="2"/>
  <c r="J29" i="2"/>
  <c r="K29" i="2"/>
  <c r="Z29" i="2" s="1"/>
  <c r="AA29" i="2" s="1"/>
  <c r="L29" i="2"/>
  <c r="M29" i="2"/>
  <c r="N29" i="2"/>
  <c r="O29" i="2"/>
  <c r="AH29" i="2" s="1"/>
  <c r="AI29" i="2" s="1"/>
  <c r="P29" i="2"/>
  <c r="Q29" i="2"/>
  <c r="R29" i="2"/>
  <c r="S29" i="2"/>
  <c r="AD29" i="2" s="1"/>
  <c r="AE29" i="2" s="1"/>
  <c r="T29" i="2"/>
  <c r="AJ29" i="2" s="1"/>
  <c r="AK29" i="2" s="1"/>
  <c r="U29" i="2"/>
  <c r="AL29" i="2" s="1"/>
  <c r="AM29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DB3" i="2"/>
  <c r="DB2" i="2"/>
  <c r="DA3" i="2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I2" i="2"/>
  <c r="DG2" i="2"/>
  <c r="DH2" i="2"/>
  <c r="DG3" i="2"/>
  <c r="DH3" i="2"/>
  <c r="DI3" i="2"/>
  <c r="DG4" i="2"/>
  <c r="DH4" i="2"/>
  <c r="DI4" i="2"/>
  <c r="DG5" i="2"/>
  <c r="DH5" i="2"/>
  <c r="DI5" i="2"/>
  <c r="DG6" i="2"/>
  <c r="DH6" i="2"/>
  <c r="DI6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7" i="2"/>
  <c r="DF3" i="2"/>
  <c r="DF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2" i="2"/>
  <c r="DE3" i="2"/>
  <c r="DE4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2" i="2"/>
  <c r="DD3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2" i="2"/>
  <c r="DC3" i="2"/>
  <c r="DC4" i="2"/>
  <c r="DC5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2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BQ2" i="2" l="1"/>
  <c r="W2" i="2"/>
  <c r="AJ2" i="2"/>
  <c r="AK2" i="2" s="1"/>
  <c r="Y2" i="2"/>
  <c r="CN2" i="2"/>
  <c r="CO2" i="2" s="1"/>
  <c r="CT2" i="2"/>
  <c r="CU2" i="2" s="1"/>
  <c r="DJ2" i="2"/>
  <c r="DK2" i="2" s="1"/>
  <c r="BQ16" i="2"/>
  <c r="BR16" i="2" s="1"/>
  <c r="BQ4" i="2"/>
  <c r="BR4" i="2" s="1"/>
  <c r="BQ28" i="2"/>
  <c r="BR28" i="2" s="1"/>
  <c r="V3" i="2"/>
  <c r="W3" i="2" s="1"/>
  <c r="BQ22" i="2"/>
  <c r="BR22" i="2" s="1"/>
  <c r="BQ10" i="2"/>
  <c r="BR10" i="2" s="1"/>
  <c r="BQ21" i="2"/>
  <c r="BR21" i="2" s="1"/>
  <c r="BQ9" i="2"/>
  <c r="BR9" i="2" s="1"/>
  <c r="BQ24" i="2"/>
  <c r="BR24" i="2" s="1"/>
  <c r="BQ12" i="2"/>
  <c r="BR12" i="2" s="1"/>
  <c r="BQ23" i="2"/>
  <c r="BR23" i="2" s="1"/>
  <c r="BQ11" i="2"/>
  <c r="BR11" i="2" s="1"/>
  <c r="BQ8" i="2"/>
  <c r="BR8" i="2" s="1"/>
  <c r="BQ25" i="2"/>
  <c r="BR25" i="2" s="1"/>
  <c r="BQ20" i="2"/>
  <c r="BR20" i="2" s="1"/>
  <c r="BQ13" i="2"/>
  <c r="BR13" i="2" s="1"/>
  <c r="BQ27" i="2"/>
  <c r="BR27" i="2" s="1"/>
  <c r="BQ15" i="2"/>
  <c r="BR15" i="2" s="1"/>
  <c r="BQ3" i="2"/>
  <c r="BR3" i="2" s="1"/>
  <c r="BQ6" i="2"/>
  <c r="BR6" i="2" s="1"/>
  <c r="BQ26" i="2"/>
  <c r="BR26" i="2" s="1"/>
  <c r="BQ14" i="2"/>
  <c r="BR14" i="2" s="1"/>
  <c r="BS2" i="2"/>
  <c r="BT2" i="2" s="1"/>
  <c r="BQ18" i="2"/>
  <c r="BR18" i="2" s="1"/>
  <c r="BQ29" i="2"/>
  <c r="BR29" i="2" s="1"/>
  <c r="BQ17" i="2"/>
  <c r="BR17" i="2" s="1"/>
  <c r="BQ5" i="2"/>
  <c r="BR5" i="2" s="1"/>
  <c r="BQ19" i="2"/>
  <c r="BR19" i="2" s="1"/>
  <c r="BQ7" i="2"/>
  <c r="BR7" i="2" s="1"/>
  <c r="BW2" i="2"/>
  <c r="BX2" i="2" s="1"/>
  <c r="CN20" i="2"/>
  <c r="CO20" i="2" s="1"/>
  <c r="CN8" i="2"/>
  <c r="CO8" i="2" s="1"/>
  <c r="CN29" i="2"/>
  <c r="CO29" i="2" s="1"/>
  <c r="CN17" i="2"/>
  <c r="CO17" i="2" s="1"/>
  <c r="CN5" i="2"/>
  <c r="CO5" i="2" s="1"/>
  <c r="CN22" i="2"/>
  <c r="CO22" i="2" s="1"/>
  <c r="CN10" i="2"/>
  <c r="CO10" i="2" s="1"/>
  <c r="CN13" i="2"/>
  <c r="CO13" i="2" s="1"/>
  <c r="BY7" i="2"/>
  <c r="BZ7" i="2" s="1"/>
  <c r="BU8" i="2"/>
  <c r="BV8" i="2" s="1"/>
  <c r="BY6" i="2"/>
  <c r="BZ6" i="2" s="1"/>
  <c r="BU20" i="2"/>
  <c r="BV20" i="2" s="1"/>
  <c r="CN18" i="2"/>
  <c r="CO18" i="2" s="1"/>
  <c r="CN24" i="2"/>
  <c r="CO24" i="2" s="1"/>
  <c r="CN12" i="2"/>
  <c r="CO12" i="2" s="1"/>
  <c r="CN6" i="2"/>
  <c r="CO6" i="2" s="1"/>
  <c r="BU29" i="2"/>
  <c r="BV29" i="2" s="1"/>
  <c r="CN25" i="2"/>
  <c r="CO25" i="2" s="1"/>
  <c r="BU9" i="2"/>
  <c r="BV9" i="2" s="1"/>
  <c r="BU5" i="2"/>
  <c r="BV5" i="2" s="1"/>
  <c r="BY19" i="2"/>
  <c r="BZ19" i="2" s="1"/>
  <c r="CN23" i="2"/>
  <c r="CO23" i="2" s="1"/>
  <c r="BU24" i="2"/>
  <c r="BV24" i="2" s="1"/>
  <c r="BU12" i="2"/>
  <c r="BV12" i="2" s="1"/>
  <c r="BY18" i="2"/>
  <c r="BZ18" i="2" s="1"/>
  <c r="CN11" i="2"/>
  <c r="CO11" i="2" s="1"/>
  <c r="BU22" i="2"/>
  <c r="BV22" i="2" s="1"/>
  <c r="BU18" i="2"/>
  <c r="BV18" i="2" s="1"/>
  <c r="BU10" i="2"/>
  <c r="BV10" i="2" s="1"/>
  <c r="BU6" i="2"/>
  <c r="BV6" i="2" s="1"/>
  <c r="BU25" i="2"/>
  <c r="BV25" i="2" s="1"/>
  <c r="BU17" i="2"/>
  <c r="BV17" i="2" s="1"/>
  <c r="BU13" i="2"/>
  <c r="BV13" i="2" s="1"/>
  <c r="BU11" i="2"/>
  <c r="BV11" i="2" s="1"/>
  <c r="BY14" i="2"/>
  <c r="BZ14" i="2" s="1"/>
  <c r="BY2" i="2"/>
  <c r="BZ2" i="2" s="1"/>
  <c r="CN19" i="2"/>
  <c r="CO19" i="2" s="1"/>
  <c r="CN16" i="2"/>
  <c r="CO16" i="2" s="1"/>
  <c r="BY29" i="2"/>
  <c r="BZ29" i="2" s="1"/>
  <c r="BY25" i="2"/>
  <c r="BZ25" i="2" s="1"/>
  <c r="BY21" i="2"/>
  <c r="BZ21" i="2" s="1"/>
  <c r="BY17" i="2"/>
  <c r="BZ17" i="2" s="1"/>
  <c r="BY13" i="2"/>
  <c r="BZ13" i="2" s="1"/>
  <c r="BY9" i="2"/>
  <c r="BZ9" i="2" s="1"/>
  <c r="BY5" i="2"/>
  <c r="BZ5" i="2" s="1"/>
  <c r="CN27" i="2"/>
  <c r="CO27" i="2" s="1"/>
  <c r="CN15" i="2"/>
  <c r="CO15" i="2" s="1"/>
  <c r="CN3" i="2"/>
  <c r="CO3" i="2" s="1"/>
  <c r="BU21" i="2"/>
  <c r="BV21" i="2" s="1"/>
  <c r="BY26" i="2"/>
  <c r="BZ26" i="2" s="1"/>
  <c r="BU16" i="2"/>
  <c r="BV16" i="2" s="1"/>
  <c r="CN7" i="2"/>
  <c r="CO7" i="2" s="1"/>
  <c r="BY22" i="2"/>
  <c r="BZ22" i="2" s="1"/>
  <c r="BU27" i="2"/>
  <c r="BV27" i="2" s="1"/>
  <c r="BU23" i="2"/>
  <c r="BV23" i="2" s="1"/>
  <c r="BU19" i="2"/>
  <c r="BV19" i="2" s="1"/>
  <c r="BU15" i="2"/>
  <c r="BV15" i="2" s="1"/>
  <c r="BU7" i="2"/>
  <c r="BV7" i="2" s="1"/>
  <c r="BU3" i="2"/>
  <c r="BV3" i="2" s="1"/>
  <c r="CN28" i="2"/>
  <c r="CO28" i="2" s="1"/>
  <c r="CN4" i="2"/>
  <c r="CO4" i="2" s="1"/>
  <c r="BU2" i="2"/>
  <c r="BV2" i="2" s="1"/>
  <c r="CN26" i="2"/>
  <c r="CO26" i="2" s="1"/>
  <c r="CN14" i="2"/>
  <c r="CO14" i="2" s="1"/>
  <c r="BU28" i="2"/>
  <c r="BV28" i="2" s="1"/>
  <c r="BU4" i="2"/>
  <c r="BV4" i="2" s="1"/>
  <c r="BY28" i="2"/>
  <c r="BZ28" i="2" s="1"/>
  <c r="BU14" i="2"/>
  <c r="BV14" i="2" s="1"/>
  <c r="BY4" i="2"/>
  <c r="BZ4" i="2" s="1"/>
  <c r="BY27" i="2"/>
  <c r="BZ27" i="2" s="1"/>
  <c r="BY24" i="2"/>
  <c r="BZ24" i="2" s="1"/>
  <c r="BY23" i="2"/>
  <c r="BZ23" i="2" s="1"/>
  <c r="BY20" i="2"/>
  <c r="BZ20" i="2" s="1"/>
  <c r="BY15" i="2"/>
  <c r="BZ15" i="2" s="1"/>
  <c r="BY12" i="2"/>
  <c r="BZ12" i="2" s="1"/>
  <c r="BY11" i="2"/>
  <c r="BZ11" i="2" s="1"/>
  <c r="BY8" i="2"/>
  <c r="BZ8" i="2" s="1"/>
  <c r="BY3" i="2"/>
  <c r="BZ3" i="2" s="1"/>
  <c r="BY10" i="2"/>
  <c r="BZ10" i="2" s="1"/>
  <c r="BU26" i="2"/>
  <c r="BV26" i="2" s="1"/>
  <c r="BY16" i="2"/>
  <c r="BZ16" i="2" s="1"/>
  <c r="CN21" i="2"/>
  <c r="CO21" i="2" s="1"/>
  <c r="CN9" i="2"/>
  <c r="CO9" i="2" s="1"/>
  <c r="CT21" i="2"/>
  <c r="CU21" i="2" s="1"/>
  <c r="CT9" i="2"/>
  <c r="CU9" i="2" s="1"/>
  <c r="CT25" i="2"/>
  <c r="CU25" i="2" s="1"/>
  <c r="CT13" i="2"/>
  <c r="CU13" i="2" s="1"/>
  <c r="CT23" i="2"/>
  <c r="CU23" i="2" s="1"/>
  <c r="CT11" i="2"/>
  <c r="CU11" i="2" s="1"/>
  <c r="CT22" i="2"/>
  <c r="CU22" i="2" s="1"/>
  <c r="CT10" i="2"/>
  <c r="CU10" i="2" s="1"/>
  <c r="BS6" i="2"/>
  <c r="BT6" i="2" s="1"/>
  <c r="CT28" i="2"/>
  <c r="CU28" i="2" s="1"/>
  <c r="CT16" i="2"/>
  <c r="CU16" i="2" s="1"/>
  <c r="CT4" i="2"/>
  <c r="CU4" i="2" s="1"/>
  <c r="CT27" i="2"/>
  <c r="CU27" i="2" s="1"/>
  <c r="CT15" i="2"/>
  <c r="CU15" i="2" s="1"/>
  <c r="CT3" i="2"/>
  <c r="CU3" i="2" s="1"/>
  <c r="X25" i="2"/>
  <c r="Y25" i="2" s="1"/>
  <c r="AB20" i="2"/>
  <c r="AC20" i="2" s="1"/>
  <c r="AF18" i="2"/>
  <c r="AG18" i="2" s="1"/>
  <c r="AF15" i="2"/>
  <c r="AG15" i="2" s="1"/>
  <c r="X13" i="2"/>
  <c r="Y13" i="2" s="1"/>
  <c r="X10" i="2"/>
  <c r="Y10" i="2" s="1"/>
  <c r="AF3" i="2"/>
  <c r="AG3" i="2" s="1"/>
  <c r="BW23" i="2"/>
  <c r="BX23" i="2" s="1"/>
  <c r="CT26" i="2"/>
  <c r="CU26" i="2" s="1"/>
  <c r="CT14" i="2"/>
  <c r="CU14" i="2" s="1"/>
  <c r="AF23" i="2"/>
  <c r="AG23" i="2" s="1"/>
  <c r="AB13" i="2"/>
  <c r="AC13" i="2" s="1"/>
  <c r="AF11" i="2"/>
  <c r="AG11" i="2" s="1"/>
  <c r="BW22" i="2"/>
  <c r="BX22" i="2" s="1"/>
  <c r="BW14" i="2"/>
  <c r="BX14" i="2" s="1"/>
  <c r="CR29" i="2"/>
  <c r="CS29" i="2" s="1"/>
  <c r="CR26" i="2"/>
  <c r="CS26" i="2" s="1"/>
  <c r="CR17" i="2"/>
  <c r="CS17" i="2" s="1"/>
  <c r="CR14" i="2"/>
  <c r="CS14" i="2" s="1"/>
  <c r="CR11" i="2"/>
  <c r="CS11" i="2" s="1"/>
  <c r="CR8" i="2"/>
  <c r="CS8" i="2" s="1"/>
  <c r="CR5" i="2"/>
  <c r="CS5" i="2" s="1"/>
  <c r="CT20" i="2"/>
  <c r="CU20" i="2" s="1"/>
  <c r="CT8" i="2"/>
  <c r="CU8" i="2" s="1"/>
  <c r="CT19" i="2"/>
  <c r="CU19" i="2" s="1"/>
  <c r="CT7" i="2"/>
  <c r="CU7" i="2" s="1"/>
  <c r="CT24" i="2"/>
  <c r="CU24" i="2" s="1"/>
  <c r="CT12" i="2"/>
  <c r="CU12" i="2" s="1"/>
  <c r="CT18" i="2"/>
  <c r="CU18" i="2" s="1"/>
  <c r="CT6" i="2"/>
  <c r="CU6" i="2" s="1"/>
  <c r="CT29" i="2"/>
  <c r="CU29" i="2" s="1"/>
  <c r="CT17" i="2"/>
  <c r="CU17" i="2" s="1"/>
  <c r="CT5" i="2"/>
  <c r="CU5" i="2" s="1"/>
  <c r="BS4" i="2"/>
  <c r="BT4" i="2" s="1"/>
  <c r="BW10" i="2"/>
  <c r="BX10" i="2" s="1"/>
  <c r="CP29" i="2"/>
  <c r="CQ29" i="2" s="1"/>
  <c r="CP20" i="2"/>
  <c r="CQ20" i="2" s="1"/>
  <c r="CP17" i="2"/>
  <c r="CP8" i="2"/>
  <c r="CQ8" i="2" s="1"/>
  <c r="CP5" i="2"/>
  <c r="CQ5" i="2" s="1"/>
  <c r="CP2" i="2"/>
  <c r="CQ2" i="2" s="1"/>
  <c r="AB19" i="2"/>
  <c r="AC19" i="2" s="1"/>
  <c r="AB16" i="2"/>
  <c r="AC16" i="2" s="1"/>
  <c r="AF8" i="2"/>
  <c r="AG8" i="2" s="1"/>
  <c r="BW12" i="2"/>
  <c r="BX12" i="2" s="1"/>
  <c r="BS20" i="2"/>
  <c r="BT20" i="2" s="1"/>
  <c r="CR28" i="2"/>
  <c r="CS28" i="2" s="1"/>
  <c r="CR25" i="2"/>
  <c r="CS25" i="2" s="1"/>
  <c r="CR19" i="2"/>
  <c r="CS19" i="2" s="1"/>
  <c r="CR16" i="2"/>
  <c r="CS16" i="2" s="1"/>
  <c r="CR13" i="2"/>
  <c r="CS13" i="2" s="1"/>
  <c r="CR10" i="2"/>
  <c r="CS10" i="2" s="1"/>
  <c r="CR7" i="2"/>
  <c r="CS7" i="2" s="1"/>
  <c r="CR4" i="2"/>
  <c r="CS4" i="2" s="1"/>
  <c r="BS5" i="2"/>
  <c r="BT5" i="2" s="1"/>
  <c r="CP22" i="2"/>
  <c r="CP13" i="2"/>
  <c r="CQ13" i="2" s="1"/>
  <c r="CP10" i="2"/>
  <c r="CQ10" i="2" s="1"/>
  <c r="BS16" i="2"/>
  <c r="BT16" i="2" s="1"/>
  <c r="BS8" i="2"/>
  <c r="BT8" i="2" s="1"/>
  <c r="BW11" i="2"/>
  <c r="BX11" i="2" s="1"/>
  <c r="BS29" i="2"/>
  <c r="BT29" i="2" s="1"/>
  <c r="CP25" i="2"/>
  <c r="CQ25" i="2" s="1"/>
  <c r="CR20" i="2"/>
  <c r="CS20" i="2" s="1"/>
  <c r="CR2" i="2"/>
  <c r="CS2" i="2" s="1"/>
  <c r="CP23" i="2"/>
  <c r="CQ23" i="2" s="1"/>
  <c r="CP11" i="2"/>
  <c r="CQ11" i="2" s="1"/>
  <c r="BS28" i="2"/>
  <c r="BT28" i="2" s="1"/>
  <c r="BW18" i="2"/>
  <c r="BX18" i="2" s="1"/>
  <c r="BW6" i="2"/>
  <c r="BX6" i="2" s="1"/>
  <c r="CP19" i="2"/>
  <c r="CQ19" i="2" s="1"/>
  <c r="CP7" i="2"/>
  <c r="CQ7" i="2" s="1"/>
  <c r="CR27" i="2"/>
  <c r="CS27" i="2" s="1"/>
  <c r="CR24" i="2"/>
  <c r="CS24" i="2" s="1"/>
  <c r="CR21" i="2"/>
  <c r="CS21" i="2" s="1"/>
  <c r="CR18" i="2"/>
  <c r="CS18" i="2" s="1"/>
  <c r="CR15" i="2"/>
  <c r="CS15" i="2" s="1"/>
  <c r="CR12" i="2"/>
  <c r="CS12" i="2" s="1"/>
  <c r="CR9" i="2"/>
  <c r="CS9" i="2" s="1"/>
  <c r="CR6" i="2"/>
  <c r="CS6" i="2" s="1"/>
  <c r="CR3" i="2"/>
  <c r="CS3" i="2" s="1"/>
  <c r="CP27" i="2"/>
  <c r="CP24" i="2"/>
  <c r="CR22" i="2"/>
  <c r="CS22" i="2" s="1"/>
  <c r="CP21" i="2"/>
  <c r="CQ21" i="2" s="1"/>
  <c r="CP18" i="2"/>
  <c r="CP15" i="2"/>
  <c r="CP12" i="2"/>
  <c r="CQ12" i="2" s="1"/>
  <c r="CP9" i="2"/>
  <c r="CQ9" i="2" s="1"/>
  <c r="CP6" i="2"/>
  <c r="CP3" i="2"/>
  <c r="CP28" i="2"/>
  <c r="CR23" i="2"/>
  <c r="CS23" i="2" s="1"/>
  <c r="CP16" i="2"/>
  <c r="CQ16" i="2" s="1"/>
  <c r="CP4" i="2"/>
  <c r="BW26" i="2"/>
  <c r="BX26" i="2" s="1"/>
  <c r="BS27" i="2"/>
  <c r="BT27" i="2" s="1"/>
  <c r="BS23" i="2"/>
  <c r="BT23" i="2" s="1"/>
  <c r="BS19" i="2"/>
  <c r="BT19" i="2" s="1"/>
  <c r="BS15" i="2"/>
  <c r="BT15" i="2" s="1"/>
  <c r="BS11" i="2"/>
  <c r="BT11" i="2" s="1"/>
  <c r="BS7" i="2"/>
  <c r="BT7" i="2" s="1"/>
  <c r="BS3" i="2"/>
  <c r="BT3" i="2" s="1"/>
  <c r="CP26" i="2"/>
  <c r="CQ26" i="2" s="1"/>
  <c r="CP14" i="2"/>
  <c r="CQ14" i="2" s="1"/>
  <c r="BW13" i="2"/>
  <c r="BX13" i="2" s="1"/>
  <c r="BW24" i="2"/>
  <c r="BX24" i="2" s="1"/>
  <c r="BS17" i="2"/>
  <c r="BT17" i="2" s="1"/>
  <c r="BS24" i="2"/>
  <c r="BT24" i="2" s="1"/>
  <c r="BS12" i="2"/>
  <c r="BT12" i="2" s="1"/>
  <c r="AF17" i="2"/>
  <c r="AG17" i="2" s="1"/>
  <c r="AF14" i="2"/>
  <c r="AG14" i="2" s="1"/>
  <c r="BW29" i="2"/>
  <c r="BX29" i="2" s="1"/>
  <c r="CA26" i="2"/>
  <c r="CB26" i="2" s="1"/>
  <c r="BW25" i="2"/>
  <c r="BX25" i="2" s="1"/>
  <c r="BW21" i="2"/>
  <c r="BX21" i="2" s="1"/>
  <c r="CA18" i="2"/>
  <c r="CB18" i="2" s="1"/>
  <c r="BW17" i="2"/>
  <c r="BX17" i="2" s="1"/>
  <c r="CA14" i="2"/>
  <c r="CB14" i="2" s="1"/>
  <c r="CA10" i="2"/>
  <c r="CB10" i="2" s="1"/>
  <c r="BS18" i="2"/>
  <c r="BT18" i="2" s="1"/>
  <c r="CA25" i="2"/>
  <c r="CB25" i="2" s="1"/>
  <c r="CA24" i="2"/>
  <c r="CB24" i="2" s="1"/>
  <c r="CA23" i="2"/>
  <c r="CB23" i="2" s="1"/>
  <c r="CA22" i="2"/>
  <c r="CB22" i="2" s="1"/>
  <c r="BW9" i="2"/>
  <c r="BX9" i="2" s="1"/>
  <c r="AB27" i="2"/>
  <c r="AC27" i="2" s="1"/>
  <c r="AF22" i="2"/>
  <c r="AG22" i="2" s="1"/>
  <c r="AB15" i="2"/>
  <c r="AC15" i="2" s="1"/>
  <c r="AF13" i="2"/>
  <c r="AG13" i="2" s="1"/>
  <c r="AF10" i="2"/>
  <c r="AG10" i="2" s="1"/>
  <c r="AF4" i="2"/>
  <c r="AG4" i="2" s="1"/>
  <c r="BS26" i="2"/>
  <c r="BT26" i="2" s="1"/>
  <c r="BS14" i="2"/>
  <c r="BT14" i="2" s="1"/>
  <c r="BS10" i="2"/>
  <c r="BT10" i="2" s="1"/>
  <c r="CA6" i="2"/>
  <c r="CB6" i="2" s="1"/>
  <c r="BW5" i="2"/>
  <c r="BX5" i="2" s="1"/>
  <c r="CA2" i="2"/>
  <c r="CB2" i="2" s="1"/>
  <c r="AF28" i="2"/>
  <c r="AG28" i="2" s="1"/>
  <c r="AB24" i="2"/>
  <c r="AC24" i="2" s="1"/>
  <c r="AB9" i="2"/>
  <c r="AC9" i="2" s="1"/>
  <c r="AB3" i="2"/>
  <c r="AC3" i="2" s="1"/>
  <c r="BS22" i="2"/>
  <c r="BT22" i="2" s="1"/>
  <c r="CA29" i="2"/>
  <c r="CB29" i="2" s="1"/>
  <c r="CA21" i="2"/>
  <c r="CB21" i="2" s="1"/>
  <c r="BW16" i="2"/>
  <c r="BX16" i="2" s="1"/>
  <c r="CA9" i="2"/>
  <c r="CB9" i="2" s="1"/>
  <c r="CA5" i="2"/>
  <c r="CB5" i="2" s="1"/>
  <c r="BW4" i="2"/>
  <c r="BX4" i="2" s="1"/>
  <c r="CA12" i="2"/>
  <c r="CB12" i="2" s="1"/>
  <c r="CA8" i="2"/>
  <c r="CB8" i="2" s="1"/>
  <c r="BS25" i="2"/>
  <c r="BT25" i="2" s="1"/>
  <c r="BS21" i="2"/>
  <c r="BT21" i="2" s="1"/>
  <c r="CA20" i="2"/>
  <c r="CB20" i="2" s="1"/>
  <c r="BS13" i="2"/>
  <c r="BT13" i="2" s="1"/>
  <c r="BS9" i="2"/>
  <c r="BT9" i="2" s="1"/>
  <c r="AB17" i="2"/>
  <c r="AC17" i="2" s="1"/>
  <c r="CA28" i="2"/>
  <c r="CB28" i="2" s="1"/>
  <c r="BW27" i="2"/>
  <c r="BX27" i="2" s="1"/>
  <c r="CA19" i="2"/>
  <c r="CB19" i="2" s="1"/>
  <c r="BW19" i="2"/>
  <c r="BX19" i="2" s="1"/>
  <c r="CA16" i="2"/>
  <c r="CB16" i="2" s="1"/>
  <c r="BW15" i="2"/>
  <c r="BX15" i="2" s="1"/>
  <c r="CA7" i="2"/>
  <c r="CB7" i="2" s="1"/>
  <c r="BW7" i="2"/>
  <c r="BX7" i="2" s="1"/>
  <c r="CA4" i="2"/>
  <c r="CB4" i="2" s="1"/>
  <c r="BW3" i="2"/>
  <c r="BX3" i="2" s="1"/>
  <c r="AF25" i="2"/>
  <c r="AG25" i="2" s="1"/>
  <c r="AB21" i="2"/>
  <c r="AC21" i="2" s="1"/>
  <c r="CA17" i="2"/>
  <c r="CB17" i="2" s="1"/>
  <c r="BW8" i="2"/>
  <c r="BX8" i="2" s="1"/>
  <c r="BR2" i="2"/>
  <c r="CA27" i="2"/>
  <c r="CB27" i="2" s="1"/>
  <c r="CA15" i="2"/>
  <c r="CB15" i="2" s="1"/>
  <c r="CA3" i="2"/>
  <c r="CB3" i="2" s="1"/>
  <c r="AF16" i="2"/>
  <c r="AG16" i="2" s="1"/>
  <c r="AB12" i="2"/>
  <c r="AC12" i="2" s="1"/>
  <c r="BW28" i="2"/>
  <c r="BX28" i="2" s="1"/>
  <c r="BW20" i="2"/>
  <c r="BX20" i="2" s="1"/>
  <c r="CA13" i="2"/>
  <c r="CB13" i="2" s="1"/>
  <c r="CA11" i="2"/>
  <c r="CB11" i="2" s="1"/>
  <c r="AB8" i="2"/>
  <c r="AC8" i="2" s="1"/>
  <c r="AB5" i="2"/>
  <c r="AC5" i="2" s="1"/>
  <c r="AB2" i="2"/>
  <c r="AC2" i="2" s="1"/>
  <c r="AF5" i="2"/>
  <c r="AG5" i="2" s="1"/>
  <c r="AB29" i="2"/>
  <c r="AC29" i="2" s="1"/>
  <c r="AF6" i="2"/>
  <c r="AG6" i="2" s="1"/>
  <c r="AF29" i="2"/>
  <c r="AG29" i="2" s="1"/>
  <c r="AB28" i="2"/>
  <c r="AC28" i="2" s="1"/>
  <c r="AF26" i="2"/>
  <c r="AG26" i="2" s="1"/>
  <c r="AB25" i="2"/>
  <c r="AC25" i="2" s="1"/>
  <c r="AF20" i="2"/>
  <c r="AG20" i="2" s="1"/>
  <c r="AB7" i="2"/>
  <c r="AC7" i="2" s="1"/>
  <c r="AB4" i="2"/>
  <c r="AC4" i="2" s="1"/>
  <c r="AF2" i="2"/>
  <c r="AG2" i="2" s="1"/>
  <c r="AB26" i="2"/>
  <c r="AC26" i="2" s="1"/>
  <c r="AB14" i="2"/>
  <c r="AC14" i="2" s="1"/>
  <c r="AB23" i="2"/>
  <c r="AC23" i="2" s="1"/>
  <c r="AF12" i="2"/>
  <c r="AG12" i="2" s="1"/>
  <c r="AF9" i="2"/>
  <c r="AG9" i="2" s="1"/>
  <c r="AB22" i="2"/>
  <c r="AC22" i="2" s="1"/>
  <c r="AF27" i="2"/>
  <c r="AG27" i="2" s="1"/>
  <c r="AF24" i="2"/>
  <c r="AG24" i="2" s="1"/>
  <c r="AF21" i="2"/>
  <c r="AG21" i="2" s="1"/>
  <c r="AB11" i="2"/>
  <c r="AC11" i="2" s="1"/>
  <c r="AB10" i="2"/>
  <c r="AC10" i="2" s="1"/>
  <c r="AF19" i="2"/>
  <c r="AG19" i="2" s="1"/>
  <c r="AF7" i="2"/>
  <c r="AG7" i="2" s="1"/>
  <c r="AB18" i="2"/>
  <c r="AC18" i="2" s="1"/>
  <c r="AB6" i="2"/>
  <c r="AC6" i="2" s="1"/>
  <c r="X24" i="2"/>
  <c r="Y24" i="2" s="1"/>
  <c r="X12" i="2"/>
  <c r="Y12" i="2" s="1"/>
  <c r="X9" i="2"/>
  <c r="Y9" i="2" s="1"/>
  <c r="X22" i="2"/>
  <c r="Y22" i="2" s="1"/>
  <c r="X21" i="2"/>
  <c r="Y21" i="2" s="1"/>
  <c r="X26" i="2"/>
  <c r="Y26" i="2" s="1"/>
  <c r="X14" i="2"/>
  <c r="Y14" i="2" s="1"/>
  <c r="V29" i="2"/>
  <c r="W29" i="2" s="1"/>
  <c r="V17" i="2"/>
  <c r="W17" i="2" s="1"/>
  <c r="V5" i="2"/>
  <c r="W5" i="2" s="1"/>
  <c r="X29" i="2"/>
  <c r="Y29" i="2" s="1"/>
  <c r="X23" i="2"/>
  <c r="Y23" i="2" s="1"/>
  <c r="X20" i="2"/>
  <c r="Y20" i="2" s="1"/>
  <c r="X17" i="2"/>
  <c r="Y17" i="2" s="1"/>
  <c r="X11" i="2"/>
  <c r="Y11" i="2" s="1"/>
  <c r="X8" i="2"/>
  <c r="Y8" i="2" s="1"/>
  <c r="X5" i="2"/>
  <c r="Y5" i="2" s="1"/>
  <c r="X28" i="2"/>
  <c r="Y28" i="2" s="1"/>
  <c r="X16" i="2"/>
  <c r="Y16" i="2" s="1"/>
  <c r="X4" i="2"/>
  <c r="Y4" i="2" s="1"/>
  <c r="X19" i="2"/>
  <c r="Y19" i="2" s="1"/>
  <c r="X7" i="2"/>
  <c r="Y7" i="2" s="1"/>
  <c r="X18" i="2"/>
  <c r="Y18" i="2" s="1"/>
  <c r="X6" i="2"/>
  <c r="Y6" i="2" s="1"/>
  <c r="X27" i="2"/>
  <c r="Y27" i="2" s="1"/>
  <c r="X15" i="2"/>
  <c r="Y15" i="2" s="1"/>
  <c r="X3" i="2"/>
  <c r="Y3" i="2" s="1"/>
  <c r="V26" i="2"/>
  <c r="W26" i="2" s="1"/>
  <c r="V14" i="2"/>
  <c r="W14" i="2" s="1"/>
  <c r="V25" i="2"/>
  <c r="W25" i="2" s="1"/>
  <c r="V13" i="2"/>
  <c r="W13" i="2" s="1"/>
  <c r="V11" i="2"/>
  <c r="W11" i="2" s="1"/>
  <c r="V22" i="2"/>
  <c r="W22" i="2" s="1"/>
  <c r="V10" i="2"/>
  <c r="W10" i="2" s="1"/>
  <c r="DJ3" i="2"/>
  <c r="DK3" i="2" s="1"/>
  <c r="V18" i="2"/>
  <c r="W18" i="2" s="1"/>
  <c r="V6" i="2"/>
  <c r="W6" i="2" s="1"/>
  <c r="V28" i="2"/>
  <c r="W28" i="2" s="1"/>
  <c r="V16" i="2"/>
  <c r="W16" i="2" s="1"/>
  <c r="V4" i="2"/>
  <c r="W4" i="2" s="1"/>
  <c r="V27" i="2"/>
  <c r="W27" i="2" s="1"/>
  <c r="V15" i="2"/>
  <c r="W15" i="2" s="1"/>
  <c r="V23" i="2"/>
  <c r="W23" i="2" s="1"/>
  <c r="V20" i="2"/>
  <c r="W20" i="2" s="1"/>
  <c r="V8" i="2"/>
  <c r="W8" i="2" s="1"/>
  <c r="V24" i="2"/>
  <c r="W24" i="2" s="1"/>
  <c r="V19" i="2"/>
  <c r="W19" i="2" s="1"/>
  <c r="V7" i="2"/>
  <c r="W7" i="2" s="1"/>
  <c r="V21" i="2"/>
  <c r="W21" i="2" s="1"/>
  <c r="V12" i="2"/>
  <c r="W12" i="2" s="1"/>
  <c r="V9" i="2"/>
  <c r="W9" i="2" s="1"/>
  <c r="DJ16" i="2"/>
  <c r="DK16" i="2" s="1"/>
  <c r="DJ15" i="2"/>
  <c r="DK15" i="2" s="1"/>
  <c r="DJ6" i="2"/>
  <c r="DK6" i="2" s="1"/>
  <c r="DJ29" i="2"/>
  <c r="DK29" i="2" s="1"/>
  <c r="DJ17" i="2"/>
  <c r="DK17" i="2" s="1"/>
  <c r="DJ28" i="2"/>
  <c r="DK28" i="2" s="1"/>
  <c r="DJ27" i="2"/>
  <c r="DK27" i="2" s="1"/>
  <c r="DJ25" i="2"/>
  <c r="DK25" i="2" s="1"/>
  <c r="DJ13" i="2"/>
  <c r="DK13" i="2" s="1"/>
  <c r="DJ18" i="2"/>
  <c r="DK18" i="2" s="1"/>
  <c r="DJ4" i="2"/>
  <c r="DK4" i="2" s="1"/>
  <c r="DJ26" i="2"/>
  <c r="DK26" i="2" s="1"/>
  <c r="DJ12" i="2"/>
  <c r="DK12" i="2" s="1"/>
  <c r="DJ11" i="2"/>
  <c r="DK11" i="2" s="1"/>
  <c r="DJ22" i="2"/>
  <c r="DK22" i="2" s="1"/>
  <c r="DJ10" i="2"/>
  <c r="DK10" i="2" s="1"/>
  <c r="DJ24" i="2"/>
  <c r="DK24" i="2" s="1"/>
  <c r="DJ23" i="2"/>
  <c r="DK23" i="2" s="1"/>
  <c r="DJ21" i="2"/>
  <c r="DK21" i="2" s="1"/>
  <c r="DJ9" i="2"/>
  <c r="DK9" i="2" s="1"/>
  <c r="DJ5" i="2"/>
  <c r="DK5" i="2" s="1"/>
  <c r="DJ14" i="2"/>
  <c r="DK14" i="2" s="1"/>
  <c r="DJ20" i="2"/>
  <c r="DK20" i="2" s="1"/>
  <c r="DJ8" i="2"/>
  <c r="DK8" i="2" s="1"/>
  <c r="DJ19" i="2"/>
  <c r="DK19" i="2" s="1"/>
  <c r="DJ7" i="2"/>
  <c r="DK7" i="2" s="1"/>
  <c r="CW2" i="2" l="1"/>
  <c r="CV2" i="2"/>
  <c r="CQ4" i="2"/>
  <c r="CX4" i="2" s="1"/>
  <c r="CQ17" i="2"/>
  <c r="CX17" i="2" s="1"/>
  <c r="CQ6" i="2"/>
  <c r="CX6" i="2" s="1"/>
  <c r="CQ18" i="2"/>
  <c r="CX18" i="2" s="1"/>
  <c r="CV16" i="2"/>
  <c r="CV4" i="2"/>
  <c r="CV28" i="2"/>
  <c r="CW3" i="2"/>
  <c r="CV9" i="2"/>
  <c r="CY9" i="2" s="1"/>
  <c r="CW11" i="2"/>
  <c r="CV22" i="2"/>
  <c r="CW12" i="2"/>
  <c r="CW27" i="2"/>
  <c r="CW25" i="2"/>
  <c r="CW17" i="2"/>
  <c r="CV21" i="2"/>
  <c r="CX21" i="2"/>
  <c r="CV18" i="2"/>
  <c r="CV8" i="2"/>
  <c r="CW21" i="2"/>
  <c r="CW14" i="2"/>
  <c r="CX12" i="2"/>
  <c r="CX29" i="2"/>
  <c r="CW26" i="2"/>
  <c r="CV10" i="2"/>
  <c r="CX8" i="2"/>
  <c r="CX23" i="2"/>
  <c r="CV7" i="2"/>
  <c r="CV15" i="2"/>
  <c r="CV24" i="2"/>
  <c r="CX11" i="2"/>
  <c r="CW4" i="2"/>
  <c r="CW29" i="2"/>
  <c r="CV11" i="2"/>
  <c r="CW7" i="2"/>
  <c r="CW19" i="2"/>
  <c r="CV12" i="2"/>
  <c r="CX2" i="2"/>
  <c r="CW18" i="2"/>
  <c r="CV6" i="2"/>
  <c r="CW8" i="2"/>
  <c r="CX7" i="2"/>
  <c r="CX26" i="2"/>
  <c r="CX13" i="2"/>
  <c r="CV27" i="2"/>
  <c r="CY27" i="2" s="1"/>
  <c r="CW16" i="2"/>
  <c r="CV23" i="2"/>
  <c r="CW28" i="2"/>
  <c r="CX20" i="2"/>
  <c r="CV14" i="2"/>
  <c r="CW6" i="2"/>
  <c r="CV26" i="2"/>
  <c r="CW24" i="2"/>
  <c r="CV3" i="2"/>
  <c r="CW20" i="2"/>
  <c r="CX14" i="2"/>
  <c r="CV19" i="2"/>
  <c r="CW10" i="2"/>
  <c r="CW23" i="2"/>
  <c r="CW22" i="2"/>
  <c r="CX16" i="2"/>
  <c r="CX25" i="2"/>
  <c r="CX10" i="2"/>
  <c r="CV5" i="2"/>
  <c r="CV13" i="2"/>
  <c r="CV17" i="2"/>
  <c r="CV20" i="2"/>
  <c r="CW9" i="2"/>
  <c r="CW15" i="2"/>
  <c r="CW13" i="2"/>
  <c r="CW5" i="2"/>
  <c r="CX9" i="2"/>
  <c r="CX19" i="2"/>
  <c r="CX5" i="2"/>
  <c r="CV29" i="2"/>
  <c r="CV25" i="2"/>
  <c r="CQ15" i="2"/>
  <c r="CX15" i="2" s="1"/>
  <c r="CQ22" i="2"/>
  <c r="CX22" i="2" s="1"/>
  <c r="CQ24" i="2"/>
  <c r="CX24" i="2" s="1"/>
  <c r="CQ27" i="2"/>
  <c r="CX27" i="2" s="1"/>
  <c r="CQ28" i="2"/>
  <c r="CX28" i="2" s="1"/>
  <c r="CQ3" i="2"/>
  <c r="CX3" i="2" s="1"/>
  <c r="CY4" i="2" l="1"/>
  <c r="CY14" i="2"/>
  <c r="CY25" i="2"/>
  <c r="CY29" i="2"/>
  <c r="CY6" i="2"/>
  <c r="CY18" i="2"/>
  <c r="CY17" i="2"/>
  <c r="CY13" i="2"/>
  <c r="CY11" i="2"/>
  <c r="CY10" i="2"/>
  <c r="CY22" i="2"/>
  <c r="CY3" i="2"/>
  <c r="CY12" i="2"/>
  <c r="CY5" i="2"/>
  <c r="CY26" i="2"/>
  <c r="CY2" i="2"/>
  <c r="CY24" i="2"/>
  <c r="CY8" i="2"/>
  <c r="CY28" i="2"/>
  <c r="CY15" i="2"/>
  <c r="CY19" i="2"/>
  <c r="CY23" i="2"/>
  <c r="CY7" i="2"/>
  <c r="CY20" i="2"/>
  <c r="CY21" i="2"/>
  <c r="CY16" i="2"/>
</calcChain>
</file>

<file path=xl/sharedStrings.xml><?xml version="1.0" encoding="utf-8"?>
<sst xmlns="http://schemas.openxmlformats.org/spreadsheetml/2006/main" count="3264" uniqueCount="369">
  <si>
    <t>キットの管理Noを記載してください</t>
  </si>
  <si>
    <t>1. 非常にたくさんの仕事をしなければならない</t>
  </si>
  <si>
    <t>2. 時間内に仕事が処理しきれない</t>
  </si>
  <si>
    <t>3. 一生懸命働かなければならない</t>
  </si>
  <si>
    <t>4. かなり注意を集中する必要がある</t>
  </si>
  <si>
    <t>5. 高度の知識や技術が必要なむずかしい仕事だ</t>
  </si>
  <si>
    <t>6. 勤務時間中はいつも仕事のことを考えていなければならない</t>
  </si>
  <si>
    <t>7. からだを大変よく使う仕事だ</t>
  </si>
  <si>
    <t>8. 自分のペースで仕事ができる</t>
  </si>
  <si>
    <t>9. 自分の仕事の順番・やり方を決めることができる</t>
  </si>
  <si>
    <t>10. 職場の仕事の方針に自分の意見を反映できる</t>
  </si>
  <si>
    <t>11. 自分の技能や知識を仕事で使うことが少ない</t>
  </si>
  <si>
    <t>12. 私の部署内で意見のくい違いがある</t>
  </si>
  <si>
    <t>13. 私の部署と他の部署とはうまが合わない</t>
  </si>
  <si>
    <t>14. 私の職場の雰囲気は友好的である</t>
  </si>
  <si>
    <t>15. 私の職場の作業環境（騒音、照明、温度、換気など）はよくない</t>
  </si>
  <si>
    <t>16. 仕事の内容は自分にあってる</t>
  </si>
  <si>
    <t>17. 働きがいのある仕事だ</t>
  </si>
  <si>
    <t>1. 活気がわいてくる</t>
  </si>
  <si>
    <t>2. 元気がいっぱいだ</t>
  </si>
  <si>
    <t>3. 生き生きする</t>
  </si>
  <si>
    <t>4. 怒りを感じる</t>
  </si>
  <si>
    <t>5. 内心腹立だしい</t>
  </si>
  <si>
    <t>6. イライラしている</t>
  </si>
  <si>
    <t>7. ひどく疲れた</t>
  </si>
  <si>
    <t>8. へとへとだ</t>
  </si>
  <si>
    <t>9. だるい</t>
  </si>
  <si>
    <t>10. 気がはりつめている</t>
  </si>
  <si>
    <t>11. 不安だ</t>
  </si>
  <si>
    <t>12. 落ち着かない</t>
  </si>
  <si>
    <t>13. ゆううつだ</t>
  </si>
  <si>
    <t>14. 何をするのも面倒だ</t>
  </si>
  <si>
    <t>15. 物事に集中できない</t>
  </si>
  <si>
    <t>16. 気分が晴れない</t>
  </si>
  <si>
    <t>17. 仕事が手につかない</t>
  </si>
  <si>
    <t>18. 悲しいと感じる</t>
  </si>
  <si>
    <t>19. めまいがする</t>
  </si>
  <si>
    <t>20. 体のふしぶしが痛む</t>
  </si>
  <si>
    <t>21. 頭が重かったり頭痛がする</t>
  </si>
  <si>
    <t>22. 首筋や肩がこる</t>
  </si>
  <si>
    <t>23. 腰が痛い</t>
  </si>
  <si>
    <t>24. 目が疲れる</t>
  </si>
  <si>
    <t>25. 動悸や息切れがする</t>
  </si>
  <si>
    <t>26. 胃腸の具合が悪い</t>
  </si>
  <si>
    <t>27. 食欲がない</t>
  </si>
  <si>
    <t>28. 便秘や下痢をする</t>
  </si>
  <si>
    <t>29. よく眠れない</t>
  </si>
  <si>
    <t>次の人たちはどのくらい気軽に話ができますか？
1．上司</t>
  </si>
  <si>
    <t>次の人たちはどのくらい気軽に話ができますか？
2. 職場の同僚</t>
  </si>
  <si>
    <t>次の人たちはどのくらい気軽に話ができますか？
3. 配偶者、家族、友人等</t>
  </si>
  <si>
    <t>あなたが困った時、次の人たちはどのくらい頼りになりますか？
4. 上司</t>
  </si>
  <si>
    <t>あなたが困った時、次の人たちはどのくらい頼りになりますか？
5. 職場の同僚</t>
  </si>
  <si>
    <t>あなたが困った時、次の人たちはどのくらい頼りになりますか？
6. 配偶者、家族、友人等</t>
  </si>
  <si>
    <t>あなたの個人的な問題を相談したら、次の人たちはどのくらいきいてくれますか？
7. 上司</t>
  </si>
  <si>
    <t>あなたの個人的な問題を相談したら、次の人たちはどのくらいきいてくれますか？
8. 職場の同僚</t>
  </si>
  <si>
    <t>あなたの個人的な問題を相談したら、次の人たちはどのくらいきいてくれますか？
9. 配偶者、家族、友人等</t>
  </si>
  <si>
    <t>1. 仕事に満足だ</t>
  </si>
  <si>
    <t>2. 家庭生活に満足だ</t>
  </si>
  <si>
    <t>病気やけががないときに発揮できる仕事の出来を100%として過去4週間の自身の仕事を評価してください（回答は1～100％で記載ください）</t>
  </si>
  <si>
    <t>1. 寝床についてから実際に寝るまで、時間
がかかりましたか？</t>
  </si>
  <si>
    <t>2.夜間、睡眠の途中で目が覚めましたか？</t>
  </si>
  <si>
    <t>3. 希望する起床時間より早く目覚めて、それ
以降、眠れないことはありましたか？</t>
  </si>
  <si>
    <t>4. 夜の眠りや昼寝も合わせて、睡眠時間は
足りていましたか？</t>
  </si>
  <si>
    <t>5. 全体的な睡眠の質について、どう感じてい
ますか？</t>
  </si>
  <si>
    <t>6. 日中の気分はいかがでしたか？</t>
  </si>
  <si>
    <t>7. 日中の身体的および精神的な活動の状
態は、いかがでしたか？</t>
  </si>
  <si>
    <t>8. 日中の眠気はありましたか？</t>
  </si>
  <si>
    <t>そうだ</t>
  </si>
  <si>
    <t>ほとんどいつもあった</t>
  </si>
  <si>
    <t>ほとんどなかった</t>
  </si>
  <si>
    <t>全くない</t>
  </si>
  <si>
    <t>非常に</t>
  </si>
  <si>
    <t>満足</t>
  </si>
  <si>
    <t>いつもより寝つきは良い</t>
  </si>
  <si>
    <t>問題になるほどのことはなかった</t>
  </si>
  <si>
    <t>そのようなことはなかった</t>
  </si>
  <si>
    <t>十分である</t>
  </si>
  <si>
    <t>満足している</t>
  </si>
  <si>
    <t>いつもどおり</t>
  </si>
  <si>
    <t>全くなかった</t>
  </si>
  <si>
    <t>まぁそうだ</t>
  </si>
  <si>
    <t>ちがう</t>
  </si>
  <si>
    <t>ややちがう</t>
  </si>
  <si>
    <t>しばしばあった</t>
  </si>
  <si>
    <t>ときどきあった</t>
  </si>
  <si>
    <t>ときどきばあった</t>
  </si>
  <si>
    <t>多少</t>
  </si>
  <si>
    <t>やや満足</t>
  </si>
  <si>
    <t>少し困ることがある</t>
  </si>
  <si>
    <t>少し早かった</t>
  </si>
  <si>
    <t>少し不満である</t>
  </si>
  <si>
    <t>少し滅入った</t>
  </si>
  <si>
    <t>少し低下した</t>
  </si>
  <si>
    <t>かなり</t>
  </si>
  <si>
    <t>まぁ満足</t>
  </si>
  <si>
    <t>いつもより少し時間がかかった</t>
  </si>
  <si>
    <t>かなり足りない</t>
  </si>
  <si>
    <t>かなり不満である</t>
  </si>
  <si>
    <t>少しあった</t>
  </si>
  <si>
    <t>少し足りない</t>
  </si>
  <si>
    <t>かなりあった</t>
  </si>
  <si>
    <t>非常に不満である、あるいは全く眠れなかった</t>
  </si>
  <si>
    <t>かなり低下した</t>
  </si>
  <si>
    <t>激しかった</t>
  </si>
  <si>
    <t>不満足</t>
  </si>
  <si>
    <t>いつもより非常に時間がかかった、あるいは全く眠れなかった</t>
  </si>
  <si>
    <t>かなり困っている</t>
  </si>
  <si>
    <t>かなり滅入った</t>
  </si>
  <si>
    <t>いつもよりかなり時間がかかった</t>
  </si>
  <si>
    <t>全く足りない、あるいは全く眠れなかった</t>
  </si>
  <si>
    <t>アテネ不眠スコア（点数）</t>
    <rPh sb="3" eb="5">
      <t>フミン</t>
    </rPh>
    <rPh sb="9" eb="11">
      <t>テンスウ</t>
    </rPh>
    <phoneticPr fontId="8"/>
  </si>
  <si>
    <t>アテネ不眠スコア（評価）</t>
    <rPh sb="3" eb="5">
      <t>フミン</t>
    </rPh>
    <rPh sb="9" eb="11">
      <t>ヒョウカ</t>
    </rPh>
    <phoneticPr fontId="8"/>
  </si>
  <si>
    <t>BP（CRE補正後）</t>
    <rPh sb="6" eb="9">
      <t>ホセイゴ</t>
    </rPh>
    <phoneticPr fontId="10"/>
  </si>
  <si>
    <t>スコア</t>
  </si>
  <si>
    <t>アラート有無</t>
    <rPh sb="4" eb="6">
      <t>ウム</t>
    </rPh>
    <phoneticPr fontId="10"/>
  </si>
  <si>
    <t>メンタルアラートなし（-）</t>
  </si>
  <si>
    <t>プレゼンティーズム</t>
    <phoneticPr fontId="8"/>
  </si>
  <si>
    <t>心理的な仕事の負担（量）</t>
    <rPh sb="0" eb="3">
      <t>シンリテキ</t>
    </rPh>
    <rPh sb="4" eb="6">
      <t>シゴト</t>
    </rPh>
    <rPh sb="7" eb="9">
      <t>フタン</t>
    </rPh>
    <rPh sb="10" eb="11">
      <t>リョウ</t>
    </rPh>
    <phoneticPr fontId="8"/>
  </si>
  <si>
    <t>心理的な仕事の負担（質）</t>
    <rPh sb="0" eb="3">
      <t>シンリテキ</t>
    </rPh>
    <rPh sb="4" eb="6">
      <t>シゴト</t>
    </rPh>
    <rPh sb="7" eb="9">
      <t>フタン</t>
    </rPh>
    <rPh sb="10" eb="11">
      <t>シツ</t>
    </rPh>
    <phoneticPr fontId="8"/>
  </si>
  <si>
    <t>自覚的な身体的負担度</t>
    <rPh sb="0" eb="3">
      <t>ジカクテキ</t>
    </rPh>
    <rPh sb="4" eb="10">
      <t>シンタイテキフタンド</t>
    </rPh>
    <phoneticPr fontId="8"/>
  </si>
  <si>
    <t>職場の対人関係でのストレス</t>
    <rPh sb="0" eb="2">
      <t>ショクバ</t>
    </rPh>
    <rPh sb="3" eb="7">
      <t>タイジンカンケイ</t>
    </rPh>
    <phoneticPr fontId="8"/>
  </si>
  <si>
    <t>職場環境によるストレス</t>
    <rPh sb="0" eb="4">
      <t>ショクバカンキョウ</t>
    </rPh>
    <phoneticPr fontId="8"/>
  </si>
  <si>
    <t>仕事のコントロール度</t>
    <rPh sb="0" eb="2">
      <t>シゴト</t>
    </rPh>
    <rPh sb="9" eb="10">
      <t>ド</t>
    </rPh>
    <phoneticPr fontId="8"/>
  </si>
  <si>
    <t>技能の活用度</t>
    <rPh sb="0" eb="2">
      <t>ギノウ</t>
    </rPh>
    <rPh sb="3" eb="6">
      <t>カツヨウド</t>
    </rPh>
    <phoneticPr fontId="8"/>
  </si>
  <si>
    <t>仕事の適性度</t>
    <rPh sb="0" eb="2">
      <t>シゴト</t>
    </rPh>
    <rPh sb="3" eb="6">
      <t>テキセイド</t>
    </rPh>
    <phoneticPr fontId="8"/>
  </si>
  <si>
    <t>働きがい</t>
    <rPh sb="0" eb="1">
      <t>ハタラ</t>
    </rPh>
    <phoneticPr fontId="8"/>
  </si>
  <si>
    <t>活気</t>
    <rPh sb="0" eb="2">
      <t>カッキ</t>
    </rPh>
    <phoneticPr fontId="8"/>
  </si>
  <si>
    <t>イライラ感</t>
    <rPh sb="4" eb="5">
      <t>カン</t>
    </rPh>
    <phoneticPr fontId="8"/>
  </si>
  <si>
    <t>疲労感</t>
    <rPh sb="0" eb="3">
      <t>ヒロウカン</t>
    </rPh>
    <phoneticPr fontId="8"/>
  </si>
  <si>
    <t>不安感</t>
    <rPh sb="0" eb="3">
      <t>フアンカン</t>
    </rPh>
    <phoneticPr fontId="8"/>
  </si>
  <si>
    <t>抑うつ感</t>
    <rPh sb="0" eb="1">
      <t>ヨク</t>
    </rPh>
    <rPh sb="3" eb="4">
      <t>カン</t>
    </rPh>
    <phoneticPr fontId="8"/>
  </si>
  <si>
    <t>身体愁訴</t>
    <rPh sb="0" eb="2">
      <t>シンタイ</t>
    </rPh>
    <rPh sb="2" eb="4">
      <t>シュウソ</t>
    </rPh>
    <phoneticPr fontId="8"/>
  </si>
  <si>
    <t>上司からのサポート</t>
    <rPh sb="0" eb="2">
      <t>ジョウシ</t>
    </rPh>
    <phoneticPr fontId="8"/>
  </si>
  <si>
    <t>同僚からのサポート</t>
    <rPh sb="0" eb="2">
      <t>ドウリョウ</t>
    </rPh>
    <phoneticPr fontId="8"/>
  </si>
  <si>
    <t>家族・友人からのサポート</t>
    <rPh sb="0" eb="2">
      <t>カゾク</t>
    </rPh>
    <rPh sb="3" eb="5">
      <t>ユウジン</t>
    </rPh>
    <phoneticPr fontId="8"/>
  </si>
  <si>
    <t>仕事や生活の満足度</t>
    <rPh sb="0" eb="2">
      <t>シゴト</t>
    </rPh>
    <rPh sb="3" eb="5">
      <t>セイカツ</t>
    </rPh>
    <rPh sb="6" eb="9">
      <t>マンゾクド</t>
    </rPh>
    <phoneticPr fontId="8"/>
  </si>
  <si>
    <t>身体愁訴</t>
    <rPh sb="0" eb="4">
      <t>シンタイシュウソ</t>
    </rPh>
    <phoneticPr fontId="8"/>
  </si>
  <si>
    <t>性別</t>
    <rPh sb="0" eb="2">
      <t>セイベツ</t>
    </rPh>
    <phoneticPr fontId="10"/>
  </si>
  <si>
    <t>生年月日</t>
    <rPh sb="0" eb="4">
      <t>セイネンガッピ</t>
    </rPh>
    <phoneticPr fontId="10"/>
  </si>
  <si>
    <t>male</t>
  </si>
  <si>
    <t>female</t>
  </si>
  <si>
    <t>ストレスチェック総合評価</t>
    <rPh sb="8" eb="12">
      <t>ソウゴウヒョウカ</t>
    </rPh>
    <phoneticPr fontId="8"/>
  </si>
  <si>
    <t>心身の反応</t>
    <rPh sb="0" eb="2">
      <t>シンシン</t>
    </rPh>
    <rPh sb="3" eb="5">
      <t>ハンノウ</t>
    </rPh>
    <phoneticPr fontId="8"/>
  </si>
  <si>
    <t>ストレスの原因</t>
    <rPh sb="5" eb="7">
      <t>ゲンイン</t>
    </rPh>
    <phoneticPr fontId="8"/>
  </si>
  <si>
    <t>ストレスに影響を与えるその他因子</t>
    <rPh sb="5" eb="7">
      <t>エイキョウ</t>
    </rPh>
    <rPh sb="8" eb="9">
      <t>アタ</t>
    </rPh>
    <rPh sb="13" eb="16">
      <t>タインシ</t>
    </rPh>
    <phoneticPr fontId="8"/>
  </si>
  <si>
    <t>東大式</t>
    <rPh sb="0" eb="3">
      <t>トウダイシキ</t>
    </rPh>
    <phoneticPr fontId="8"/>
  </si>
  <si>
    <t>ストレス反応&lt;24</t>
    <rPh sb="4" eb="6">
      <t>ハンノウ</t>
    </rPh>
    <phoneticPr fontId="8"/>
  </si>
  <si>
    <r>
      <rPr>
        <sz val="10"/>
        <color rgb="FF000000"/>
        <rFont val="ＭＳ Ｐゴシック"/>
        <family val="2"/>
        <charset val="128"/>
      </rPr>
      <t>ストレス反応</t>
    </r>
    <r>
      <rPr>
        <sz val="10"/>
        <color rgb="FF000000"/>
        <rFont val="Malgun Gothic"/>
        <family val="2"/>
        <charset val="129"/>
      </rPr>
      <t>＝</t>
    </r>
    <r>
      <rPr>
        <sz val="10"/>
        <color rgb="FF000000"/>
        <rFont val="游ゴシック"/>
        <family val="2"/>
        <charset val="128"/>
      </rPr>
      <t>＞24</t>
    </r>
    <rPh sb="4" eb="6">
      <t>ハンノウ</t>
    </rPh>
    <phoneticPr fontId="8"/>
  </si>
  <si>
    <t>全て</t>
    <rPh sb="0" eb="1">
      <t>スベ</t>
    </rPh>
    <phoneticPr fontId="8"/>
  </si>
  <si>
    <t>MEAN</t>
    <phoneticPr fontId="8"/>
  </si>
  <si>
    <t>r</t>
    <phoneticPr fontId="8"/>
  </si>
  <si>
    <t>F-検定: 2 標本を使った分散の検定</t>
  </si>
  <si>
    <t>変数 1</t>
  </si>
  <si>
    <t>変数 2</t>
  </si>
  <si>
    <t>平均</t>
  </si>
  <si>
    <t>分散</t>
  </si>
  <si>
    <t>観測数</t>
  </si>
  <si>
    <t>自由度</t>
  </si>
  <si>
    <t>観測された分散比</t>
  </si>
  <si>
    <r>
      <t xml:space="preserve">P(F&lt;=f) </t>
    </r>
    <r>
      <rPr>
        <sz val="10"/>
        <color rgb="FF000000"/>
        <rFont val="Arial"/>
        <family val="2"/>
        <scheme val="minor"/>
      </rPr>
      <t>片側</t>
    </r>
  </si>
  <si>
    <r>
      <t xml:space="preserve">F </t>
    </r>
    <r>
      <rPr>
        <sz val="10"/>
        <color rgb="FF000000"/>
        <rFont val="Arial"/>
        <family val="2"/>
        <scheme val="minor"/>
      </rPr>
      <t>境界値 片側</t>
    </r>
  </si>
  <si>
    <t>t-検定: 等分散を仮定した２標本による検定</t>
  </si>
  <si>
    <t>プールされた分散</t>
  </si>
  <si>
    <t>仮説平均との差異</t>
  </si>
  <si>
    <t xml:space="preserve">t </t>
  </si>
  <si>
    <r>
      <t xml:space="preserve">P(T&lt;=t) </t>
    </r>
    <r>
      <rPr>
        <sz val="10"/>
        <color rgb="FF000000"/>
        <rFont val="Arial"/>
        <family val="2"/>
        <scheme val="minor"/>
      </rPr>
      <t>片側</t>
    </r>
  </si>
  <si>
    <r>
      <t xml:space="preserve">t </t>
    </r>
    <r>
      <rPr>
        <sz val="10"/>
        <color rgb="FF000000"/>
        <rFont val="Arial"/>
        <family val="2"/>
        <scheme val="minor"/>
      </rPr>
      <t>境界値 片側</t>
    </r>
  </si>
  <si>
    <r>
      <t xml:space="preserve">P(T&lt;=t) </t>
    </r>
    <r>
      <rPr>
        <sz val="10"/>
        <color rgb="FF000000"/>
        <rFont val="Arial"/>
        <family val="2"/>
        <scheme val="minor"/>
      </rPr>
      <t>両側</t>
    </r>
  </si>
  <si>
    <r>
      <t xml:space="preserve">t </t>
    </r>
    <r>
      <rPr>
        <sz val="10"/>
        <color rgb="FF000000"/>
        <rFont val="Arial"/>
        <family val="2"/>
        <scheme val="minor"/>
      </rPr>
      <t>境界値 両側</t>
    </r>
  </si>
  <si>
    <t>A</t>
    <phoneticPr fontId="8"/>
  </si>
  <si>
    <t>B</t>
    <phoneticPr fontId="8"/>
  </si>
  <si>
    <t>t-検定: 一対の標本による平均の検定ツール</t>
  </si>
  <si>
    <t>ピアソン相関</t>
  </si>
  <si>
    <t>年齢</t>
    <rPh sb="0" eb="2">
      <t>ネンレイ</t>
    </rPh>
    <phoneticPr fontId="8"/>
  </si>
  <si>
    <t>女性</t>
    <rPh sb="0" eb="2">
      <t>ジョセイ</t>
    </rPh>
    <phoneticPr fontId="8"/>
  </si>
  <si>
    <t>男性</t>
    <rPh sb="0" eb="2">
      <t>ダンセイ</t>
    </rPh>
    <phoneticPr fontId="8"/>
  </si>
  <si>
    <t>20～24</t>
    <phoneticPr fontId="8"/>
  </si>
  <si>
    <t>25～29</t>
    <phoneticPr fontId="8"/>
  </si>
  <si>
    <t>30～34</t>
    <phoneticPr fontId="8"/>
  </si>
  <si>
    <t>35～39</t>
    <phoneticPr fontId="8"/>
  </si>
  <si>
    <t>40～44</t>
    <phoneticPr fontId="8"/>
  </si>
  <si>
    <t>45～49</t>
    <phoneticPr fontId="8"/>
  </si>
  <si>
    <t>50～54</t>
    <phoneticPr fontId="8"/>
  </si>
  <si>
    <t>スコア</t>
    <phoneticPr fontId="8"/>
  </si>
  <si>
    <t>中央値</t>
    <rPh sb="0" eb="3">
      <t>チュウオウチ</t>
    </rPh>
    <phoneticPr fontId="8"/>
  </si>
  <si>
    <t>測定下限以下含む</t>
    <rPh sb="0" eb="4">
      <t>ソクテイカゲン</t>
    </rPh>
    <rPh sb="4" eb="7">
      <t>イカフク</t>
    </rPh>
    <phoneticPr fontId="8"/>
  </si>
  <si>
    <r>
      <rPr>
        <sz val="10"/>
        <color rgb="FF000000"/>
        <rFont val="Arial"/>
        <family val="2"/>
      </rPr>
      <t>BP</t>
    </r>
    <r>
      <rPr>
        <sz val="10"/>
        <color rgb="FF000000"/>
        <rFont val="游ゴシック"/>
        <family val="2"/>
        <charset val="128"/>
      </rPr>
      <t>（</t>
    </r>
    <r>
      <rPr>
        <sz val="10"/>
        <color rgb="FF000000"/>
        <rFont val="Arial"/>
        <family val="2"/>
        <scheme val="minor"/>
      </rPr>
      <t>Cre</t>
    </r>
    <r>
      <rPr>
        <sz val="10"/>
        <color rgb="FF000000"/>
        <rFont val="游ゴシック"/>
        <family val="2"/>
        <charset val="128"/>
      </rPr>
      <t>補正後）</t>
    </r>
    <rPh sb="6" eb="9">
      <t>ホセイゴ</t>
    </rPh>
    <phoneticPr fontId="8"/>
  </si>
  <si>
    <t>検体No.</t>
  </si>
  <si>
    <t>ココシル
ストレススコア</t>
  </si>
  <si>
    <t>残業時間(時間)</t>
    <rPh sb="5" eb="7">
      <t>ジカン</t>
    </rPh>
    <phoneticPr fontId="10"/>
  </si>
  <si>
    <t>フルリモート</t>
  </si>
  <si>
    <t>直近3か月以内の部署異動</t>
  </si>
  <si>
    <t>昇格・降格</t>
  </si>
  <si>
    <t>担当顧客変更の有無</t>
  </si>
  <si>
    <t>睡眠時間</t>
  </si>
  <si>
    <t>4月</t>
  </si>
  <si>
    <t>5月</t>
  </si>
  <si>
    <t>6月</t>
  </si>
  <si>
    <t>7時間以上8時間未満</t>
  </si>
  <si>
    <t>5時間以上6時間未満</t>
  </si>
  <si>
    <t>〇</t>
  </si>
  <si>
    <t>6時間以上7時間未満</t>
  </si>
  <si>
    <t>8時間以上9時間未満</t>
  </si>
  <si>
    <t>4月入社</t>
  </si>
  <si>
    <t>4-6月</t>
    <rPh sb="3" eb="4">
      <t>ガツ</t>
    </rPh>
    <phoneticPr fontId="8"/>
  </si>
  <si>
    <t>4月時間外労働時間</t>
    <rPh sb="1" eb="2">
      <t>ガツ</t>
    </rPh>
    <rPh sb="2" eb="9">
      <t>ジカンガイロウドウジカン</t>
    </rPh>
    <phoneticPr fontId="8"/>
  </si>
  <si>
    <t>5月時間外労働時間</t>
    <rPh sb="1" eb="2">
      <t>ガツ</t>
    </rPh>
    <rPh sb="2" eb="9">
      <t>ジカンガイロウドウジカン</t>
    </rPh>
    <phoneticPr fontId="8"/>
  </si>
  <si>
    <t>6月時間外労働時間</t>
    <rPh sb="1" eb="2">
      <t>ガツ</t>
    </rPh>
    <rPh sb="2" eb="9">
      <t>ジカンガイロウドウジカン</t>
    </rPh>
    <phoneticPr fontId="8"/>
  </si>
  <si>
    <t>4-6月時間外労働時間</t>
    <rPh sb="3" eb="4">
      <t>ガツ</t>
    </rPh>
    <rPh sb="4" eb="11">
      <t>ジカンガイロウドウジカン</t>
    </rPh>
    <phoneticPr fontId="8"/>
  </si>
  <si>
    <t>めも</t>
    <phoneticPr fontId="8"/>
  </si>
  <si>
    <t>45時間以上</t>
    <rPh sb="2" eb="6">
      <t>ジカンイジョウ</t>
    </rPh>
    <phoneticPr fontId="8"/>
  </si>
  <si>
    <t>45時間未満</t>
    <rPh sb="2" eb="6">
      <t>ジカンミマン</t>
    </rPh>
    <phoneticPr fontId="8"/>
  </si>
  <si>
    <t>異動</t>
    <rPh sb="0" eb="2">
      <t>イドウ</t>
    </rPh>
    <phoneticPr fontId="8"/>
  </si>
  <si>
    <t>担当顧客変更</t>
    <rPh sb="0" eb="6">
      <t>タントウコキャクヘンコウ</t>
    </rPh>
    <phoneticPr fontId="8"/>
  </si>
  <si>
    <t>3か月時間愛労働</t>
    <rPh sb="2" eb="3">
      <t>ゲツ</t>
    </rPh>
    <rPh sb="3" eb="8">
      <t>ジカンアイロウドウ</t>
    </rPh>
    <phoneticPr fontId="8"/>
  </si>
  <si>
    <r>
      <rPr>
        <sz val="10"/>
        <color rgb="FF000000"/>
        <rFont val="Malgun Gothic"/>
        <family val="2"/>
        <charset val="129"/>
      </rPr>
      <t>直近</t>
    </r>
    <r>
      <rPr>
        <sz val="10"/>
        <color rgb="FF000000"/>
        <rFont val="Arial"/>
        <family val="2"/>
      </rPr>
      <t>1</t>
    </r>
    <r>
      <rPr>
        <sz val="10"/>
        <color rgb="FF000000"/>
        <rFont val="游ゴシック"/>
        <family val="2"/>
        <charset val="128"/>
      </rPr>
      <t>か月</t>
    </r>
    <r>
      <rPr>
        <sz val="10"/>
        <color rgb="FF000000"/>
        <rFont val="Malgun Gothic"/>
        <family val="2"/>
        <charset val="129"/>
      </rPr>
      <t>時間外</t>
    </r>
    <r>
      <rPr>
        <sz val="10"/>
        <color rgb="FF000000"/>
        <rFont val="Microsoft JhengHei"/>
        <family val="2"/>
        <charset val="136"/>
      </rPr>
      <t>労働</t>
    </r>
    <rPh sb="0" eb="2">
      <t>チョッキン</t>
    </rPh>
    <rPh sb="4" eb="5">
      <t>ゲツ</t>
    </rPh>
    <rPh sb="5" eb="10">
      <t>ジカンガイロウドウ</t>
    </rPh>
    <phoneticPr fontId="8"/>
  </si>
  <si>
    <t>なし</t>
    <phoneticPr fontId="8"/>
  </si>
  <si>
    <t>あり</t>
    <phoneticPr fontId="8"/>
  </si>
  <si>
    <t>3か月時間外</t>
    <rPh sb="2" eb="3">
      <t>ゲツ</t>
    </rPh>
    <rPh sb="3" eb="6">
      <t>ジカンガイ</t>
    </rPh>
    <phoneticPr fontId="8"/>
  </si>
  <si>
    <t>45時間以下</t>
    <rPh sb="2" eb="6">
      <t>ジカンイカ</t>
    </rPh>
    <phoneticPr fontId="8"/>
  </si>
  <si>
    <t>1か月の時間外労働時間</t>
    <rPh sb="2" eb="3">
      <t>ゲツ</t>
    </rPh>
    <rPh sb="4" eb="11">
      <t>ジカンガイロウドウジカン</t>
    </rPh>
    <phoneticPr fontId="8"/>
  </si>
  <si>
    <t>20時間未満</t>
    <rPh sb="2" eb="6">
      <t>ジカンミマン</t>
    </rPh>
    <phoneticPr fontId="8"/>
  </si>
  <si>
    <t>20時間以上</t>
    <rPh sb="2" eb="6">
      <t>ジカンイジョウ</t>
    </rPh>
    <phoneticPr fontId="8"/>
  </si>
  <si>
    <t>担当顧客変更の有無</t>
    <rPh sb="0" eb="6">
      <t>タントウコキャクヘンコウ</t>
    </rPh>
    <rPh sb="7" eb="9">
      <t>ウム</t>
    </rPh>
    <phoneticPr fontId="8"/>
  </si>
  <si>
    <t>アテネ（不眠＋）</t>
    <rPh sb="4" eb="6">
      <t>フミン</t>
    </rPh>
    <phoneticPr fontId="8"/>
  </si>
  <si>
    <t>アテネ（不眠－）</t>
    <rPh sb="4" eb="6">
      <t>フミン</t>
    </rPh>
    <phoneticPr fontId="8"/>
  </si>
  <si>
    <t>15%以下</t>
    <rPh sb="3" eb="5">
      <t>イカ</t>
    </rPh>
    <phoneticPr fontId="8"/>
  </si>
  <si>
    <t>15より大</t>
    <rPh sb="4" eb="5">
      <t>ダイ</t>
    </rPh>
    <phoneticPr fontId="8"/>
  </si>
  <si>
    <t>スコア10除外</t>
    <rPh sb="5" eb="7">
      <t>ジョガイ</t>
    </rPh>
    <phoneticPr fontId="8"/>
  </si>
  <si>
    <t>バイオピリン</t>
    <phoneticPr fontId="10"/>
  </si>
  <si>
    <t>クレアチニン</t>
    <phoneticPr fontId="10"/>
  </si>
  <si>
    <t>かなり早かった</t>
  </si>
  <si>
    <t>メンタルアラートなし（-）</t>
    <phoneticPr fontId="10"/>
  </si>
  <si>
    <r>
      <rPr>
        <sz val="10"/>
        <color rgb="FF000000"/>
        <rFont val="ＭＳ ゴシック"/>
        <family val="3"/>
        <charset val="128"/>
      </rPr>
      <t>メンタルアラートあり（</t>
    </r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ＭＳ ゴシック"/>
        <family val="3"/>
        <charset val="128"/>
      </rPr>
      <t>）</t>
    </r>
    <phoneticPr fontId="10"/>
  </si>
  <si>
    <t>8月時間外労働時間</t>
    <rPh sb="1" eb="2">
      <t>ガツ</t>
    </rPh>
    <rPh sb="2" eb="9">
      <t>ジカンガイロウドウジカン</t>
    </rPh>
    <phoneticPr fontId="8"/>
  </si>
  <si>
    <t>9月時間外労働時間</t>
    <rPh sb="1" eb="2">
      <t>ガツ</t>
    </rPh>
    <rPh sb="2" eb="9">
      <t>ジカンガイロウドウジカン</t>
    </rPh>
    <phoneticPr fontId="8"/>
  </si>
  <si>
    <t>10月時間外労働時間</t>
    <rPh sb="2" eb="3">
      <t>ガツ</t>
    </rPh>
    <rPh sb="3" eb="10">
      <t>ジカンガイロウドウジカン</t>
    </rPh>
    <phoneticPr fontId="8"/>
  </si>
  <si>
    <t>8-10月時間外労働時間</t>
    <rPh sb="4" eb="5">
      <t>ガツ</t>
    </rPh>
    <rPh sb="5" eb="12">
      <t>ジカンガイロウドウジカン</t>
    </rPh>
    <phoneticPr fontId="8"/>
  </si>
  <si>
    <t>昇格・降格</t>
    <rPh sb="0" eb="2">
      <t>ショウカク</t>
    </rPh>
    <rPh sb="3" eb="5">
      <t>コウカク</t>
    </rPh>
    <phoneticPr fontId="8"/>
  </si>
  <si>
    <t>スコア</t>
    <phoneticPr fontId="8"/>
  </si>
  <si>
    <r>
      <rPr>
        <sz val="11"/>
        <color theme="1"/>
        <rFont val="Arial"/>
        <family val="3"/>
      </rPr>
      <t>1</t>
    </r>
    <r>
      <rPr>
        <sz val="11"/>
        <color theme="1"/>
        <rFont val="游ゴシック"/>
        <family val="3"/>
        <charset val="128"/>
      </rPr>
      <t>回目</t>
    </r>
    <r>
      <rPr>
        <sz val="11"/>
        <color theme="1"/>
        <rFont val="ＭＳ ゴシック"/>
        <family val="3"/>
        <charset val="128"/>
      </rPr>
      <t>バイオピリン</t>
    </r>
    <rPh sb="1" eb="3">
      <t>カイメ</t>
    </rPh>
    <phoneticPr fontId="8"/>
  </si>
  <si>
    <r>
      <rPr>
        <sz val="11"/>
        <color theme="1"/>
        <rFont val="Arial"/>
        <family val="3"/>
      </rPr>
      <t>1</t>
    </r>
    <r>
      <rPr>
        <sz val="11"/>
        <color theme="1"/>
        <rFont val="ＭＳ ゴシック"/>
        <family val="3"/>
        <charset val="128"/>
      </rPr>
      <t>回目クレアチニン</t>
    </r>
    <rPh sb="1" eb="3">
      <t>カイメ</t>
    </rPh>
    <phoneticPr fontId="8"/>
  </si>
  <si>
    <r>
      <t>1回目BP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  <scheme val="minor"/>
      </rPr>
      <t>CRE</t>
    </r>
    <r>
      <rPr>
        <sz val="11"/>
        <color theme="1"/>
        <rFont val="ＭＳ ゴシック"/>
        <family val="3"/>
        <charset val="128"/>
      </rPr>
      <t>補正後）</t>
    </r>
    <rPh sb="1" eb="3">
      <t>カイメ</t>
    </rPh>
    <rPh sb="9" eb="12">
      <t>ホセイゴ</t>
    </rPh>
    <phoneticPr fontId="10"/>
  </si>
  <si>
    <t>male</t>
    <phoneticPr fontId="8"/>
  </si>
  <si>
    <t>基準日</t>
    <rPh sb="0" eb="3">
      <t>キジュンビ</t>
    </rPh>
    <phoneticPr fontId="8"/>
  </si>
  <si>
    <r>
      <rPr>
        <sz val="10"/>
        <color rgb="FF000000"/>
        <rFont val="ＭＳ ゴシック"/>
        <family val="3"/>
        <charset val="128"/>
      </rPr>
      <t>メンタルアラートあり（</t>
    </r>
    <r>
      <rPr>
        <sz val="10"/>
        <color rgb="FF000000"/>
        <rFont val="Arial"/>
        <family val="2"/>
        <charset val="128"/>
        <scheme val="minor"/>
      </rPr>
      <t>+</t>
    </r>
    <r>
      <rPr>
        <sz val="10"/>
        <color rgb="FF000000"/>
        <rFont val="ＭＳ ゴシック"/>
        <family val="3"/>
        <charset val="128"/>
      </rPr>
      <t>）</t>
    </r>
    <phoneticPr fontId="10"/>
  </si>
  <si>
    <r>
      <rPr>
        <sz val="10"/>
        <color rgb="FF000000"/>
        <rFont val="ＭＳ ゴシック"/>
        <family val="3"/>
        <charset val="128"/>
      </rPr>
      <t>メンタルアラートあり（</t>
    </r>
    <r>
      <rPr>
        <sz val="10"/>
        <color rgb="FF000000"/>
        <rFont val="Arial"/>
        <family val="3"/>
      </rPr>
      <t>+</t>
    </r>
    <r>
      <rPr>
        <sz val="10"/>
        <color rgb="FF000000"/>
        <rFont val="游ゴシック"/>
        <family val="3"/>
        <charset val="128"/>
      </rPr>
      <t>）</t>
    </r>
    <phoneticPr fontId="8"/>
  </si>
  <si>
    <t>スコア2回目</t>
    <rPh sb="4" eb="6">
      <t>カイメ</t>
    </rPh>
    <phoneticPr fontId="8"/>
  </si>
  <si>
    <t>中央値</t>
    <rPh sb="0" eb="3">
      <t>チュウオウチ</t>
    </rPh>
    <phoneticPr fontId="8"/>
  </si>
  <si>
    <t>高ストレス</t>
    <rPh sb="0" eb="1">
      <t>コウ</t>
    </rPh>
    <phoneticPr fontId="8"/>
  </si>
  <si>
    <t>それ以外</t>
    <rPh sb="2" eb="4">
      <t>イガイ</t>
    </rPh>
    <phoneticPr fontId="8"/>
  </si>
  <si>
    <t>2回目</t>
    <rPh sb="1" eb="3">
      <t>カイメ</t>
    </rPh>
    <phoneticPr fontId="8"/>
  </si>
  <si>
    <t>1回目</t>
    <rPh sb="1" eb="3">
      <t>カイメ</t>
    </rPh>
    <phoneticPr fontId="8"/>
  </si>
  <si>
    <t>スコア1回目</t>
    <rPh sb="4" eb="6">
      <t>カイメ</t>
    </rPh>
    <phoneticPr fontId="8"/>
  </si>
  <si>
    <t>1回目</t>
    <rPh sb="1" eb="3">
      <t>カイメ</t>
    </rPh>
    <phoneticPr fontId="8"/>
  </si>
  <si>
    <t>2回目</t>
    <rPh sb="1" eb="3">
      <t>カイメ</t>
    </rPh>
    <phoneticPr fontId="8"/>
  </si>
  <si>
    <t>t-検定: 分散が等しくないと仮定した２標本による検定</t>
  </si>
  <si>
    <t>20時間未満</t>
    <rPh sb="2" eb="6">
      <t>ジカンミマン</t>
    </rPh>
    <phoneticPr fontId="8"/>
  </si>
  <si>
    <t>20時間以上</t>
    <rPh sb="2" eb="6">
      <t>ジカンイジョウ</t>
    </rPh>
    <phoneticPr fontId="8"/>
  </si>
  <si>
    <t>1回目</t>
    <rPh sb="1" eb="3">
      <t>カイメ</t>
    </rPh>
    <phoneticPr fontId="8"/>
  </si>
  <si>
    <t>2回目</t>
    <rPh sb="1" eb="3">
      <t>カイメ</t>
    </rPh>
    <phoneticPr fontId="8"/>
  </si>
  <si>
    <t>顧客変化の有無</t>
    <rPh sb="0" eb="4">
      <t>コキャクヘンカ</t>
    </rPh>
    <rPh sb="5" eb="7">
      <t>ウム</t>
    </rPh>
    <phoneticPr fontId="8"/>
  </si>
  <si>
    <t>昇格・降格の有無</t>
    <rPh sb="0" eb="2">
      <t>ショウカク</t>
    </rPh>
    <rPh sb="3" eb="5">
      <t>コウカク</t>
    </rPh>
    <rPh sb="6" eb="8">
      <t>ウム</t>
    </rPh>
    <phoneticPr fontId="8"/>
  </si>
  <si>
    <t>2回目（スコア10除外）</t>
    <rPh sb="1" eb="3">
      <t>カイメ</t>
    </rPh>
    <rPh sb="9" eb="11">
      <t>ジョガイ</t>
    </rPh>
    <phoneticPr fontId="8"/>
  </si>
  <si>
    <t>心身の反応</t>
    <phoneticPr fontId="8"/>
  </si>
  <si>
    <t>BP</t>
  </si>
  <si>
    <t>BP</t>
    <phoneticPr fontId="8"/>
  </si>
  <si>
    <t>R</t>
    <phoneticPr fontId="8"/>
  </si>
  <si>
    <t>ストレスに影響を与える因子</t>
    <rPh sb="5" eb="7">
      <t>エイキョウ</t>
    </rPh>
    <rPh sb="8" eb="9">
      <t>アタ</t>
    </rPh>
    <rPh sb="11" eb="13">
      <t>インシ</t>
    </rPh>
    <phoneticPr fontId="8"/>
  </si>
  <si>
    <t>アテネ</t>
    <phoneticPr fontId="8"/>
  </si>
  <si>
    <t>3か月の時間外</t>
    <rPh sb="2" eb="3">
      <t>ゲツ</t>
    </rPh>
    <rPh sb="4" eb="7">
      <t>ジカンガイ</t>
    </rPh>
    <phoneticPr fontId="8"/>
  </si>
  <si>
    <t>1か月の時間外</t>
    <rPh sb="2" eb="3">
      <t>ゲツ</t>
    </rPh>
    <rPh sb="4" eb="7">
      <t>ジカンガイ</t>
    </rPh>
    <phoneticPr fontId="8"/>
  </si>
  <si>
    <t>睡眠時間</t>
    <rPh sb="0" eb="4">
      <t>スイミンジカン</t>
    </rPh>
    <phoneticPr fontId="8"/>
  </si>
  <si>
    <t>睡眠時間</t>
    <rPh sb="0" eb="4">
      <t>スイミンジカン</t>
    </rPh>
    <phoneticPr fontId="8"/>
  </si>
  <si>
    <t>8月</t>
    <rPh sb="1" eb="2">
      <t>ガツ</t>
    </rPh>
    <phoneticPr fontId="10"/>
  </si>
  <si>
    <t>9月</t>
    <rPh sb="1" eb="2">
      <t>ガツ</t>
    </rPh>
    <phoneticPr fontId="10"/>
  </si>
  <si>
    <t>10月</t>
    <rPh sb="2" eb="3">
      <t>ガツ</t>
    </rPh>
    <phoneticPr fontId="10"/>
  </si>
  <si>
    <r>
      <t>1</t>
    </r>
    <r>
      <rPr>
        <sz val="10"/>
        <color rgb="FF000000"/>
        <rFont val="游ゴシック"/>
        <family val="3"/>
        <charset val="128"/>
      </rPr>
      <t>回目</t>
    </r>
    <rPh sb="1" eb="3">
      <t>カイメ</t>
    </rPh>
    <phoneticPr fontId="8"/>
  </si>
  <si>
    <t>2回目</t>
    <rPh sb="1" eb="3">
      <t>カイメ</t>
    </rPh>
    <phoneticPr fontId="8"/>
  </si>
  <si>
    <t>男性</t>
    <rPh sb="0" eb="2">
      <t>ダンセイ</t>
    </rPh>
    <phoneticPr fontId="8"/>
  </si>
  <si>
    <t>女性</t>
    <rPh sb="0" eb="2">
      <t>ジョセイ</t>
    </rPh>
    <phoneticPr fontId="8"/>
  </si>
  <si>
    <t>増加率</t>
    <rPh sb="0" eb="3">
      <t>ゾウカリツ</t>
    </rPh>
    <phoneticPr fontId="8"/>
  </si>
  <si>
    <r>
      <rPr>
        <sz val="10"/>
        <color rgb="FF000000"/>
        <rFont val="游ゴシック"/>
        <family val="2"/>
        <charset val="128"/>
      </rPr>
      <t>～</t>
    </r>
    <r>
      <rPr>
        <sz val="10"/>
        <color rgb="FF000000"/>
        <rFont val="Arial"/>
        <family val="2"/>
      </rPr>
      <t>99%</t>
    </r>
  </si>
  <si>
    <t>100～149％</t>
  </si>
  <si>
    <t>150～199%</t>
  </si>
  <si>
    <t>200～299%</t>
  </si>
  <si>
    <t>300%～</t>
  </si>
  <si>
    <r>
      <rPr>
        <sz val="11"/>
        <color theme="1"/>
        <rFont val="Arial"/>
        <family val="3"/>
      </rPr>
      <t>1</t>
    </r>
    <r>
      <rPr>
        <sz val="11"/>
        <color theme="1"/>
        <rFont val="游ゴシック"/>
        <family val="3"/>
        <charset val="128"/>
      </rPr>
      <t>回目</t>
    </r>
    <r>
      <rPr>
        <sz val="11"/>
        <color theme="1"/>
        <rFont val="ＭＳ ゴシック"/>
        <family val="3"/>
        <charset val="128"/>
      </rPr>
      <t>スコア</t>
    </r>
    <rPh sb="1" eb="3">
      <t>カイメ</t>
    </rPh>
    <phoneticPr fontId="8"/>
  </si>
  <si>
    <t>2回目/1回目スコア</t>
    <rPh sb="1" eb="3">
      <t>カイメ</t>
    </rPh>
    <rPh sb="5" eb="7">
      <t>カイメ</t>
    </rPh>
    <phoneticPr fontId="8"/>
  </si>
  <si>
    <t>2回目/1回目時間外労働時間</t>
    <rPh sb="1" eb="3">
      <t>カイメ</t>
    </rPh>
    <rPh sb="5" eb="7">
      <t>カイメ</t>
    </rPh>
    <rPh sb="7" eb="14">
      <t>ジカンガイロウドウジカン</t>
    </rPh>
    <phoneticPr fontId="8"/>
  </si>
  <si>
    <t>2回目/1回目 直近1ヵ月時間外労働時間</t>
    <rPh sb="1" eb="3">
      <t>カイメ</t>
    </rPh>
    <rPh sb="5" eb="7">
      <t>カイメ</t>
    </rPh>
    <rPh sb="8" eb="10">
      <t>チョッキン</t>
    </rPh>
    <rPh sb="12" eb="13">
      <t>ゲツ</t>
    </rPh>
    <rPh sb="13" eb="20">
      <t>ジカンガイロウドウジカン</t>
    </rPh>
    <phoneticPr fontId="8"/>
  </si>
  <si>
    <t>直近1カ月の時間外労働の差</t>
    <rPh sb="0" eb="2">
      <t>チョッキン</t>
    </rPh>
    <rPh sb="4" eb="5">
      <t>ゲツ</t>
    </rPh>
    <rPh sb="6" eb="11">
      <t>ジカンガイロウドウ</t>
    </rPh>
    <rPh sb="12" eb="13">
      <t>サ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</si>
  <si>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ＭＳ ゴシック"/>
        <family val="3"/>
        <charset val="128"/>
      </rPr>
      <t>直近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ＭＳ ゴシック"/>
        <family val="3"/>
        <charset val="128"/>
      </rPr>
      <t>ヵ月時間外労働時間</t>
    </r>
    <r>
      <rPr>
        <sz val="10"/>
        <color rgb="FF000000"/>
        <rFont val="游ゴシック"/>
        <family val="3"/>
        <charset val="128"/>
      </rPr>
      <t>（スコア変化</t>
    </r>
    <r>
      <rPr>
        <sz val="10"/>
        <color rgb="FF000000"/>
        <rFont val="Arial"/>
        <family val="3"/>
      </rPr>
      <t>1</t>
    </r>
    <r>
      <rPr>
        <sz val="10"/>
        <color rgb="FF000000"/>
        <rFont val="游ゴシック"/>
        <family val="3"/>
        <charset val="128"/>
      </rPr>
      <t>超群）</t>
    </r>
    <rPh sb="1" eb="3">
      <t>カイメ</t>
    </rPh>
    <rPh sb="5" eb="7">
      <t>カイメ</t>
    </rPh>
    <rPh sb="8" eb="10">
      <t>チョッキン</t>
    </rPh>
    <rPh sb="12" eb="13">
      <t>ゲツ</t>
    </rPh>
    <rPh sb="13" eb="20">
      <t>ジカンガイロウドウジカン</t>
    </rPh>
    <rPh sb="24" eb="26">
      <t>ヘンカ</t>
    </rPh>
    <rPh sb="27" eb="28">
      <t>チョウ</t>
    </rPh>
    <rPh sb="28" eb="29">
      <t>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</si>
  <si>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ＭＳ ゴシック"/>
        <family val="3"/>
        <charset val="128"/>
      </rPr>
      <t>直近1ヵ月時間外労働時間</t>
    </r>
    <r>
      <rPr>
        <sz val="10"/>
        <color rgb="FF000000"/>
        <rFont val="ＭＳ ゴシック"/>
        <family val="2"/>
        <charset val="128"/>
      </rPr>
      <t>（スコア変化1以下群）</t>
    </r>
    <rPh sb="1" eb="3">
      <t>カイメ</t>
    </rPh>
    <rPh sb="5" eb="7">
      <t>カイメ</t>
    </rPh>
    <rPh sb="8" eb="10">
      <t>チョッキン</t>
    </rPh>
    <rPh sb="12" eb="13">
      <t>ゲツ</t>
    </rPh>
    <rPh sb="13" eb="20">
      <t>ジカンガイロウドウジカン</t>
    </rPh>
    <rPh sb="24" eb="26">
      <t>ヘンカ</t>
    </rPh>
    <rPh sb="27" eb="30">
      <t>イカグン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</si>
  <si>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3"/>
      </rPr>
      <t>3</t>
    </r>
    <r>
      <rPr>
        <sz val="10"/>
        <color rgb="FF000000"/>
        <rFont val="游ゴシック"/>
        <family val="3"/>
        <charset val="128"/>
      </rPr>
      <t>か月</t>
    </r>
    <r>
      <rPr>
        <sz val="10"/>
        <color rgb="FF000000"/>
        <rFont val="ＭＳ ゴシック"/>
        <family val="3"/>
        <charset val="128"/>
      </rPr>
      <t>時間外労働時間</t>
    </r>
    <r>
      <rPr>
        <sz val="10"/>
        <color rgb="FF000000"/>
        <rFont val="游ゴシック"/>
        <family val="3"/>
        <charset val="128"/>
      </rPr>
      <t>（スコア変化</t>
    </r>
    <r>
      <rPr>
        <sz val="10"/>
        <color rgb="FF000000"/>
        <rFont val="Arial"/>
        <family val="3"/>
      </rPr>
      <t>1</t>
    </r>
    <r>
      <rPr>
        <sz val="10"/>
        <color rgb="FF000000"/>
        <rFont val="游ゴシック"/>
        <family val="3"/>
        <charset val="128"/>
      </rPr>
      <t>以下群）</t>
    </r>
    <rPh sb="1" eb="3">
      <t>カイメ</t>
    </rPh>
    <rPh sb="5" eb="7">
      <t>カイメ</t>
    </rPh>
    <rPh sb="9" eb="10">
      <t>ゲツ</t>
    </rPh>
    <rPh sb="10" eb="17">
      <t>ジカンガイロウドウジカン</t>
    </rPh>
    <rPh sb="21" eb="23">
      <t>ヘンカ</t>
    </rPh>
    <rPh sb="24" eb="27">
      <t>イカグン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</si>
  <si>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3"/>
      </rPr>
      <t>3</t>
    </r>
    <r>
      <rPr>
        <sz val="10"/>
        <color rgb="FF000000"/>
        <rFont val="游ゴシック"/>
        <family val="3"/>
        <charset val="128"/>
      </rPr>
      <t>か月</t>
    </r>
    <r>
      <rPr>
        <sz val="10"/>
        <color rgb="FF000000"/>
        <rFont val="ＭＳ ゴシック"/>
        <family val="3"/>
        <charset val="128"/>
      </rPr>
      <t>時間外労働時間</t>
    </r>
    <r>
      <rPr>
        <sz val="10"/>
        <color rgb="FF000000"/>
        <rFont val="游ゴシック"/>
        <family val="3"/>
        <charset val="128"/>
      </rPr>
      <t>（スコア変化</t>
    </r>
    <r>
      <rPr>
        <sz val="10"/>
        <color rgb="FF000000"/>
        <rFont val="Arial"/>
        <family val="3"/>
      </rPr>
      <t>1</t>
    </r>
    <r>
      <rPr>
        <sz val="10"/>
        <color rgb="FF000000"/>
        <rFont val="游ゴシック"/>
        <family val="3"/>
        <charset val="128"/>
      </rPr>
      <t>超群）</t>
    </r>
    <rPh sb="1" eb="3">
      <t>カイメ</t>
    </rPh>
    <rPh sb="5" eb="7">
      <t>カイメ</t>
    </rPh>
    <rPh sb="9" eb="10">
      <t>ゲツ</t>
    </rPh>
    <rPh sb="10" eb="17">
      <t>ジカンガイロウドウジカン</t>
    </rPh>
    <rPh sb="21" eb="23">
      <t>ヘンカ</t>
    </rPh>
    <rPh sb="24" eb="25">
      <t>チョウ</t>
    </rPh>
    <rPh sb="25" eb="26">
      <t>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</si>
  <si>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回目スコア</t>
    </r>
    <r>
      <rPr>
        <sz val="10"/>
        <color rgb="FF000000"/>
        <rFont val="游ゴシック"/>
        <family val="3"/>
        <charset val="128"/>
      </rPr>
      <t>（スコア変化1以下</t>
    </r>
    <r>
      <rPr>
        <sz val="10"/>
        <color rgb="FF000000"/>
        <rFont val="ＭＳ ゴシック"/>
        <family val="3"/>
        <charset val="128"/>
      </rPr>
      <t>群）</t>
    </r>
    <rPh sb="1" eb="3">
      <t>カイメ</t>
    </rPh>
    <rPh sb="5" eb="7">
      <t>カイメ</t>
    </rPh>
    <rPh sb="14" eb="16">
      <t>ヘンカ</t>
    </rPh>
    <rPh sb="17" eb="19">
      <t>イカ</t>
    </rPh>
    <rPh sb="19" eb="20">
      <t>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</si>
  <si>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回目スコア</t>
    </r>
    <r>
      <rPr>
        <sz val="10"/>
        <color rgb="FF000000"/>
        <rFont val="游ゴシック"/>
        <family val="3"/>
        <charset val="128"/>
      </rPr>
      <t>（スコア変化</t>
    </r>
    <r>
      <rPr>
        <sz val="10"/>
        <color rgb="FF000000"/>
        <rFont val="Arial"/>
        <family val="3"/>
      </rPr>
      <t>1</t>
    </r>
    <r>
      <rPr>
        <sz val="10"/>
        <color rgb="FF000000"/>
        <rFont val="游ゴシック"/>
        <family val="3"/>
        <charset val="128"/>
      </rPr>
      <t>以上群）</t>
    </r>
    <rPh sb="1" eb="3">
      <t>カイメ</t>
    </rPh>
    <rPh sb="5" eb="7">
      <t>カイメ</t>
    </rPh>
    <rPh sb="14" eb="16">
      <t>ヘンカ</t>
    </rPh>
    <rPh sb="17" eb="19">
      <t>イジョウ</t>
    </rPh>
    <rPh sb="19" eb="20">
      <t>グン</t>
    </rPh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</si>
  <si>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回目スコア変化率</t>
    </r>
    <rPh sb="1" eb="3">
      <t>カイメ</t>
    </rPh>
    <rPh sb="5" eb="7">
      <t>カイメ</t>
    </rPh>
    <rPh sb="10" eb="13">
      <t>ヘンカリツ</t>
    </rPh>
    <phoneticPr fontId="8"/>
  </si>
  <si>
    <t>〇</t>
    <phoneticPr fontId="8"/>
  </si>
  <si>
    <t>昇格・降格の有無</t>
    <rPh sb="0" eb="2">
      <t>ショウカク</t>
    </rPh>
    <rPh sb="3" eb="5">
      <t>コウカク</t>
    </rPh>
    <rPh sb="6" eb="8">
      <t>ウム</t>
    </rPh>
    <phoneticPr fontId="8"/>
  </si>
  <si>
    <t>昇格・降格なし</t>
    <rPh sb="0" eb="2">
      <t>ショウカク</t>
    </rPh>
    <rPh sb="3" eb="5">
      <t>コウカク</t>
    </rPh>
    <phoneticPr fontId="8"/>
  </si>
  <si>
    <t>昇格・降格あり</t>
    <rPh sb="0" eb="2">
      <t>ショウカク</t>
    </rPh>
    <rPh sb="3" eb="5">
      <t>コウカク</t>
    </rPh>
    <phoneticPr fontId="8"/>
  </si>
  <si>
    <t>スコア10除外</t>
    <rPh sb="5" eb="7">
      <t>ジョガイ</t>
    </rPh>
    <phoneticPr fontId="8"/>
  </si>
  <si>
    <t>あり</t>
    <phoneticPr fontId="8"/>
  </si>
  <si>
    <t>なし</t>
    <phoneticPr fontId="8"/>
  </si>
  <si>
    <t>担当顧客の変更</t>
    <rPh sb="0" eb="4">
      <t>タントウコキャク</t>
    </rPh>
    <rPh sb="5" eb="7">
      <t>ヘンコウ</t>
    </rPh>
    <phoneticPr fontId="8"/>
  </si>
  <si>
    <r>
      <t>2</t>
    </r>
    <r>
      <rPr>
        <sz val="10"/>
        <color rgb="FF000000"/>
        <rFont val="ＭＳ Ｐ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Ｐゴシック"/>
        <family val="3"/>
        <charset val="128"/>
      </rPr>
      <t>回目スコア変化率</t>
    </r>
    <phoneticPr fontId="8"/>
  </si>
  <si>
    <t>スコア除外</t>
    <rPh sb="3" eb="5">
      <t>ジョガイ</t>
    </rPh>
    <phoneticPr fontId="8"/>
  </si>
  <si>
    <t>中①</t>
  </si>
  <si>
    <t>低</t>
  </si>
  <si>
    <t>高</t>
  </si>
  <si>
    <t>高</t>
    <rPh sb="0" eb="1">
      <t>コウ</t>
    </rPh>
    <phoneticPr fontId="8"/>
  </si>
  <si>
    <t>低</t>
    <rPh sb="0" eb="1">
      <t>テイ</t>
    </rPh>
    <phoneticPr fontId="8"/>
  </si>
  <si>
    <t>直近1ヵ月</t>
    <rPh sb="0" eb="2">
      <t>チョッキン</t>
    </rPh>
    <rPh sb="4" eb="5">
      <t>ゲツ</t>
    </rPh>
    <phoneticPr fontId="8"/>
  </si>
  <si>
    <t>変化率</t>
    <rPh sb="0" eb="3">
      <t>ヘンカリツ</t>
    </rPh>
    <phoneticPr fontId="8"/>
  </si>
  <si>
    <t>直近3カ月</t>
    <rPh sb="0" eb="2">
      <t>チョッキン</t>
    </rPh>
    <rPh sb="4" eb="5">
      <t>ゲツ</t>
    </rPh>
    <phoneticPr fontId="8"/>
  </si>
  <si>
    <t>45未満</t>
    <rPh sb="2" eb="4">
      <t>ミマン</t>
    </rPh>
    <phoneticPr fontId="8"/>
  </si>
  <si>
    <t>45以上</t>
    <rPh sb="2" eb="4">
      <t>イジョウ</t>
    </rPh>
    <phoneticPr fontId="8"/>
  </si>
  <si>
    <t>20未満</t>
    <rPh sb="2" eb="4">
      <t>ミマン</t>
    </rPh>
    <phoneticPr fontId="8"/>
  </si>
  <si>
    <t>20以上</t>
    <rPh sb="2" eb="4">
      <t>イジョウ</t>
    </rPh>
    <phoneticPr fontId="8"/>
  </si>
  <si>
    <t>2回目/1回目　BP（CRE補正後）</t>
    <rPh sb="1" eb="3">
      <t>カイメ</t>
    </rPh>
    <rPh sb="5" eb="7">
      <t>カイメ</t>
    </rPh>
    <rPh sb="14" eb="17">
      <t>ホセイゴ</t>
    </rPh>
    <phoneticPr fontId="8"/>
  </si>
  <si>
    <t>スコア10除外</t>
    <rPh sb="5" eb="7">
      <t>ジョガイ</t>
    </rPh>
    <phoneticPr fontId="8"/>
  </si>
  <si>
    <r>
      <rPr>
        <sz val="10"/>
        <color rgb="FF000000"/>
        <rFont val="ＭＳ ゴシック"/>
        <family val="3"/>
        <charset val="128"/>
      </rPr>
      <t>昇格・</t>
    </r>
    <r>
      <rPr>
        <sz val="10"/>
        <color rgb="FF000000"/>
        <rFont val="游ゴシック"/>
        <family val="2"/>
        <charset val="128"/>
      </rPr>
      <t>降格の有無</t>
    </r>
    <rPh sb="0" eb="2">
      <t>ショウカク</t>
    </rPh>
    <rPh sb="3" eb="5">
      <t>コウカク</t>
    </rPh>
    <rPh sb="6" eb="8">
      <t>ウム</t>
    </rPh>
    <phoneticPr fontId="8"/>
  </si>
  <si>
    <t>あり</t>
    <phoneticPr fontId="8"/>
  </si>
  <si>
    <t>なし</t>
    <phoneticPr fontId="8"/>
  </si>
  <si>
    <r>
      <t>2</t>
    </r>
    <r>
      <rPr>
        <sz val="10"/>
        <color rgb="FF000000"/>
        <rFont val="ＭＳ ゴシック"/>
        <family val="3"/>
        <charset val="128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ＭＳ ゴシック"/>
        <family val="3"/>
        <charset val="128"/>
      </rPr>
      <t>回目　</t>
    </r>
    <r>
      <rPr>
        <sz val="10"/>
        <color rgb="FF000000"/>
        <rFont val="Arial"/>
        <family val="2"/>
        <scheme val="minor"/>
      </rPr>
      <t>BP</t>
    </r>
    <r>
      <rPr>
        <sz val="10"/>
        <color rgb="FF000000"/>
        <rFont val="ＭＳ ゴシック"/>
        <family val="3"/>
        <charset val="128"/>
      </rPr>
      <t>値（</t>
    </r>
    <r>
      <rPr>
        <sz val="10"/>
        <color rgb="FF000000"/>
        <rFont val="Arial"/>
        <family val="2"/>
        <scheme val="minor"/>
      </rPr>
      <t>CRE</t>
    </r>
    <r>
      <rPr>
        <sz val="10"/>
        <color rgb="FF000000"/>
        <rFont val="ＭＳ ゴシック"/>
        <family val="3"/>
        <charset val="128"/>
      </rPr>
      <t>補正後）</t>
    </r>
    <rPh sb="1" eb="3">
      <t>カイメ</t>
    </rPh>
    <rPh sb="5" eb="7">
      <t>カイメ</t>
    </rPh>
    <rPh sb="10" eb="11">
      <t>アタイ</t>
    </rPh>
    <rPh sb="15" eb="18">
      <t>ホセイゴ</t>
    </rPh>
    <phoneticPr fontId="8"/>
  </si>
  <si>
    <r>
      <t>2</t>
    </r>
    <r>
      <rPr>
        <sz val="10"/>
        <color rgb="FF000000"/>
        <rFont val="Arial"/>
        <family val="3"/>
        <charset val="128"/>
        <scheme val="minor"/>
      </rPr>
      <t>回目</t>
    </r>
    <r>
      <rPr>
        <sz val="10"/>
        <color rgb="FF000000"/>
        <rFont val="Arial"/>
        <family val="2"/>
        <scheme val="minor"/>
      </rPr>
      <t>/1</t>
    </r>
    <r>
      <rPr>
        <sz val="10"/>
        <color rgb="FF000000"/>
        <rFont val="Arial"/>
        <family val="3"/>
        <charset val="128"/>
        <scheme val="minor"/>
      </rPr>
      <t>回目　</t>
    </r>
    <r>
      <rPr>
        <sz val="10"/>
        <color rgb="FF000000"/>
        <rFont val="Arial"/>
        <family val="2"/>
        <scheme val="minor"/>
      </rPr>
      <t>BP</t>
    </r>
    <r>
      <rPr>
        <sz val="10"/>
        <color rgb="FF000000"/>
        <rFont val="Arial"/>
        <family val="3"/>
        <charset val="128"/>
        <scheme val="minor"/>
      </rPr>
      <t>値（</t>
    </r>
    <r>
      <rPr>
        <sz val="10"/>
        <color rgb="FF000000"/>
        <rFont val="Arial"/>
        <family val="2"/>
        <scheme val="minor"/>
      </rPr>
      <t>CRE</t>
    </r>
    <r>
      <rPr>
        <sz val="10"/>
        <color rgb="FF000000"/>
        <rFont val="Arial"/>
        <family val="3"/>
        <charset val="128"/>
        <scheme val="minor"/>
      </rPr>
      <t>補正後）</t>
    </r>
  </si>
  <si>
    <t>担当顧客変更</t>
    <rPh sb="0" eb="2">
      <t>タントウ</t>
    </rPh>
    <rPh sb="2" eb="4">
      <t>コキャク</t>
    </rPh>
    <rPh sb="4" eb="6">
      <t>ヘンコウ</t>
    </rPh>
    <phoneticPr fontId="8"/>
  </si>
  <si>
    <t>プレゼンティーズム</t>
    <phoneticPr fontId="8"/>
  </si>
  <si>
    <t>参考</t>
    <rPh sb="0" eb="2">
      <t>サンコウ</t>
    </rPh>
    <phoneticPr fontId="8"/>
  </si>
  <si>
    <t>1回目（スコア10除外）</t>
    <rPh sb="1" eb="3">
      <t>カイメ</t>
    </rPh>
    <rPh sb="9" eb="11">
      <t>ジョガイ</t>
    </rPh>
    <phoneticPr fontId="8"/>
  </si>
  <si>
    <t>心理的な仕事の負担（質）</t>
    <phoneticPr fontId="8"/>
  </si>
  <si>
    <t>心理的な仕事の負担（量）</t>
    <phoneticPr fontId="8"/>
  </si>
  <si>
    <t>自覚的な身体的負担</t>
    <rPh sb="0" eb="3">
      <t>ジカクテキ</t>
    </rPh>
    <rPh sb="4" eb="9">
      <t>シンタイテキフタン</t>
    </rPh>
    <phoneticPr fontId="8"/>
  </si>
  <si>
    <t>職場の対人関係のトレス</t>
    <rPh sb="0" eb="2">
      <t>ショクバ</t>
    </rPh>
    <rPh sb="3" eb="7">
      <t>タイジンカンケイ</t>
    </rPh>
    <phoneticPr fontId="8"/>
  </si>
  <si>
    <t>仕事のコントロール</t>
    <rPh sb="0" eb="2">
      <t>シゴト</t>
    </rPh>
    <phoneticPr fontId="8"/>
  </si>
  <si>
    <t>働き甲斐</t>
    <rPh sb="0" eb="1">
      <t>ハタラ</t>
    </rPh>
    <rPh sb="2" eb="4">
      <t>ガイ</t>
    </rPh>
    <phoneticPr fontId="8"/>
  </si>
  <si>
    <t>抑うつ（元データ）</t>
    <rPh sb="0" eb="1">
      <t>ヨク</t>
    </rPh>
    <rPh sb="4" eb="5">
      <t>モト</t>
    </rPh>
    <phoneticPr fontId="8"/>
  </si>
  <si>
    <t>元データ心理的な仕事の負担（量）</t>
    <rPh sb="0" eb="1">
      <t>モト</t>
    </rPh>
    <rPh sb="4" eb="7">
      <t>シンリテキ</t>
    </rPh>
    <phoneticPr fontId="8"/>
  </si>
  <si>
    <t>元データ家族・友人からのサポート</t>
    <rPh sb="0" eb="1">
      <t>モト</t>
    </rPh>
    <rPh sb="4" eb="6">
      <t>カゾク</t>
    </rPh>
    <rPh sb="7" eb="9">
      <t>ユウジン</t>
    </rPh>
    <phoneticPr fontId="8"/>
  </si>
  <si>
    <t>ストレスに影響を与えるその他因子</t>
  </si>
  <si>
    <t>心身のストレス反応</t>
    <rPh sb="0" eb="2">
      <t>シンシン</t>
    </rPh>
    <rPh sb="7" eb="9">
      <t>ハンノウ</t>
    </rPh>
    <phoneticPr fontId="8"/>
  </si>
  <si>
    <t>中項目</t>
    <rPh sb="0" eb="3">
      <t>チュウコウモク</t>
    </rPh>
    <phoneticPr fontId="8"/>
  </si>
  <si>
    <t>小項目</t>
    <rPh sb="0" eb="3">
      <t>ショウコウモク</t>
    </rPh>
    <phoneticPr fontId="8"/>
  </si>
  <si>
    <t>相関係数（R)</t>
    <rPh sb="0" eb="4">
      <t>ソウカンケイスウ</t>
    </rPh>
    <phoneticPr fontId="8"/>
  </si>
  <si>
    <t>BP/Cre</t>
    <phoneticPr fontId="8"/>
  </si>
  <si>
    <t>スコア10削除</t>
    <rPh sb="5" eb="7">
      <t>サクジョ</t>
    </rPh>
    <phoneticPr fontId="8"/>
  </si>
  <si>
    <t>1回目</t>
    <rPh sb="1" eb="3">
      <t>カイメ</t>
    </rPh>
    <phoneticPr fontId="8"/>
  </si>
  <si>
    <t>2回目</t>
    <rPh sb="1" eb="3">
      <t>カイメ</t>
    </rPh>
    <phoneticPr fontId="8"/>
  </si>
  <si>
    <r>
      <t>16</t>
    </r>
    <r>
      <rPr>
        <sz val="10"/>
        <color rgb="FF000000"/>
        <rFont val="MS UI Gothic"/>
        <family val="2"/>
        <charset val="1"/>
      </rPr>
      <t>‐</t>
    </r>
    <r>
      <rPr>
        <sz val="10"/>
        <color rgb="FF000000"/>
        <rFont val="Arial"/>
        <family val="2"/>
        <scheme val="major"/>
      </rPr>
      <t>20</t>
    </r>
  </si>
  <si>
    <t>21-25</t>
  </si>
  <si>
    <r>
      <t>26</t>
    </r>
    <r>
      <rPr>
        <sz val="10"/>
        <color rgb="FF000000"/>
        <rFont val="MS UI Gothic"/>
        <family val="2"/>
        <charset val="1"/>
      </rPr>
      <t>‐</t>
    </r>
    <r>
      <rPr>
        <sz val="10"/>
        <color rgb="FF000000"/>
        <rFont val="Arial"/>
        <family val="2"/>
        <scheme val="major"/>
      </rPr>
      <t>30</t>
    </r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</si>
  <si>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</si>
  <si>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</si>
  <si>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</si>
  <si>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</si>
  <si>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</si>
  <si>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</si>
  <si>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</si>
  <si>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</si>
  <si>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</si>
  <si>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</si>
  <si>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</si>
  <si>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</si>
  <si>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</si>
  <si>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16‐20</t>
  </si>
  <si>
    <t>26‐30</t>
  </si>
  <si>
    <r>
      <t>1</t>
    </r>
    <r>
      <rPr>
        <sz val="10"/>
        <color theme="1"/>
        <rFont val="MS Gothic"/>
        <family val="2"/>
        <charset val="128"/>
      </rPr>
      <t>回目キット</t>
    </r>
    <r>
      <rPr>
        <sz val="10"/>
        <color theme="1"/>
        <rFont val="Arial"/>
        <family val="2"/>
        <scheme val="major"/>
      </rPr>
      <t>No</t>
    </r>
    <rPh sb="1" eb="3">
      <t>カイメ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</si>
</sst>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);[Red]\(0.00\)"/>
    <numFmt numFmtId="177" formatCode="yyyy/m/d;@"/>
    <numFmt numFmtId="178" formatCode="h:mm;@"/>
    <numFmt numFmtId="179" formatCode="0.00_ "/>
  </numFmts>
  <fonts count="46">
    <font>
      <sz val="10"/>
      <color rgb="FF000000"/>
      <name val="Arial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28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6"/>
      <name val="Arial"/>
      <family val="2"/>
      <charset val="128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ＭＳ Ｐゴシック"/>
      <family val="2"/>
      <charset val="128"/>
    </font>
    <font>
      <b/>
      <sz val="10"/>
      <color theme="0"/>
      <name val="ＭＳ Ｐゴシック"/>
      <family val="3"/>
      <charset val="128"/>
    </font>
    <font>
      <b/>
      <sz val="10"/>
      <color theme="0"/>
      <name val="游ゴシック"/>
      <family val="2"/>
      <charset val="128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0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Malgun Gothic"/>
      <family val="2"/>
      <charset val="129"/>
    </font>
    <font>
      <sz val="10"/>
      <color rgb="FF000000"/>
      <name val="游ゴシック"/>
      <family val="2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Arial"/>
      <family val="2"/>
      <charset val="128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charset val="128"/>
      <scheme val="minor"/>
    </font>
    <font>
      <sz val="10"/>
      <color rgb="FF000000"/>
      <name val="Arial"/>
      <family val="2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charset val="129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</font>
    <font>
      <sz val="11"/>
      <color theme="1"/>
      <name val="游ゴシック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游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Arial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ＭＳ ゴシック"/>
      <family val="2"/>
      <charset val="128"/>
    </font>
    <font>
      <u/>
      <sz val="11"/>
      <color theme="10"/>
      <name val="Arial"/>
      <family val="2"/>
      <charset val="128"/>
      <scheme val="minor"/>
    </font>
    <font>
      <sz val="10"/>
      <name val="Arial"/>
      <family val="2"/>
    </font>
    <font>
      <sz val="10"/>
      <color rgb="FF000000"/>
      <name val="MS UI Gothic"/>
      <family val="2"/>
      <charset val="1"/>
    </font>
    <font>
      <sz val="10"/>
      <color theme="1"/>
      <name val="MS Gothic"/>
      <family val="2"/>
      <charset val="128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6" fillId="0" borderId="0">
      <alignment vertical="center"/>
    </xf>
    <xf numFmtId="0" fontId="5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/>
  </cellStyleXfs>
  <cellXfs count="100">
    <xf numFmtId="0" fontId="0" fillId="0" borderId="0" xfId="0"/>
    <xf numFmtId="0" fontId="7" fillId="0" borderId="0" xfId="0" applyFont="1"/>
    <xf numFmtId="9" fontId="7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6" fillId="0" borderId="1" xfId="1" applyBorder="1">
      <alignment vertical="center"/>
    </xf>
    <xf numFmtId="0" fontId="6" fillId="2" borderId="1" xfId="1" applyFill="1" applyBorder="1">
      <alignment vertical="center"/>
    </xf>
    <xf numFmtId="0" fontId="7" fillId="2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11" fillId="8" borderId="0" xfId="0" applyFont="1" applyFill="1"/>
    <xf numFmtId="0" fontId="12" fillId="8" borderId="0" xfId="0" applyFont="1" applyFill="1"/>
    <xf numFmtId="0" fontId="13" fillId="7" borderId="0" xfId="0" applyFont="1" applyFill="1"/>
    <xf numFmtId="0" fontId="7" fillId="9" borderId="0" xfId="0" applyFont="1" applyFill="1"/>
    <xf numFmtId="0" fontId="14" fillId="10" borderId="0" xfId="0" applyFont="1" applyFill="1"/>
    <xf numFmtId="0" fontId="12" fillId="10" borderId="0" xfId="0" applyFont="1" applyFill="1"/>
    <xf numFmtId="0" fontId="13" fillId="11" borderId="0" xfId="0" applyFont="1" applyFill="1"/>
    <xf numFmtId="0" fontId="7" fillId="12" borderId="0" xfId="0" applyFont="1" applyFill="1"/>
    <xf numFmtId="0" fontId="13" fillId="13" borderId="0" xfId="0" applyFont="1" applyFill="1"/>
    <xf numFmtId="0" fontId="11" fillId="14" borderId="0" xfId="0" applyFont="1" applyFill="1"/>
    <xf numFmtId="0" fontId="12" fillId="14" borderId="0" xfId="0" applyFont="1" applyFill="1"/>
    <xf numFmtId="0" fontId="13" fillId="8" borderId="0" xfId="0" applyFont="1" applyFill="1"/>
    <xf numFmtId="0" fontId="16" fillId="15" borderId="2" xfId="3" applyFont="1" applyFill="1" applyBorder="1">
      <alignment vertical="center"/>
    </xf>
    <xf numFmtId="0" fontId="15" fillId="0" borderId="0" xfId="3" applyBorder="1">
      <alignment vertical="center"/>
    </xf>
    <xf numFmtId="0" fontId="14" fillId="16" borderId="0" xfId="0" applyFont="1" applyFill="1"/>
    <xf numFmtId="0" fontId="12" fillId="16" borderId="0" xfId="0" applyFont="1" applyFill="1"/>
    <xf numFmtId="0" fontId="12" fillId="17" borderId="0" xfId="0" applyFont="1" applyFill="1"/>
    <xf numFmtId="0" fontId="12" fillId="3" borderId="0" xfId="0" applyFont="1" applyFill="1"/>
    <xf numFmtId="0" fontId="7" fillId="0" borderId="0" xfId="0" applyFont="1" applyAlignment="1">
      <alignment horizontal="center"/>
    </xf>
    <xf numFmtId="0" fontId="17" fillId="9" borderId="0" xfId="0" applyFont="1" applyFill="1"/>
    <xf numFmtId="0" fontId="18" fillId="0" borderId="0" xfId="0" applyFont="1"/>
    <xf numFmtId="0" fontId="22" fillId="0" borderId="0" xfId="0" applyFont="1"/>
    <xf numFmtId="0" fontId="23" fillId="0" borderId="0" xfId="0" applyFont="1"/>
    <xf numFmtId="0" fontId="0" fillId="0" borderId="3" xfId="0" applyBorder="1"/>
    <xf numFmtId="0" fontId="23" fillId="0" borderId="4" xfId="0" applyFont="1" applyBorder="1" applyAlignment="1">
      <alignment horizontal="center"/>
    </xf>
    <xf numFmtId="0" fontId="16" fillId="15" borderId="0" xfId="3" applyFont="1" applyFill="1" applyBorder="1">
      <alignment vertical="center"/>
    </xf>
    <xf numFmtId="31" fontId="0" fillId="0" borderId="0" xfId="0" applyNumberFormat="1"/>
    <xf numFmtId="0" fontId="15" fillId="0" borderId="0" xfId="3" applyNumberFormat="1" applyBorder="1">
      <alignment vertical="center"/>
    </xf>
    <xf numFmtId="0" fontId="15" fillId="0" borderId="0" xfId="3" applyNumberFormat="1" applyFill="1" applyBorder="1">
      <alignment vertical="center"/>
    </xf>
    <xf numFmtId="0" fontId="24" fillId="0" borderId="0" xfId="0" applyFont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9" fontId="0" fillId="0" borderId="0" xfId="0" applyNumberFormat="1"/>
    <xf numFmtId="0" fontId="23" fillId="12" borderId="1" xfId="0" applyFont="1" applyFill="1" applyBorder="1" applyAlignment="1">
      <alignment vertical="center"/>
    </xf>
    <xf numFmtId="0" fontId="6" fillId="18" borderId="1" xfId="1" applyFill="1" applyBorder="1">
      <alignment vertical="center"/>
    </xf>
    <xf numFmtId="0" fontId="27" fillId="0" borderId="0" xfId="0" applyFont="1"/>
    <xf numFmtId="0" fontId="0" fillId="2" borderId="1" xfId="0" applyFill="1" applyBorder="1" applyAlignment="1">
      <alignment vertical="center"/>
    </xf>
    <xf numFmtId="176" fontId="7" fillId="0" borderId="0" xfId="0" applyNumberFormat="1" applyFont="1"/>
    <xf numFmtId="176" fontId="0" fillId="0" borderId="0" xfId="0" applyNumberFormat="1"/>
    <xf numFmtId="177" fontId="16" fillId="15" borderId="2" xfId="3" applyNumberFormat="1" applyFont="1" applyFill="1" applyBorder="1">
      <alignment vertical="center"/>
    </xf>
    <xf numFmtId="177" fontId="15" fillId="0" borderId="0" xfId="3" applyNumberFormat="1" applyBorder="1">
      <alignment vertical="center"/>
    </xf>
    <xf numFmtId="177" fontId="0" fillId="0" borderId="0" xfId="0" applyNumberFormat="1"/>
    <xf numFmtId="0" fontId="0" fillId="0" borderId="5" xfId="0" applyBorder="1" applyAlignment="1">
      <alignment horizontal="right" vertical="center"/>
    </xf>
    <xf numFmtId="0" fontId="28" fillId="0" borderId="1" xfId="0" applyFont="1" applyBorder="1" applyAlignment="1">
      <alignment vertical="center"/>
    </xf>
    <xf numFmtId="0" fontId="30" fillId="2" borderId="1" xfId="1" applyFont="1" applyFill="1" applyBorder="1">
      <alignment vertical="center"/>
    </xf>
    <xf numFmtId="0" fontId="30" fillId="18" borderId="1" xfId="1" applyFont="1" applyFill="1" applyBorder="1">
      <alignment vertical="center"/>
    </xf>
    <xf numFmtId="0" fontId="4" fillId="18" borderId="1" xfId="1" applyFont="1" applyFill="1" applyBorder="1">
      <alignment vertical="center"/>
    </xf>
    <xf numFmtId="0" fontId="6" fillId="0" borderId="0" xfId="1">
      <alignment vertical="center"/>
    </xf>
    <xf numFmtId="0" fontId="33" fillId="19" borderId="1" xfId="1" applyFont="1" applyFill="1" applyBorder="1">
      <alignment vertical="center"/>
    </xf>
    <xf numFmtId="0" fontId="4" fillId="19" borderId="1" xfId="1" applyFont="1" applyFill="1" applyBorder="1">
      <alignment vertical="center"/>
    </xf>
    <xf numFmtId="0" fontId="4" fillId="2" borderId="1" xfId="1" applyFont="1" applyFill="1" applyBorder="1">
      <alignment vertical="center"/>
    </xf>
    <xf numFmtId="0" fontId="7" fillId="0" borderId="0" xfId="0" applyFont="1" applyAlignment="1">
      <alignment horizontal="right"/>
    </xf>
    <xf numFmtId="0" fontId="35" fillId="0" borderId="0" xfId="0" applyFont="1"/>
    <xf numFmtId="0" fontId="36" fillId="19" borderId="1" xfId="1" applyFont="1" applyFill="1" applyBorder="1">
      <alignment vertical="center"/>
    </xf>
    <xf numFmtId="0" fontId="36" fillId="0" borderId="0" xfId="1" applyFont="1">
      <alignment vertical="center"/>
    </xf>
    <xf numFmtId="0" fontId="39" fillId="0" borderId="1" xfId="0" applyFont="1" applyBorder="1" applyAlignment="1">
      <alignment vertical="center"/>
    </xf>
    <xf numFmtId="0" fontId="0" fillId="2" borderId="0" xfId="0" applyFill="1"/>
    <xf numFmtId="0" fontId="29" fillId="0" borderId="0" xfId="0" applyFont="1"/>
    <xf numFmtId="0" fontId="18" fillId="18" borderId="1" xfId="0" applyFont="1" applyFill="1" applyBorder="1" applyAlignment="1">
      <alignment vertical="center"/>
    </xf>
    <xf numFmtId="20" fontId="3" fillId="0" borderId="1" xfId="4" applyNumberFormat="1" applyBorder="1">
      <alignment vertical="center"/>
    </xf>
    <xf numFmtId="178" fontId="0" fillId="0" borderId="0" xfId="0" applyNumberFormat="1"/>
    <xf numFmtId="0" fontId="37" fillId="18" borderId="0" xfId="0" applyFont="1" applyFill="1"/>
    <xf numFmtId="0" fontId="0" fillId="18" borderId="0" xfId="0" applyFill="1"/>
    <xf numFmtId="0" fontId="40" fillId="0" borderId="0" xfId="0" applyFont="1"/>
    <xf numFmtId="0" fontId="3" fillId="12" borderId="1" xfId="4" applyFill="1" applyBorder="1">
      <alignment vertical="center"/>
    </xf>
    <xf numFmtId="0" fontId="3" fillId="0" borderId="1" xfId="4" applyBorder="1">
      <alignment vertical="center"/>
    </xf>
    <xf numFmtId="0" fontId="23" fillId="0" borderId="0" xfId="5"/>
    <xf numFmtId="0" fontId="18" fillId="0" borderId="0" xfId="5" applyFont="1"/>
    <xf numFmtId="0" fontId="22" fillId="0" borderId="0" xfId="5" applyFont="1"/>
    <xf numFmtId="0" fontId="18" fillId="20" borderId="0" xfId="0" applyFont="1" applyFill="1"/>
    <xf numFmtId="0" fontId="0" fillId="20" borderId="0" xfId="0" applyFill="1"/>
    <xf numFmtId="0" fontId="39" fillId="0" borderId="0" xfId="0" applyFont="1"/>
    <xf numFmtId="0" fontId="18" fillId="2" borderId="0" xfId="0" applyFont="1" applyFill="1"/>
    <xf numFmtId="0" fontId="0" fillId="4" borderId="0" xfId="0" applyFill="1"/>
    <xf numFmtId="0" fontId="28" fillId="0" borderId="0" xfId="0" applyFont="1"/>
    <xf numFmtId="0" fontId="0" fillId="0" borderId="1" xfId="0" applyBorder="1"/>
    <xf numFmtId="0" fontId="18" fillId="4" borderId="1" xfId="0" applyFont="1" applyFill="1" applyBorder="1"/>
    <xf numFmtId="0" fontId="29" fillId="0" borderId="1" xfId="0" applyFont="1" applyBorder="1"/>
    <xf numFmtId="179" fontId="18" fillId="4" borderId="1" xfId="0" applyNumberFormat="1" applyFont="1" applyFill="1" applyBorder="1"/>
    <xf numFmtId="179" fontId="0" fillId="0" borderId="1" xfId="0" applyNumberFormat="1" applyBorder="1"/>
    <xf numFmtId="179" fontId="0" fillId="0" borderId="0" xfId="0" applyNumberFormat="1"/>
    <xf numFmtId="0" fontId="35" fillId="0" borderId="0" xfId="5" applyFont="1"/>
    <xf numFmtId="49" fontId="23" fillId="0" borderId="0" xfId="5" applyNumberFormat="1"/>
    <xf numFmtId="49" fontId="35" fillId="0" borderId="0" xfId="5" applyNumberFormat="1" applyFont="1"/>
    <xf numFmtId="0" fontId="3" fillId="12" borderId="1" xfId="4" applyFill="1" applyBorder="1" applyAlignment="1">
      <alignment horizontal="center" vertical="center" wrapText="1"/>
    </xf>
    <xf numFmtId="0" fontId="3" fillId="12" borderId="1" xfId="4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</cellXfs>
  <cellStyles count="12">
    <cellStyle name="ハイパーリンク 2" xfId="10" xr:uid="{35976690-FCAE-42FE-B4DE-97DEB97B2D09}"/>
    <cellStyle name="標準" xfId="0" builtinId="0"/>
    <cellStyle name="標準 2" xfId="1" xr:uid="{12A6DC6D-2B84-433C-9EC1-FEC0D3F4DA5C}"/>
    <cellStyle name="標準 2 2" xfId="3" xr:uid="{131F5C82-85FC-4E79-8CF6-E2B1724F1283}"/>
    <cellStyle name="標準 2 3" xfId="6" xr:uid="{D358AE7A-402B-4AB8-9B1A-C1FA5DECFFE4}"/>
    <cellStyle name="標準 2 4" xfId="9" xr:uid="{69BC6FC7-64FB-4DFB-8AAB-4124F101B117}"/>
    <cellStyle name="標準 3" xfId="2" xr:uid="{0718653F-F077-407B-95C1-359143C33A87}"/>
    <cellStyle name="標準 3 2" xfId="7" xr:uid="{57B2C83F-8CD3-4C69-9C62-4974FC2D1315}"/>
    <cellStyle name="標準 3 3" xfId="11" xr:uid="{496E1D31-7EB8-429C-A6AD-71B24CCED1A2}"/>
    <cellStyle name="標準 4" xfId="4" xr:uid="{FEAFCD14-C8E1-48EB-A63D-B81031FDC725}"/>
    <cellStyle name="標準 4 2" xfId="8" xr:uid="{7FA07DDA-2376-4357-92F2-930181584DF2}"/>
    <cellStyle name="標準 5" xfId="5" xr:uid="{266031FA-C071-416A-8128-6131E4E91359}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フォームの回答 1-style" pivot="0" count="3" xr9:uid="{BD9AF776-8083-420C-BDBA-F7DEA2A582E8}">
      <tableStyleElement type="headerRow" dxfId="17"/>
      <tableStyleElement type="firstRowStripe" dxfId="16"/>
      <tableStyleElement type="secondRowStripe" dxfId="15"/>
    </tableStyle>
  </tableStyles>
  <colors>
    <mruColors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ストレスチェック小項目との相関解析!$E$3:$E$27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xVal>
          <c:yVal>
            <c:numRef>
              <c:f>ストレスチェック小項目との相関解析!$F$3:$F$27</c:f>
              <c:numCache>
                <c:formatCode>General</c:formatCode>
                <c:ptCount val="2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43BD-AACC-640796212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087072"/>
        <c:axId val="330082752"/>
      </c:scatterChart>
      <c:valAx>
        <c:axId val="33008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082752"/>
        <c:crosses val="autoZero"/>
        <c:crossBetween val="midCat"/>
      </c:valAx>
      <c:valAx>
        <c:axId val="3300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08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ストレスチェック小項目との相関解析!$AM$3:$AM$27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xVal>
          <c:yVal>
            <c:numRef>
              <c:f>ストレスチェック小項目との相関解析!$AN$3:$AN$27</c:f>
              <c:numCache>
                <c:formatCode>General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6-40AB-96A1-099B66D28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55408"/>
        <c:axId val="411755888"/>
      </c:scatterChart>
      <c:valAx>
        <c:axId val="41175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1755888"/>
        <c:crosses val="autoZero"/>
        <c:crossBetween val="midCat"/>
      </c:valAx>
      <c:valAx>
        <c:axId val="4117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175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'ストレスチェック小項目との相関解析（pp転記用）'!$B$31</c:f>
              <c:strCache>
                <c:ptCount val="1"/>
                <c:pt idx="0">
                  <c:v>家族・友人からのサポート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'ストレスチェック小項目との相関解析（pp転記用）'!$A$32:$A$56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xVal>
          <c:yVal>
            <c:numRef>
              <c:f>'ストレスチェック小項目との相関解析（pp転記用）'!$B$32:$B$56</c:f>
              <c:numCache>
                <c:formatCode>General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A-41ED-AC20-729F003D7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06976"/>
        <c:axId val="480409856"/>
      </c:scatterChart>
      <c:valAx>
        <c:axId val="48040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09856"/>
        <c:crosses val="autoZero"/>
        <c:crossBetween val="midCat"/>
      </c:valAx>
      <c:valAx>
        <c:axId val="4804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040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'1回目→2回目の変化'!$A$4:$B$4</c:f>
              <c:numCache>
                <c:formatCode>General</c:formatCode>
                <c:ptCount val="2"/>
                <c:pt idx="0">
                  <c:v>10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1-42E1-AB2D-A1FB7819A8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'1回目→2回目の変化'!$A$5:$B$5</c:f>
              <c:numCache>
                <c:formatCode>General</c:formatCode>
                <c:ptCount val="2"/>
                <c:pt idx="0">
                  <c:v>10</c:v>
                </c:pt>
                <c:pt idx="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1-42E1-AB2D-A1FB7819A8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'1回目→2回目の変化'!$A$6:$B$6</c:f>
              <c:numCache>
                <c:formatCode>General</c:formatCode>
                <c:ptCount val="2"/>
                <c:pt idx="0">
                  <c:v>10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1-42E1-AB2D-A1FB7819A8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'1回目→2回目の変化'!$A$7:$B$7</c:f>
              <c:numCache>
                <c:formatCode>General</c:formatCode>
                <c:ptCount val="2"/>
                <c:pt idx="0">
                  <c:v>10</c:v>
                </c:pt>
                <c:pt idx="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E1-42E1-AB2D-A1FB7819A8F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'1回目→2回目の変化'!$A$8:$B$8</c:f>
              <c:numCache>
                <c:formatCode>General</c:formatCode>
                <c:ptCount val="2"/>
                <c:pt idx="0">
                  <c:v>10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1-42E1-AB2D-A1FB7819A8F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'1回目→2回目の変化'!$A$9:$B$9</c:f>
              <c:numCache>
                <c:formatCode>General</c:formatCode>
                <c:ptCount val="2"/>
                <c:pt idx="0">
                  <c:v>32</c:v>
                </c:pt>
                <c:pt idx="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E1-42E1-AB2D-A1FB7819A8F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'1回目→2回目の変化'!$A$10:$B$10</c:f>
              <c:numCache>
                <c:formatCode>General</c:formatCode>
                <c:ptCount val="2"/>
                <c:pt idx="0">
                  <c:v>32</c:v>
                </c:pt>
                <c:pt idx="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E1-42E1-AB2D-A1FB7819A8F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'1回目→2回目の変化'!$A$11:$B$11</c:f>
              <c:numCache>
                <c:formatCode>General</c:formatCode>
                <c:ptCount val="2"/>
                <c:pt idx="0">
                  <c:v>35</c:v>
                </c:pt>
                <c:pt idx="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E1-42E1-AB2D-A1FB7819A8F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'1回目→2回目の変化'!$A$12:$B$12</c:f>
              <c:numCache>
                <c:formatCode>General</c:formatCode>
                <c:ptCount val="2"/>
                <c:pt idx="0">
                  <c:v>44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E1-42E1-AB2D-A1FB7819A8F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'1回目→2回目の変化'!$A$13:$B$13</c:f>
              <c:numCache>
                <c:formatCode>General</c:formatCode>
                <c:ptCount val="2"/>
                <c:pt idx="0">
                  <c:v>32</c:v>
                </c:pt>
                <c:pt idx="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E1-42E1-AB2D-A1FB7819A8F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'1回目→2回目の変化'!$A$14:$B$14</c:f>
              <c:numCache>
                <c:formatCode>General</c:formatCode>
                <c:ptCount val="2"/>
                <c:pt idx="0">
                  <c:v>33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E1-42E1-AB2D-A1FB7819A8F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'1回目→2回目の変化'!$A$15:$B$15</c:f>
              <c:numCache>
                <c:formatCode>General</c:formatCode>
                <c:ptCount val="2"/>
                <c:pt idx="0">
                  <c:v>26</c:v>
                </c:pt>
                <c:pt idx="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E1-42E1-AB2D-A1FB7819A8F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'1回目→2回目の変化'!$A$16:$B$16</c:f>
              <c:numCache>
                <c:formatCode>General</c:formatCode>
                <c:ptCount val="2"/>
                <c:pt idx="0">
                  <c:v>35</c:v>
                </c:pt>
                <c:pt idx="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E1-42E1-AB2D-A1FB7819A8F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'1回目→2回目の変化'!$A$17:$B$17</c:f>
              <c:numCache>
                <c:formatCode>General</c:formatCode>
                <c:ptCount val="2"/>
                <c:pt idx="0">
                  <c:v>31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E1-42E1-AB2D-A1FB7819A8F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'1回目→2回目の変化'!$A$18:$B$18</c:f>
              <c:numCache>
                <c:formatCode>General</c:formatCode>
                <c:ptCount val="2"/>
                <c:pt idx="0">
                  <c:v>48</c:v>
                </c:pt>
                <c:pt idx="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E1-42E1-AB2D-A1FB7819A8F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'1回目→2回目の変化'!$A$19:$B$19</c:f>
              <c:numCache>
                <c:formatCode>General</c:formatCode>
                <c:ptCount val="2"/>
                <c:pt idx="0">
                  <c:v>34</c:v>
                </c:pt>
                <c:pt idx="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E1-42E1-AB2D-A1FB7819A8F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'1回目→2回目の変化'!$A$20:$B$20</c:f>
              <c:numCache>
                <c:formatCode>General</c:formatCode>
                <c:ptCount val="2"/>
                <c:pt idx="0">
                  <c:v>27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E1-42E1-AB2D-A1FB7819A8F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'1回目→2回目の変化'!$A$21:$B$21</c:f>
              <c:numCache>
                <c:formatCode>General</c:formatCode>
                <c:ptCount val="2"/>
                <c:pt idx="0">
                  <c:v>44</c:v>
                </c:pt>
                <c:pt idx="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E1-42E1-AB2D-A1FB7819A8F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'1回目→2回目の変化'!$A$22:$B$22</c:f>
              <c:numCache>
                <c:formatCode>General</c:formatCode>
                <c:ptCount val="2"/>
                <c:pt idx="0">
                  <c:v>50</c:v>
                </c:pt>
                <c:pt idx="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E1-42E1-AB2D-A1FB7819A8F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'1回目→2回目の変化'!$A$23:$B$23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E1-42E1-AB2D-A1FB7819A8F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'1回目→2回目の変化'!$A$24:$B$24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E1-42E1-AB2D-A1FB7819A8F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'1回目→2回目の変化'!$A$25:$B$25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E1-42E1-AB2D-A1FB7819A8F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'1回目→2回目の変化'!$A$26:$B$26</c:f>
              <c:numCache>
                <c:formatCode>General</c:formatCode>
                <c:ptCount val="2"/>
                <c:pt idx="0">
                  <c:v>47</c:v>
                </c:pt>
                <c:pt idx="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E1-42E1-AB2D-A1FB7819A8F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'1回目→2回目の変化'!$A$27:$B$27</c:f>
              <c:numCache>
                <c:formatCode>General</c:formatCode>
                <c:ptCount val="2"/>
                <c:pt idx="0">
                  <c:v>62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E1-42E1-AB2D-A1FB7819A8F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'1回目→2回目の変化'!$A$28:$B$28</c:f>
              <c:numCache>
                <c:formatCode>General</c:formatCode>
                <c:ptCount val="2"/>
                <c:pt idx="0">
                  <c:v>64</c:v>
                </c:pt>
                <c:pt idx="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E1-42E1-AB2D-A1FB7819A8F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'1回目→2回目の変化'!$A$29:$B$29</c:f>
              <c:numCache>
                <c:formatCode>General</c:formatCode>
                <c:ptCount val="2"/>
                <c:pt idx="0">
                  <c:v>36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1E1-42E1-AB2D-A1FB7819A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772192"/>
        <c:axId val="371759392"/>
      </c:lineChart>
      <c:catAx>
        <c:axId val="12077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1759392"/>
        <c:crosses val="autoZero"/>
        <c:auto val="1"/>
        <c:lblAlgn val="ctr"/>
        <c:lblOffset val="100"/>
        <c:noMultiLvlLbl val="0"/>
      </c:catAx>
      <c:valAx>
        <c:axId val="3717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777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8-4A8B-8F62-72FF22ADBA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8-4A8B-8F62-72FF22ADBA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8-4A8B-8F62-72FF22ADBA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8-4A8B-8F62-72FF22ADBA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C8-4A8B-8F62-72FF22ADBA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'1回目→2回目の変化'!$F$4:$F$8</c:f>
              <c:strCache>
                <c:ptCount val="5"/>
                <c:pt idx="0">
                  <c:v>～99%</c:v>
                </c:pt>
                <c:pt idx="1">
                  <c:v>100～149％</c:v>
                </c:pt>
                <c:pt idx="2">
                  <c:v>150～199%</c:v>
                </c:pt>
                <c:pt idx="3">
                  <c:v>200～299%</c:v>
                </c:pt>
                <c:pt idx="4">
                  <c:v>300%～</c:v>
                </c:pt>
              </c:strCache>
            </c:strRef>
          </c:cat>
          <c:val>
            <c:numRef>
              <c:f>'1回目→2回目の変化'!$G$4:$G$8</c:f>
              <c:numCache>
                <c:formatCode>General</c:formatCode>
                <c:ptCount val="5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1-40F8-99F3-EF0BF78718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'2回目相関係数解析'!$G$4:$G$28</c:f>
              <c:numCache>
                <c:formatCode>General</c:formatCode>
                <c:ptCount val="25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3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9</c:v>
                </c:pt>
                <c:pt idx="16">
                  <c:v>13</c:v>
                </c:pt>
                <c:pt idx="17">
                  <c:v>15</c:v>
                </c:pt>
                <c:pt idx="18">
                  <c:v>5</c:v>
                </c:pt>
                <c:pt idx="19">
                  <c:v>9</c:v>
                </c:pt>
                <c:pt idx="20">
                  <c:v>13</c:v>
                </c:pt>
                <c:pt idx="21">
                  <c:v>6</c:v>
                </c:pt>
                <c:pt idx="22">
                  <c:v>10</c:v>
                </c:pt>
                <c:pt idx="23">
                  <c:v>9</c:v>
                </c:pt>
                <c:pt idx="24">
                  <c:v>12</c:v>
                </c:pt>
              </c:numCache>
            </c:numRef>
          </c:xVal>
          <c:yVal>
            <c:numRef>
              <c:f>'2回目相関係数解析'!$H$4:$H$28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6-4FF2-A3CC-EF7196B6C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693183"/>
        <c:axId val="1371694143"/>
      </c:scatterChart>
      <c:valAx>
        <c:axId val="137169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1694143"/>
        <c:crosses val="autoZero"/>
        <c:crossBetween val="midCat"/>
      </c:valAx>
      <c:valAx>
        <c:axId val="137169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7169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'2回目相関係数解析'!$D$4:$D$28</c:f>
              <c:numCache>
                <c:formatCode>General</c:formatCode>
                <c:ptCount val="2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19</c:v>
                </c:pt>
                <c:pt idx="4">
                  <c:v>22</c:v>
                </c:pt>
                <c:pt idx="5">
                  <c:v>25</c:v>
                </c:pt>
                <c:pt idx="6">
                  <c:v>37</c:v>
                </c:pt>
                <c:pt idx="7">
                  <c:v>23</c:v>
                </c:pt>
                <c:pt idx="8">
                  <c:v>17</c:v>
                </c:pt>
                <c:pt idx="9">
                  <c:v>25</c:v>
                </c:pt>
                <c:pt idx="10">
                  <c:v>28</c:v>
                </c:pt>
                <c:pt idx="11">
                  <c:v>14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24</c:v>
                </c:pt>
                <c:pt idx="16">
                  <c:v>24</c:v>
                </c:pt>
                <c:pt idx="17">
                  <c:v>33</c:v>
                </c:pt>
                <c:pt idx="18">
                  <c:v>21</c:v>
                </c:pt>
                <c:pt idx="19">
                  <c:v>27</c:v>
                </c:pt>
                <c:pt idx="20">
                  <c:v>26</c:v>
                </c:pt>
                <c:pt idx="21">
                  <c:v>21</c:v>
                </c:pt>
                <c:pt idx="22">
                  <c:v>25</c:v>
                </c:pt>
                <c:pt idx="23">
                  <c:v>30</c:v>
                </c:pt>
                <c:pt idx="24">
                  <c:v>34</c:v>
                </c:pt>
              </c:numCache>
            </c:numRef>
          </c:xVal>
          <c:yVal>
            <c:numRef>
              <c:f>'2回目相関係数解析'!$E$4:$E$28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1-4F31-BB43-17AAB0200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34000"/>
        <c:axId val="1444832560"/>
      </c:scatterChart>
      <c:valAx>
        <c:axId val="14448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32560"/>
        <c:crosses val="autoZero"/>
        <c:crossBetween val="midCat"/>
      </c:valAx>
      <c:valAx>
        <c:axId val="144483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'2回目相関係数解析'!$A$4:$A$28</c:f>
              <c:numCache>
                <c:formatCode>General</c:formatCode>
                <c:ptCount val="25"/>
                <c:pt idx="0">
                  <c:v>21</c:v>
                </c:pt>
                <c:pt idx="1">
                  <c:v>20</c:v>
                </c:pt>
                <c:pt idx="2">
                  <c:v>23</c:v>
                </c:pt>
                <c:pt idx="3">
                  <c:v>14</c:v>
                </c:pt>
                <c:pt idx="4">
                  <c:v>15</c:v>
                </c:pt>
                <c:pt idx="5">
                  <c:v>22</c:v>
                </c:pt>
                <c:pt idx="6">
                  <c:v>27</c:v>
                </c:pt>
                <c:pt idx="7">
                  <c:v>18</c:v>
                </c:pt>
                <c:pt idx="8">
                  <c:v>18</c:v>
                </c:pt>
                <c:pt idx="9">
                  <c:v>15</c:v>
                </c:pt>
                <c:pt idx="10">
                  <c:v>23</c:v>
                </c:pt>
                <c:pt idx="11">
                  <c:v>12</c:v>
                </c:pt>
                <c:pt idx="12">
                  <c:v>24</c:v>
                </c:pt>
                <c:pt idx="13">
                  <c:v>18</c:v>
                </c:pt>
                <c:pt idx="14">
                  <c:v>8</c:v>
                </c:pt>
                <c:pt idx="15">
                  <c:v>19</c:v>
                </c:pt>
                <c:pt idx="16">
                  <c:v>19</c:v>
                </c:pt>
                <c:pt idx="17">
                  <c:v>27</c:v>
                </c:pt>
                <c:pt idx="18">
                  <c:v>15</c:v>
                </c:pt>
                <c:pt idx="19">
                  <c:v>19</c:v>
                </c:pt>
                <c:pt idx="20">
                  <c:v>19</c:v>
                </c:pt>
                <c:pt idx="21">
                  <c:v>13</c:v>
                </c:pt>
                <c:pt idx="22">
                  <c:v>21</c:v>
                </c:pt>
                <c:pt idx="23">
                  <c:v>24</c:v>
                </c:pt>
                <c:pt idx="24">
                  <c:v>28</c:v>
                </c:pt>
              </c:numCache>
            </c:numRef>
          </c:xVal>
          <c:yVal>
            <c:numRef>
              <c:f>'2回目相関係数解析'!$B$4:$B$28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9-4205-911D-51E253527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710640"/>
        <c:axId val="1444711600"/>
      </c:scatterChart>
      <c:valAx>
        <c:axId val="14447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11600"/>
        <c:crosses val="autoZero"/>
        <c:crossBetween val="midCat"/>
      </c:valAx>
      <c:valAx>
        <c:axId val="14447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1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'2回目相関係数解析'!$J$4:$J$28</c:f>
              <c:numCache>
                <c:formatCode>0%</c:formatCode>
                <c:ptCount val="25"/>
                <c:pt idx="0">
                  <c:v>0.30000000000000004</c:v>
                </c:pt>
                <c:pt idx="1">
                  <c:v>0.30000000000000004</c:v>
                </c:pt>
                <c:pt idx="2">
                  <c:v>0.30000000000000004</c:v>
                </c:pt>
                <c:pt idx="3">
                  <c:v>9.9999999999999978E-2</c:v>
                </c:pt>
                <c:pt idx="4">
                  <c:v>0.4</c:v>
                </c:pt>
                <c:pt idx="5">
                  <c:v>0.19999999999999996</c:v>
                </c:pt>
                <c:pt idx="6">
                  <c:v>0.4</c:v>
                </c:pt>
                <c:pt idx="7">
                  <c:v>0.25</c:v>
                </c:pt>
                <c:pt idx="8">
                  <c:v>0.30000000000000004</c:v>
                </c:pt>
                <c:pt idx="9">
                  <c:v>0</c:v>
                </c:pt>
                <c:pt idx="10">
                  <c:v>0.30000000000000004</c:v>
                </c:pt>
                <c:pt idx="11">
                  <c:v>0.25</c:v>
                </c:pt>
                <c:pt idx="12">
                  <c:v>0.30000000000000004</c:v>
                </c:pt>
                <c:pt idx="13">
                  <c:v>0.5</c:v>
                </c:pt>
                <c:pt idx="14">
                  <c:v>9.9999999999999978E-2</c:v>
                </c:pt>
                <c:pt idx="15">
                  <c:v>0.4</c:v>
                </c:pt>
                <c:pt idx="16">
                  <c:v>9.9999999999999978E-2</c:v>
                </c:pt>
                <c:pt idx="17">
                  <c:v>0.6</c:v>
                </c:pt>
                <c:pt idx="18">
                  <c:v>9.9999999999999978E-2</c:v>
                </c:pt>
                <c:pt idx="19">
                  <c:v>0.19999999999999996</c:v>
                </c:pt>
                <c:pt idx="20">
                  <c:v>9.9999999999999978E-2</c:v>
                </c:pt>
                <c:pt idx="21">
                  <c:v>0.30000000000000004</c:v>
                </c:pt>
                <c:pt idx="22">
                  <c:v>0.19999999999999996</c:v>
                </c:pt>
                <c:pt idx="23">
                  <c:v>0.4</c:v>
                </c:pt>
                <c:pt idx="24">
                  <c:v>0.4</c:v>
                </c:pt>
              </c:numCache>
            </c:numRef>
          </c:xVal>
          <c:yVal>
            <c:numRef>
              <c:f>'2回目相関係数解析'!$K$4:$K$28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F-4D27-BE47-D051EF33A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714960"/>
        <c:axId val="1444709200"/>
      </c:scatterChart>
      <c:valAx>
        <c:axId val="14447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09200"/>
        <c:crosses val="autoZero"/>
        <c:crossBetween val="midCat"/>
      </c:valAx>
      <c:valAx>
        <c:axId val="14447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1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'2回目相関係数解析'!$M$4:$M$28</c:f>
              <c:numCache>
                <c:formatCode>General</c:formatCode>
                <c:ptCount val="2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12</c:v>
                </c:pt>
                <c:pt idx="13">
                  <c:v>10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3</c:v>
                </c:pt>
                <c:pt idx="20">
                  <c:v>6</c:v>
                </c:pt>
                <c:pt idx="21">
                  <c:v>2</c:v>
                </c:pt>
                <c:pt idx="22">
                  <c:v>8</c:v>
                </c:pt>
                <c:pt idx="23">
                  <c:v>10</c:v>
                </c:pt>
                <c:pt idx="24">
                  <c:v>13</c:v>
                </c:pt>
              </c:numCache>
            </c:numRef>
          </c:xVal>
          <c:yVal>
            <c:numRef>
              <c:f>'2回目相関係数解析'!$N$4:$N$28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D-47B8-A62D-8E68864C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741360"/>
        <c:axId val="1444744720"/>
      </c:scatterChart>
      <c:valAx>
        <c:axId val="144474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44720"/>
        <c:crosses val="autoZero"/>
        <c:crossBetween val="midCat"/>
      </c:valAx>
      <c:valAx>
        <c:axId val="14447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7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'2回目相関係数解析'!$S$4:$S$28</c:f>
              <c:numCache>
                <c:formatCode>General</c:formatCode>
                <c:ptCount val="25"/>
                <c:pt idx="0">
                  <c:v>31.7</c:v>
                </c:pt>
                <c:pt idx="1">
                  <c:v>19.399999999999999</c:v>
                </c:pt>
                <c:pt idx="2">
                  <c:v>1.5</c:v>
                </c:pt>
                <c:pt idx="3">
                  <c:v>9.6</c:v>
                </c:pt>
                <c:pt idx="4">
                  <c:v>40.200000000000003</c:v>
                </c:pt>
                <c:pt idx="5">
                  <c:v>4.9000000000000004</c:v>
                </c:pt>
                <c:pt idx="6">
                  <c:v>15.6</c:v>
                </c:pt>
                <c:pt idx="7">
                  <c:v>0.1</c:v>
                </c:pt>
                <c:pt idx="8">
                  <c:v>1.4</c:v>
                </c:pt>
                <c:pt idx="9">
                  <c:v>35.4</c:v>
                </c:pt>
                <c:pt idx="10">
                  <c:v>9.3000000000000007</c:v>
                </c:pt>
                <c:pt idx="11">
                  <c:v>0</c:v>
                </c:pt>
                <c:pt idx="12">
                  <c:v>4</c:v>
                </c:pt>
                <c:pt idx="13">
                  <c:v>3</c:v>
                </c:pt>
                <c:pt idx="14">
                  <c:v>24.4</c:v>
                </c:pt>
                <c:pt idx="15">
                  <c:v>0</c:v>
                </c:pt>
                <c:pt idx="16">
                  <c:v>15</c:v>
                </c:pt>
                <c:pt idx="17">
                  <c:v>8.3000000000000007</c:v>
                </c:pt>
                <c:pt idx="18">
                  <c:v>22.3</c:v>
                </c:pt>
                <c:pt idx="19">
                  <c:v>6.2</c:v>
                </c:pt>
                <c:pt idx="20">
                  <c:v>0.3</c:v>
                </c:pt>
                <c:pt idx="21">
                  <c:v>11.6</c:v>
                </c:pt>
                <c:pt idx="22">
                  <c:v>3.5</c:v>
                </c:pt>
                <c:pt idx="23">
                  <c:v>12.1</c:v>
                </c:pt>
                <c:pt idx="24">
                  <c:v>27.1</c:v>
                </c:pt>
              </c:numCache>
            </c:numRef>
          </c:xVal>
          <c:yVal>
            <c:numRef>
              <c:f>'2回目相関係数解析'!$T$4:$T$28</c:f>
              <c:numCache>
                <c:formatCode>General</c:formatCode>
                <c:ptCount val="25"/>
                <c:pt idx="0">
                  <c:v>1.61</c:v>
                </c:pt>
                <c:pt idx="1">
                  <c:v>0.59</c:v>
                </c:pt>
                <c:pt idx="2">
                  <c:v>0.53</c:v>
                </c:pt>
                <c:pt idx="3">
                  <c:v>0.99</c:v>
                </c:pt>
                <c:pt idx="4">
                  <c:v>1.03</c:v>
                </c:pt>
                <c:pt idx="5">
                  <c:v>1.22</c:v>
                </c:pt>
                <c:pt idx="6">
                  <c:v>0.68</c:v>
                </c:pt>
                <c:pt idx="7">
                  <c:v>1.74</c:v>
                </c:pt>
                <c:pt idx="8">
                  <c:v>0.85</c:v>
                </c:pt>
                <c:pt idx="9">
                  <c:v>0.88</c:v>
                </c:pt>
                <c:pt idx="10">
                  <c:v>1.0900000000000001</c:v>
                </c:pt>
                <c:pt idx="11">
                  <c:v>0.75</c:v>
                </c:pt>
                <c:pt idx="12">
                  <c:v>0.83</c:v>
                </c:pt>
                <c:pt idx="13">
                  <c:v>2.0699999999999998</c:v>
                </c:pt>
                <c:pt idx="14">
                  <c:v>0.8</c:v>
                </c:pt>
                <c:pt idx="15">
                  <c:v>1.07</c:v>
                </c:pt>
                <c:pt idx="16">
                  <c:v>1.1299999999999999</c:v>
                </c:pt>
                <c:pt idx="17">
                  <c:v>1.01</c:v>
                </c:pt>
                <c:pt idx="18">
                  <c:v>0.76</c:v>
                </c:pt>
                <c:pt idx="19">
                  <c:v>0.94</c:v>
                </c:pt>
                <c:pt idx="20">
                  <c:v>1.35</c:v>
                </c:pt>
                <c:pt idx="21">
                  <c:v>1.08</c:v>
                </c:pt>
                <c:pt idx="22">
                  <c:v>1.3</c:v>
                </c:pt>
                <c:pt idx="23">
                  <c:v>0.97</c:v>
                </c:pt>
                <c:pt idx="24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7-4EEA-B5AE-BB695FC4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25360"/>
        <c:axId val="1444815760"/>
      </c:scatterChart>
      <c:valAx>
        <c:axId val="14448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15760"/>
        <c:crosses val="autoZero"/>
        <c:crossBetween val="midCat"/>
      </c:valAx>
      <c:valAx>
        <c:axId val="14448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2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'2回目相関係数解析'!$Y$4:$Y$24</c:f>
              <c:numCache>
                <c:formatCode>General</c:formatCode>
                <c:ptCount val="21"/>
                <c:pt idx="0">
                  <c:v>0.68</c:v>
                </c:pt>
                <c:pt idx="1">
                  <c:v>0.52</c:v>
                </c:pt>
                <c:pt idx="2">
                  <c:v>0.87</c:v>
                </c:pt>
                <c:pt idx="3">
                  <c:v>0.54</c:v>
                </c:pt>
                <c:pt idx="4">
                  <c:v>0.64</c:v>
                </c:pt>
                <c:pt idx="5">
                  <c:v>0.96</c:v>
                </c:pt>
                <c:pt idx="6">
                  <c:v>0.94</c:v>
                </c:pt>
                <c:pt idx="7">
                  <c:v>0.59</c:v>
                </c:pt>
                <c:pt idx="8">
                  <c:v>0.71</c:v>
                </c:pt>
                <c:pt idx="9">
                  <c:v>1.24</c:v>
                </c:pt>
                <c:pt idx="10">
                  <c:v>0.63</c:v>
                </c:pt>
                <c:pt idx="11">
                  <c:v>0.91</c:v>
                </c:pt>
                <c:pt idx="12">
                  <c:v>0.63</c:v>
                </c:pt>
                <c:pt idx="13">
                  <c:v>0.99</c:v>
                </c:pt>
                <c:pt idx="14">
                  <c:v>0.62</c:v>
                </c:pt>
                <c:pt idx="15">
                  <c:v>0.52</c:v>
                </c:pt>
                <c:pt idx="16">
                  <c:v>0.69</c:v>
                </c:pt>
                <c:pt idx="17">
                  <c:v>0.69</c:v>
                </c:pt>
                <c:pt idx="18">
                  <c:v>0.65</c:v>
                </c:pt>
                <c:pt idx="19">
                  <c:v>1.27</c:v>
                </c:pt>
                <c:pt idx="20">
                  <c:v>0.88</c:v>
                </c:pt>
              </c:numCache>
            </c:numRef>
          </c:xVal>
          <c:yVal>
            <c:numRef>
              <c:f>'2回目相関係数解析'!$Z$4:$Z$24</c:f>
              <c:numCache>
                <c:formatCode>0%</c:formatCode>
                <c:ptCount val="21"/>
                <c:pt idx="0">
                  <c:v>9.9999999999999978E-2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0.19999999999999996</c:v>
                </c:pt>
                <c:pt idx="4">
                  <c:v>9.9999999999999978E-2</c:v>
                </c:pt>
                <c:pt idx="5">
                  <c:v>0.15000000000000002</c:v>
                </c:pt>
                <c:pt idx="6">
                  <c:v>0</c:v>
                </c:pt>
                <c:pt idx="7">
                  <c:v>0.7</c:v>
                </c:pt>
                <c:pt idx="8">
                  <c:v>0.4</c:v>
                </c:pt>
                <c:pt idx="9">
                  <c:v>0.19999999999999996</c:v>
                </c:pt>
                <c:pt idx="10">
                  <c:v>0.19999999999999996</c:v>
                </c:pt>
                <c:pt idx="11">
                  <c:v>0.25</c:v>
                </c:pt>
                <c:pt idx="12">
                  <c:v>0.19999999999999996</c:v>
                </c:pt>
                <c:pt idx="13">
                  <c:v>0.30000000000000004</c:v>
                </c:pt>
                <c:pt idx="14">
                  <c:v>0.4</c:v>
                </c:pt>
                <c:pt idx="15">
                  <c:v>0.5</c:v>
                </c:pt>
                <c:pt idx="16">
                  <c:v>0</c:v>
                </c:pt>
                <c:pt idx="17">
                  <c:v>0.30000000000000004</c:v>
                </c:pt>
                <c:pt idx="18">
                  <c:v>0.4</c:v>
                </c:pt>
                <c:pt idx="19">
                  <c:v>0.6</c:v>
                </c:pt>
                <c:pt idx="20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0-49D6-ADBF-459494B9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16720"/>
        <c:axId val="1444818160"/>
      </c:scatterChart>
      <c:valAx>
        <c:axId val="144481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18160"/>
        <c:crosses val="autoZero"/>
        <c:crossBetween val="midCat"/>
      </c:valAx>
      <c:valAx>
        <c:axId val="14448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1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'解析（ストレススコア）'!$J$3:$J$32</c:f>
              <c:numCache>
                <c:formatCode>General</c:formatCode>
                <c:ptCount val="30"/>
                <c:pt idx="0">
                  <c:v>16</c:v>
                </c:pt>
                <c:pt idx="1">
                  <c:v>15</c:v>
                </c:pt>
                <c:pt idx="2">
                  <c:v>21</c:v>
                </c:pt>
                <c:pt idx="3">
                  <c:v>23</c:v>
                </c:pt>
                <c:pt idx="4">
                  <c:v>17</c:v>
                </c:pt>
                <c:pt idx="5">
                  <c:v>14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17</c:v>
                </c:pt>
                <c:pt idx="11">
                  <c:v>14</c:v>
                </c:pt>
                <c:pt idx="12">
                  <c:v>14</c:v>
                </c:pt>
                <c:pt idx="13">
                  <c:v>18</c:v>
                </c:pt>
                <c:pt idx="14">
                  <c:v>22</c:v>
                </c:pt>
                <c:pt idx="15">
                  <c:v>17</c:v>
                </c:pt>
                <c:pt idx="16">
                  <c:v>18</c:v>
                </c:pt>
                <c:pt idx="17">
                  <c:v>14</c:v>
                </c:pt>
                <c:pt idx="18">
                  <c:v>23</c:v>
                </c:pt>
                <c:pt idx="19">
                  <c:v>18</c:v>
                </c:pt>
                <c:pt idx="20">
                  <c:v>26</c:v>
                </c:pt>
                <c:pt idx="21">
                  <c:v>24</c:v>
                </c:pt>
                <c:pt idx="22">
                  <c:v>25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24</c:v>
                </c:pt>
                <c:pt idx="27">
                  <c:v>24</c:v>
                </c:pt>
                <c:pt idx="28">
                  <c:v>27</c:v>
                </c:pt>
                <c:pt idx="29">
                  <c:v>24</c:v>
                </c:pt>
              </c:numCache>
            </c:numRef>
          </c:xVal>
          <c:yVal>
            <c:numRef>
              <c:f>'解析（ストレススコア）'!$K$3:$K$32</c:f>
              <c:numCache>
                <c:formatCode>General</c:formatCode>
                <c:ptCount val="30"/>
                <c:pt idx="0">
                  <c:v>34</c:v>
                </c:pt>
                <c:pt idx="1">
                  <c:v>26</c:v>
                </c:pt>
                <c:pt idx="2">
                  <c:v>10</c:v>
                </c:pt>
                <c:pt idx="3">
                  <c:v>10</c:v>
                </c:pt>
                <c:pt idx="4">
                  <c:v>32</c:v>
                </c:pt>
                <c:pt idx="5">
                  <c:v>47</c:v>
                </c:pt>
                <c:pt idx="6">
                  <c:v>10</c:v>
                </c:pt>
                <c:pt idx="7">
                  <c:v>30</c:v>
                </c:pt>
                <c:pt idx="8">
                  <c:v>10</c:v>
                </c:pt>
                <c:pt idx="9">
                  <c:v>62</c:v>
                </c:pt>
                <c:pt idx="10">
                  <c:v>32</c:v>
                </c:pt>
                <c:pt idx="11">
                  <c:v>46</c:v>
                </c:pt>
                <c:pt idx="12">
                  <c:v>32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50</c:v>
                </c:pt>
                <c:pt idx="17">
                  <c:v>31</c:v>
                </c:pt>
                <c:pt idx="18">
                  <c:v>35</c:v>
                </c:pt>
                <c:pt idx="19">
                  <c:v>35</c:v>
                </c:pt>
                <c:pt idx="20">
                  <c:v>44</c:v>
                </c:pt>
                <c:pt idx="21">
                  <c:v>27</c:v>
                </c:pt>
                <c:pt idx="22">
                  <c:v>48</c:v>
                </c:pt>
                <c:pt idx="23">
                  <c:v>36</c:v>
                </c:pt>
                <c:pt idx="24">
                  <c:v>10</c:v>
                </c:pt>
                <c:pt idx="25">
                  <c:v>26</c:v>
                </c:pt>
                <c:pt idx="26">
                  <c:v>10</c:v>
                </c:pt>
                <c:pt idx="27">
                  <c:v>33</c:v>
                </c:pt>
                <c:pt idx="28">
                  <c:v>64</c:v>
                </c:pt>
                <c:pt idx="29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4-4823-BC83-BFD40CCA5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2159"/>
        <c:axId val="17543599"/>
      </c:scatterChart>
      <c:valAx>
        <c:axId val="1754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43599"/>
        <c:crosses val="autoZero"/>
        <c:crossBetween val="midCat"/>
      </c:valAx>
      <c:valAx>
        <c:axId val="1754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4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年齢分布!$E$2</c:f>
              <c:strCache>
                <c:ptCount val="1"/>
                <c:pt idx="0">
                  <c:v>男性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年齢分布!$D$3:$D$9</c:f>
              <c:strCache>
                <c:ptCount val="7"/>
                <c:pt idx="0">
                  <c:v>20～24</c:v>
                </c:pt>
                <c:pt idx="1">
                  <c:v>25～29</c:v>
                </c:pt>
                <c:pt idx="2">
                  <c:v>30～34</c:v>
                </c:pt>
                <c:pt idx="3">
                  <c:v>35～39</c:v>
                </c:pt>
                <c:pt idx="4">
                  <c:v>40～44</c:v>
                </c:pt>
                <c:pt idx="5">
                  <c:v>45～49</c:v>
                </c:pt>
                <c:pt idx="6">
                  <c:v>50～54</c:v>
                </c:pt>
              </c:strCache>
            </c:strRef>
          </c:cat>
          <c:val>
            <c:numRef>
              <c:f>年齢分布!$E$3:$E$9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2-472C-8B34-52260C6A5C87}"/>
            </c:ext>
          </c:extLst>
        </c:ser>
        <c:ser>
          <c:idx val="1"/>
          <c:order val="1"/>
          <c:tx>
            <c:strRef>
              <c:f>年齢分布!$F$2</c:f>
              <c:strCache>
                <c:ptCount val="1"/>
                <c:pt idx="0">
                  <c:v>女性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年齢分布!$D$3:$D$9</c:f>
              <c:strCache>
                <c:ptCount val="7"/>
                <c:pt idx="0">
                  <c:v>20～24</c:v>
                </c:pt>
                <c:pt idx="1">
                  <c:v>25～29</c:v>
                </c:pt>
                <c:pt idx="2">
                  <c:v>30～34</c:v>
                </c:pt>
                <c:pt idx="3">
                  <c:v>35～39</c:v>
                </c:pt>
                <c:pt idx="4">
                  <c:v>40～44</c:v>
                </c:pt>
                <c:pt idx="5">
                  <c:v>45～49</c:v>
                </c:pt>
                <c:pt idx="6">
                  <c:v>50～54</c:v>
                </c:pt>
              </c:strCache>
            </c:strRef>
          </c:cat>
          <c:val>
            <c:numRef>
              <c:f>年齢分布!$F$3:$F$9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2-472C-8B34-52260C6A5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9349663"/>
        <c:axId val="1689347263"/>
      </c:barChart>
      <c:catAx>
        <c:axId val="16893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347263"/>
        <c:crosses val="autoZero"/>
        <c:auto val="1"/>
        <c:lblAlgn val="ctr"/>
        <c:lblOffset val="100"/>
        <c:noMultiLvlLbl val="0"/>
      </c:catAx>
      <c:valAx>
        <c:axId val="168934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34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スコア分布!$A$35:$A$64</c:f>
              <c:numCache>
                <c:formatCode>General</c:formatCode>
                <c:ptCount val="30"/>
                <c:pt idx="0">
                  <c:v>0.1</c:v>
                </c:pt>
                <c:pt idx="1">
                  <c:v>0.47</c:v>
                </c:pt>
                <c:pt idx="2">
                  <c:v>0.51</c:v>
                </c:pt>
                <c:pt idx="3">
                  <c:v>0.52</c:v>
                </c:pt>
                <c:pt idx="4">
                  <c:v>0.52</c:v>
                </c:pt>
                <c:pt idx="5">
                  <c:v>0.54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0.59</c:v>
                </c:pt>
                <c:pt idx="9">
                  <c:v>0.6</c:v>
                </c:pt>
                <c:pt idx="10">
                  <c:v>0.62</c:v>
                </c:pt>
                <c:pt idx="11">
                  <c:v>0.62</c:v>
                </c:pt>
                <c:pt idx="12">
                  <c:v>0.63</c:v>
                </c:pt>
                <c:pt idx="13">
                  <c:v>0.63</c:v>
                </c:pt>
                <c:pt idx="14">
                  <c:v>0.64</c:v>
                </c:pt>
                <c:pt idx="15">
                  <c:v>0.65</c:v>
                </c:pt>
                <c:pt idx="16">
                  <c:v>0.68</c:v>
                </c:pt>
                <c:pt idx="17">
                  <c:v>0.69</c:v>
                </c:pt>
                <c:pt idx="18">
                  <c:v>0.69</c:v>
                </c:pt>
                <c:pt idx="19">
                  <c:v>0.71</c:v>
                </c:pt>
                <c:pt idx="20">
                  <c:v>0.87</c:v>
                </c:pt>
                <c:pt idx="21">
                  <c:v>0.88</c:v>
                </c:pt>
                <c:pt idx="22">
                  <c:v>0.9</c:v>
                </c:pt>
                <c:pt idx="23">
                  <c:v>0.91</c:v>
                </c:pt>
                <c:pt idx="24">
                  <c:v>0.94</c:v>
                </c:pt>
                <c:pt idx="25">
                  <c:v>0.96</c:v>
                </c:pt>
                <c:pt idx="26">
                  <c:v>0.99</c:v>
                </c:pt>
                <c:pt idx="27">
                  <c:v>1.06</c:v>
                </c:pt>
                <c:pt idx="28">
                  <c:v>1.24</c:v>
                </c:pt>
                <c:pt idx="29">
                  <c:v>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3-40BD-AF15-1D408E27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280543"/>
        <c:axId val="1689299743"/>
      </c:barChart>
      <c:catAx>
        <c:axId val="16892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299743"/>
        <c:crosses val="autoZero"/>
        <c:auto val="1"/>
        <c:lblAlgn val="ctr"/>
        <c:lblOffset val="100"/>
        <c:noMultiLvlLbl val="0"/>
      </c:catAx>
      <c:valAx>
        <c:axId val="16892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928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1</a:t>
            </a:r>
            <a:r>
              <a:rPr lang="ja-JP" altLang="en-US"/>
              <a:t>回目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スコア分布!$H$4:$H$11</c:f>
              <c:strCache>
                <c:ptCount val="8"/>
                <c:pt idx="0">
                  <c:v>26‐30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51-55</c:v>
                </c:pt>
                <c:pt idx="6">
                  <c:v>56-60</c:v>
                </c:pt>
                <c:pt idx="7">
                  <c:v>61-65</c:v>
                </c:pt>
              </c:strCache>
            </c:strRef>
          </c:cat>
          <c:val>
            <c:numRef>
              <c:f>スコア分布!$I$4:$I$11</c:f>
              <c:numCache>
                <c:formatCode>General</c:formatCode>
                <c:ptCount val="8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2-4BE5-AAE2-4641FEE9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86976943"/>
        <c:axId val="386977423"/>
      </c:barChart>
      <c:catAx>
        <c:axId val="3869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977423"/>
        <c:crosses val="autoZero"/>
        <c:auto val="1"/>
        <c:lblAlgn val="ctr"/>
        <c:lblOffset val="100"/>
        <c:noMultiLvlLbl val="0"/>
      </c:catAx>
      <c:valAx>
        <c:axId val="3869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97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</a:t>
            </a:r>
            <a:r>
              <a:rPr lang="ja-JP" altLang="en-US"/>
              <a:t>回目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スコア分布!$L$4:$L$15</c:f>
              <c:strCache>
                <c:ptCount val="12"/>
                <c:pt idx="0">
                  <c:v>26‐30</c:v>
                </c:pt>
                <c:pt idx="1">
                  <c:v>31-35</c:v>
                </c:pt>
                <c:pt idx="2">
                  <c:v>36-40</c:v>
                </c:pt>
                <c:pt idx="3">
                  <c:v>41-45</c:v>
                </c:pt>
                <c:pt idx="4">
                  <c:v>46-50</c:v>
                </c:pt>
                <c:pt idx="5">
                  <c:v>51-55</c:v>
                </c:pt>
                <c:pt idx="6">
                  <c:v>56-60</c:v>
                </c:pt>
                <c:pt idx="7">
                  <c:v>61-65</c:v>
                </c:pt>
                <c:pt idx="8">
                  <c:v>66-70</c:v>
                </c:pt>
                <c:pt idx="9">
                  <c:v>71-75</c:v>
                </c:pt>
                <c:pt idx="10">
                  <c:v>76-80</c:v>
                </c:pt>
                <c:pt idx="11">
                  <c:v>81-85</c:v>
                </c:pt>
              </c:strCache>
            </c:strRef>
          </c:cat>
          <c:val>
            <c:numRef>
              <c:f>スコア分布!$M$4:$M$15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9-4812-92B4-F88D154E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5937935"/>
        <c:axId val="85935055"/>
      </c:barChart>
      <c:catAx>
        <c:axId val="8593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35055"/>
        <c:crosses val="autoZero"/>
        <c:auto val="1"/>
        <c:lblAlgn val="ctr"/>
        <c:lblOffset val="100"/>
        <c:noMultiLvlLbl val="0"/>
      </c:catAx>
      <c:valAx>
        <c:axId val="8593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3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</cx:chartData>
  <cx:chart>
    <cx:title pos="t" align="ctr" overlay="0"/>
    <cx:plotArea>
      <cx:plotAreaRegion>
        <cx:series layoutId="boxWhisker" uniqueId="{3A0E7296-ACD1-47BF-BDE2-557569156FDF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54E555-4C1B-4BEB-84DD-CE00C58611EF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</cx:chartData>
  <cx:chart>
    <cx:title pos="t" align="ctr" overlay="0"/>
    <cx:plotArea>
      <cx:plotAreaRegion>
        <cx:series layoutId="boxWhisker" uniqueId="{EA948DC8-4A97-4778-A8BE-2E77750520E6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05BD35A-FADB-44CC-94BD-F955A5E4776B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/>
    <cx:plotArea>
      <cx:plotAreaRegion>
        <cx:series layoutId="boxWhisker" uniqueId="{9BD1B0E7-BF86-45F3-8B8A-8627A4BEBCBD}">
          <cx:tx>
            <cx:txData>
              <cx:f>_xlchart.v1.6</cx:f>
              <cx:v>昇格・降格なし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D650C0E-91D0-45E8-B8C1-9C0CE51A2BA5}">
          <cx:tx>
            <cx:txData>
              <cx:f>_xlchart.v1.8</cx:f>
              <cx:v>昇格・降格あり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/>
    <cx:plotArea>
      <cx:plotAreaRegion>
        <cx:series layoutId="boxWhisker" uniqueId="{22D258B7-52BC-4221-9C3D-1E14C2925E6F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7D24593-4AFC-4764-AEF2-2360A974AF9A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boxWhisker" uniqueId="{EE118BB9-3A6E-463F-9B9D-9D825A56A991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BA3261A-942B-417E-BADB-2A45591E683B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</cx:chartData>
  <cx:chart>
    <cx:title pos="t" align="ctr" overlay="0"/>
    <cx:plotArea>
      <cx:plotAreaRegion>
        <cx:series layoutId="boxWhisker" uniqueId="{FFB7B3E1-75AB-4D8E-B5A8-AD9EBDAD6725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DDFC4AF-7034-418F-B434-C432250E3752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_xlchart.v1.17</cx:f>
      </cx:numDim>
    </cx:data>
  </cx:chartData>
  <cx:chart>
    <cx:title pos="t" align="ctr" overlay="0"/>
    <cx:plotArea>
      <cx:plotAreaRegion>
        <cx:series layoutId="boxWhisker" uniqueId="{14BE932E-CA9B-4238-A23A-403A8BA48F42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5E8D348-B2E7-4883-B222-B8BB9A127402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boxWhisker" uniqueId="{63ED986D-EEB9-4FCB-AE28-022F7DC804E2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52EAD48-BC69-4238-B281-3443E931164B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BE329ADD-4ED1-44BB-905A-4E9585B52D06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52011EF-A770-4060-A401-FC6F2D5A95CC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</cx:chartData>
  <cx:chart>
    <cx:title pos="t" align="ctr" overlay="0"/>
    <cx:plotArea>
      <cx:plotAreaRegion>
        <cx:series layoutId="boxWhisker" uniqueId="{755029CB-B8D2-49CB-8295-76D3A5853D9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5332D9-D79A-454E-BA6F-54B33F9B55AF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_xlchart.v1.25</cx:f>
      </cx:numDim>
    </cx:data>
  </cx:chartData>
  <cx:chart>
    <cx:title pos="t" align="ctr" overlay="0"/>
    <cx:plotArea>
      <cx:plotAreaRegion>
        <cx:series layoutId="boxWhisker" uniqueId="{C064C3F7-64E7-4877-802B-30EA9A5323CF}">
          <cx:tx>
            <cx:txData>
              <cx:f>_xlchart.v1.22</cx:f>
              <cx:v>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0EA1275-9989-45CA-98C5-0197357B9B13}">
          <cx:tx>
            <cx:txData>
              <cx:f>_xlchart.v1.24</cx:f>
              <cx:v>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</cx:chartData>
  <cx:chart>
    <cx:title pos="t" align="ctr" overlay="0"/>
    <cx:plotArea>
      <cx:plotAreaRegion>
        <cx:series layoutId="boxWhisker" uniqueId="{8A037BB9-15CA-4173-B3C9-B0295043CAED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4EFE026-A003-4940-8948-30C73B6747A3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  <cx:data id="1">
      <cx:numDim type="val">
        <cx:f>_xlchart.v1.41</cx:f>
      </cx:numDim>
    </cx:data>
  </cx:chartData>
  <cx:chart>
    <cx:title pos="t" align="ctr" overlay="0"/>
    <cx:plotArea>
      <cx:plotAreaRegion>
        <cx:series layoutId="boxWhisker" uniqueId="{0B112982-700E-4A16-84D6-F68AF801377A}">
          <cx:tx>
            <cx:txData>
              <cx:f>_xlchart.v1.38</cx:f>
              <cx:v>45時間以下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32902F0-53A5-4AA8-B912-E9610F799E26}">
          <cx:tx>
            <cx:txData>
              <cx:f>_xlchart.v1.40</cx:f>
              <cx:v>45時間以上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</cx:chartData>
  <cx:chart>
    <cx:title pos="t" align="ctr" overlay="0"/>
    <cx:plotArea>
      <cx:plotAreaRegion>
        <cx:series layoutId="boxWhisker" uniqueId="{3272966A-367F-4883-881E-3902DE6A14FA}">
          <cx:tx>
            <cx:txData>
              <cx:f>_xlchart.v1.32</cx:f>
              <cx:v>20時間未満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4E25C1C-E6E0-4CD0-98D7-8EAB04A18F09}">
          <cx:tx>
            <cx:txData>
              <cx:f>_xlchart.v1.34</cx:f>
              <cx:v>20時間以上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_xlchart.v1.29</cx:f>
      </cx:numDim>
    </cx:data>
  </cx:chartData>
  <cx:chart>
    <cx:title pos="t" align="ctr" overlay="0">
      <cx:tx>
        <cx:txData>
          <cx:v>異動の有無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異動の有無</a:t>
          </a:r>
        </a:p>
      </cx:txPr>
    </cx:title>
    <cx:plotArea>
      <cx:plotAreaRegion>
        <cx:series layoutId="boxWhisker" uniqueId="{59677AA4-46A0-4986-9CB5-5D6488006278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5C9C976-16ED-408A-93FF-9BB089FF807B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</cx:chartData>
  <cx:chart>
    <cx:title pos="t" align="ctr" overlay="0"/>
    <cx:plotArea>
      <cx:plotAreaRegion>
        <cx:series layoutId="boxWhisker" uniqueId="{8F7BC373-35C9-4BBA-A6DF-B03E300398C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522185D-DBC5-4B6C-8163-463B5A09A880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</cx:chartData>
  <cx:chart>
    <cx:title pos="t" align="ctr" overlay="0"/>
    <cx:plotArea>
      <cx:plotAreaRegion>
        <cx:series layoutId="boxWhisker" uniqueId="{BE447979-227A-46B0-9D3A-99A49A96C932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14B77B5-BC77-4E58-802A-2604F4379250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  <cx:data id="1">
      <cx:numDim type="val">
        <cx:f>_xlchart.v1.37</cx:f>
      </cx:numDim>
    </cx:data>
  </cx:chartData>
  <cx:chart>
    <cx:title pos="t" align="ctr" overlay="0"/>
    <cx:plotArea>
      <cx:plotAreaRegion>
        <cx:series layoutId="boxWhisker" uniqueId="{F8C90E92-DF79-48F1-A0B7-FC14F4D0E0DD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90A2EA-1CE9-46E0-86C3-A7BF5AAC57A3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  <cx:data id="1">
      <cx:numDim type="val">
        <cx:lvl ptCount="0"/>
      </cx:numDim>
    </cx:data>
  </cx:chartData>
  <cx:chart>
    <cx:title pos="t" align="ctr" overlay="0"/>
    <cx:plotArea>
      <cx:plotAreaRegion>
        <cx:series layoutId="boxWhisker" uniqueId="{A2A15913-46BA-49B5-8379-57D703D3CC2A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E25D029-4634-46EB-98CB-768F791598C1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  <cx:data id="1">
      <cx:numDim type="val">
        <cx:f>_xlchart.v1.47</cx:f>
      </cx:numDim>
    </cx:data>
  </cx:chartData>
  <cx:chart>
    <cx:title pos="t" align="ctr" overlay="0"/>
    <cx:plotArea>
      <cx:plotAreaRegion>
        <cx:series layoutId="boxWhisker" uniqueId="{BA5BF5F4-C1F1-47CD-A125-69A7E4AD70E1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A7AE80B-6ECD-4895-86EF-B06F7A38FBAC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  <cx:data id="1">
      <cx:numDim type="val">
        <cx:f>_xlchart.v1.45</cx:f>
      </cx:numDim>
    </cx:data>
  </cx:chartData>
  <cx:chart>
    <cx:title pos="t" align="ctr" overlay="0"/>
    <cx:plotArea>
      <cx:plotAreaRegion>
        <cx:series layoutId="boxWhisker" uniqueId="{18ED5382-7ED4-4992-977E-8F54B142D816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5260C8-50FE-4A77-9CDC-CB7587315755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</cx:chartData>
  <cx:chart>
    <cx:title pos="t" align="ctr" overlay="0"/>
    <cx:plotArea>
      <cx:plotAreaRegion>
        <cx:series layoutId="boxWhisker" uniqueId="{4E72F260-1EDD-46EE-9612-1FF99E54999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7EE18B-3F2E-4845-8F2F-721DEE47A767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_xlchart.v1.51</cx:f>
      </cx:numDim>
    </cx:data>
  </cx:chartData>
  <cx:chart>
    <cx:title pos="t" align="ctr" overlay="0"/>
    <cx:plotArea>
      <cx:plotAreaRegion>
        <cx:series layoutId="boxWhisker" uniqueId="{0F14B5D5-5959-40D4-9D75-006E74704CF4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FFE63A5-D5A4-4D1B-A08D-0B648AE53D5B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</cx:chartData>
  <cx:chart>
    <cx:title pos="t" align="ctr" overlay="0">
      <cx:tx>
        <cx:txData>
          <cx:v>グラフ タイトル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ja-JP" alt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  <a:cs typeface="Arial"/>
            </a:rPr>
            <a:t>グラフ タイトル</a:t>
          </a:r>
        </a:p>
      </cx:txPr>
    </cx:title>
    <cx:plotArea>
      <cx:plotAreaRegion>
        <cx:series layoutId="clusteredColumn" uniqueId="{DA55EFBB-6CAC-4915-8490-F49AF6A0E378}">
          <cx:dataId val="0"/>
          <cx:layoutPr>
            <cx:binning intervalClosed="r" underflow="10" overflow="7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</cx:chartData>
  <cx:chart>
    <cx:title pos="t" align="ctr" overlay="0"/>
    <cx:plotArea>
      <cx:plotAreaRegion>
        <cx:series layoutId="clusteredColumn" uniqueId="{1B196980-E9E4-4776-9814-0BC7211A0AF4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title pos="t" align="ctr" overlay="0"/>
    <cx:plotArea>
      <cx:plotAreaRegion>
        <cx:series layoutId="clusteredColumn" uniqueId="{0C51EE8C-42CD-4484-8CAD-F018B1A0AA69}" formatIdx="0">
          <cx:dataId val="0"/>
          <cx:layoutPr>
            <cx:binning intervalClosed="r" underflow="15" overflow="80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_xlchart.v1.52</cx:f>
      </cx:numDim>
    </cx:data>
  </cx:chartData>
  <cx:chart>
    <cx:title pos="t" align="ctr" overlay="0"/>
    <cx:plotArea>
      <cx:plotAreaRegion>
        <cx:series layoutId="clusteredColumn" uniqueId="{2CAB91B0-7093-42AC-940F-4E69A4E4AF87}">
          <cx:dataId val="0"/>
          <cx:layoutPr>
            <cx:binning intervalClosed="r" underflow="16" overflow="auto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1.xml"/><Relationship Id="rId7" Type="http://schemas.microsoft.com/office/2014/relationships/chartEx" Target="../charts/chartEx5.xml"/><Relationship Id="rId12" Type="http://schemas.microsoft.com/office/2014/relationships/chartEx" Target="../charts/chartEx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microsoft.com/office/2014/relationships/chartEx" Target="../charts/chartEx4.xml"/><Relationship Id="rId11" Type="http://schemas.microsoft.com/office/2014/relationships/chartEx" Target="../charts/chartEx9.xml"/><Relationship Id="rId5" Type="http://schemas.microsoft.com/office/2014/relationships/chartEx" Target="../charts/chartEx3.xml"/><Relationship Id="rId10" Type="http://schemas.microsoft.com/office/2014/relationships/chartEx" Target="../charts/chartEx8.xml"/><Relationship Id="rId4" Type="http://schemas.microsoft.com/office/2014/relationships/chartEx" Target="../charts/chartEx2.xml"/><Relationship Id="rId9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12.xml"/><Relationship Id="rId2" Type="http://schemas.microsoft.com/office/2014/relationships/chartEx" Target="../charts/chartEx11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5.xml"/><Relationship Id="rId7" Type="http://schemas.microsoft.com/office/2014/relationships/chartEx" Target="../charts/chartEx19.xml"/><Relationship Id="rId2" Type="http://schemas.microsoft.com/office/2014/relationships/chartEx" Target="../charts/chartEx14.xml"/><Relationship Id="rId1" Type="http://schemas.microsoft.com/office/2014/relationships/chartEx" Target="../charts/chartEx13.xml"/><Relationship Id="rId6" Type="http://schemas.microsoft.com/office/2014/relationships/chartEx" Target="../charts/chartEx18.xml"/><Relationship Id="rId5" Type="http://schemas.microsoft.com/office/2014/relationships/chartEx" Target="../charts/chartEx17.xml"/><Relationship Id="rId4" Type="http://schemas.microsoft.com/office/2014/relationships/chartEx" Target="../charts/chartEx16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21.xml"/><Relationship Id="rId1" Type="http://schemas.microsoft.com/office/2014/relationships/chartEx" Target="../charts/chartEx20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3.xml"/><Relationship Id="rId1" Type="http://schemas.microsoft.com/office/2014/relationships/chartEx" Target="../charts/chartEx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25.xml"/><Relationship Id="rId7" Type="http://schemas.openxmlformats.org/officeDocument/2006/relationships/chart" Target="../charts/chart17.xml"/><Relationship Id="rId2" Type="http://schemas.openxmlformats.org/officeDocument/2006/relationships/chart" Target="../charts/chart15.xml"/><Relationship Id="rId1" Type="http://schemas.microsoft.com/office/2014/relationships/chartEx" Target="../charts/chartEx24.xml"/><Relationship Id="rId6" Type="http://schemas.openxmlformats.org/officeDocument/2006/relationships/chart" Target="../charts/chart16.xml"/><Relationship Id="rId5" Type="http://schemas.microsoft.com/office/2014/relationships/chartEx" Target="../charts/chartEx27.xml"/><Relationship Id="rId4" Type="http://schemas.microsoft.com/office/2014/relationships/chartEx" Target="../charts/chartEx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121920</xdr:rowOff>
    </xdr:from>
    <xdr:to>
      <xdr:col>8</xdr:col>
      <xdr:colOff>304800</xdr:colOff>
      <xdr:row>47</xdr:row>
      <xdr:rowOff>15240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9FD759-04A8-BC13-9433-60C5ADF83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541020</xdr:colOff>
      <xdr:row>31</xdr:row>
      <xdr:rowOff>144780</xdr:rowOff>
    </xdr:from>
    <xdr:to>
      <xdr:col>38</xdr:col>
      <xdr:colOff>236220</xdr:colOff>
      <xdr:row>48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C3D4AE9-7CF4-598F-6CE4-5A6657221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31</xdr:row>
      <xdr:rowOff>30480</xdr:rowOff>
    </xdr:from>
    <xdr:to>
      <xdr:col>10</xdr:col>
      <xdr:colOff>198120</xdr:colOff>
      <xdr:row>47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8A83D4A-ECC0-0C34-C506-DE5AC4E11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31</xdr:row>
      <xdr:rowOff>7620</xdr:rowOff>
    </xdr:from>
    <xdr:to>
      <xdr:col>7</xdr:col>
      <xdr:colOff>472440</xdr:colOff>
      <xdr:row>47</xdr:row>
      <xdr:rowOff>68580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FF294FE-C400-C612-90FE-59AC8C07D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15240</xdr:rowOff>
    </xdr:from>
    <xdr:to>
      <xdr:col>7</xdr:col>
      <xdr:colOff>304800</xdr:colOff>
      <xdr:row>65</xdr:row>
      <xdr:rowOff>72390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0C88FC7-B07F-C339-F9D8-9D7CF734D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346710</xdr:colOff>
      <xdr:row>57</xdr:row>
      <xdr:rowOff>20955</xdr:rowOff>
    </xdr:from>
    <xdr:to>
      <xdr:col>17</xdr:col>
      <xdr:colOff>41910</xdr:colOff>
      <xdr:row>74</xdr:row>
      <xdr:rowOff>43815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2374A4A4-51A1-5AF4-2BA8-0A39E4FF64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4610" y="9952355"/>
              <a:ext cx="5080000" cy="2829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9</xdr:col>
      <xdr:colOff>358140</xdr:colOff>
      <xdr:row>75</xdr:row>
      <xdr:rowOff>70485</xdr:rowOff>
    </xdr:from>
    <xdr:to>
      <xdr:col>17</xdr:col>
      <xdr:colOff>53340</xdr:colOff>
      <xdr:row>92</xdr:row>
      <xdr:rowOff>89535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F73A03FE-2B46-3F27-6F76-A217CCDF17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6040" y="12973685"/>
              <a:ext cx="5080000" cy="28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329565</xdr:colOff>
      <xdr:row>47</xdr:row>
      <xdr:rowOff>133350</xdr:rowOff>
    </xdr:from>
    <xdr:to>
      <xdr:col>27</xdr:col>
      <xdr:colOff>24765</xdr:colOff>
      <xdr:row>64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EDF1A176-05EA-6CD1-6552-F336B8831B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8465" y="8388350"/>
              <a:ext cx="5080000" cy="282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27</xdr:col>
      <xdr:colOff>182880</xdr:colOff>
      <xdr:row>47</xdr:row>
      <xdr:rowOff>1905</xdr:rowOff>
    </xdr:from>
    <xdr:to>
      <xdr:col>34</xdr:col>
      <xdr:colOff>487680</xdr:colOff>
      <xdr:row>63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AA0B3E68-4522-C08A-17C5-948B6C726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56580" y="8256905"/>
              <a:ext cx="5016500" cy="2821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35</xdr:col>
      <xdr:colOff>262890</xdr:colOff>
      <xdr:row>46</xdr:row>
      <xdr:rowOff>148590</xdr:rowOff>
    </xdr:from>
    <xdr:to>
      <xdr:col>42</xdr:col>
      <xdr:colOff>567690</xdr:colOff>
      <xdr:row>63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5C59C5D1-F7E3-B664-08F6-081C5188B5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21390" y="8238490"/>
              <a:ext cx="5016500" cy="282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43</xdr:col>
      <xdr:colOff>209550</xdr:colOff>
      <xdr:row>47</xdr:row>
      <xdr:rowOff>59055</xdr:rowOff>
    </xdr:from>
    <xdr:to>
      <xdr:col>50</xdr:col>
      <xdr:colOff>514350</xdr:colOff>
      <xdr:row>64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C2DA16B7-D2DD-C3D0-AB38-EC2C2633B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52850" y="8314055"/>
              <a:ext cx="5016500" cy="2834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47</xdr:col>
      <xdr:colOff>43815</xdr:colOff>
      <xdr:row>28</xdr:row>
      <xdr:rowOff>41910</xdr:rowOff>
    </xdr:from>
    <xdr:to>
      <xdr:col>54</xdr:col>
      <xdr:colOff>348615</xdr:colOff>
      <xdr:row>44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グラフ 10">
              <a:extLst>
                <a:ext uri="{FF2B5EF4-FFF2-40B4-BE49-F238E27FC236}">
                  <a16:creationId xmlns:a16="http://schemas.microsoft.com/office/drawing/2014/main" id="{54169A2A-4118-471E-8D27-515C95A49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79515" y="4982210"/>
              <a:ext cx="5016500" cy="2821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52</xdr:col>
      <xdr:colOff>409575</xdr:colOff>
      <xdr:row>37</xdr:row>
      <xdr:rowOff>93345</xdr:rowOff>
    </xdr:from>
    <xdr:to>
      <xdr:col>60</xdr:col>
      <xdr:colOff>104775</xdr:colOff>
      <xdr:row>54</xdr:row>
      <xdr:rowOff>17145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グラフ 11">
              <a:extLst>
                <a:ext uri="{FF2B5EF4-FFF2-40B4-BE49-F238E27FC236}">
                  <a16:creationId xmlns:a16="http://schemas.microsoft.com/office/drawing/2014/main" id="{1F7A57D0-F1EA-6537-8F8C-D4A4534F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10775" y="6608445"/>
              <a:ext cx="5080000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59</xdr:col>
      <xdr:colOff>268605</xdr:colOff>
      <xdr:row>42</xdr:row>
      <xdr:rowOff>110490</xdr:rowOff>
    </xdr:from>
    <xdr:to>
      <xdr:col>66</xdr:col>
      <xdr:colOff>573405</xdr:colOff>
      <xdr:row>59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グラフ 9">
              <a:extLst>
                <a:ext uri="{FF2B5EF4-FFF2-40B4-BE49-F238E27FC236}">
                  <a16:creationId xmlns:a16="http://schemas.microsoft.com/office/drawing/2014/main" id="{5E8260FF-9D7C-053B-EFEB-E2E8B12BA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81505" y="7501890"/>
              <a:ext cx="5016500" cy="281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67</xdr:col>
      <xdr:colOff>529590</xdr:colOff>
      <xdr:row>43</xdr:row>
      <xdr:rowOff>34290</xdr:rowOff>
    </xdr:from>
    <xdr:to>
      <xdr:col>75</xdr:col>
      <xdr:colOff>224790</xdr:colOff>
      <xdr:row>59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グラフ 12">
              <a:extLst>
                <a:ext uri="{FF2B5EF4-FFF2-40B4-BE49-F238E27FC236}">
                  <a16:creationId xmlns:a16="http://schemas.microsoft.com/office/drawing/2014/main" id="{4234C989-3769-30A4-EEB6-94002A61A4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27290" y="7603490"/>
              <a:ext cx="5080000" cy="280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268323</xdr:colOff>
      <xdr:row>44</xdr:row>
      <xdr:rowOff>30602</xdr:rowOff>
    </xdr:from>
    <xdr:to>
      <xdr:col>15</xdr:col>
      <xdr:colOff>544303</xdr:colOff>
      <xdr:row>60</xdr:row>
      <xdr:rowOff>80156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62129ED-83ED-0504-6C6E-B99D36190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379094</xdr:colOff>
      <xdr:row>43</xdr:row>
      <xdr:rowOff>140311</xdr:rowOff>
    </xdr:from>
    <xdr:to>
      <xdr:col>8</xdr:col>
      <xdr:colOff>61030</xdr:colOff>
      <xdr:row>61</xdr:row>
      <xdr:rowOff>61494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9AAB2CF-0EF8-43B2-03C1-3AC63638F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154305</xdr:rowOff>
    </xdr:from>
    <xdr:to>
      <xdr:col>7</xdr:col>
      <xdr:colOff>315127</xdr:colOff>
      <xdr:row>48</xdr:row>
      <xdr:rowOff>9926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0C04EE-4D2B-B784-2823-FF4AB2AFB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6689</xdr:colOff>
      <xdr:row>30</xdr:row>
      <xdr:rowOff>141328</xdr:rowOff>
    </xdr:from>
    <xdr:to>
      <xdr:col>12</xdr:col>
      <xdr:colOff>559555</xdr:colOff>
      <xdr:row>44</xdr:row>
      <xdr:rowOff>42383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2ED5154-96BB-C399-3900-BEC64B00C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148961</xdr:colOff>
      <xdr:row>31</xdr:row>
      <xdr:rowOff>98902</xdr:rowOff>
    </xdr:from>
    <xdr:to>
      <xdr:col>19</xdr:col>
      <xdr:colOff>945</xdr:colOff>
      <xdr:row>48</xdr:row>
      <xdr:rowOff>107325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C77966D-C176-808A-E03F-BDF7BE8A0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333247</xdr:colOff>
      <xdr:row>31</xdr:row>
      <xdr:rowOff>18704</xdr:rowOff>
    </xdr:from>
    <xdr:to>
      <xdr:col>28</xdr:col>
      <xdr:colOff>48685</xdr:colOff>
      <xdr:row>48</xdr:row>
      <xdr:rowOff>34747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3687C94-3A23-CDAF-CACC-59618D96C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350448</xdr:colOff>
      <xdr:row>25</xdr:row>
      <xdr:rowOff>41624</xdr:rowOff>
    </xdr:from>
    <xdr:to>
      <xdr:col>30</xdr:col>
      <xdr:colOff>67792</xdr:colOff>
      <xdr:row>42</xdr:row>
      <xdr:rowOff>53856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2D5FB3A-B63A-2428-2E8E-DF039362F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120066</xdr:colOff>
      <xdr:row>16</xdr:row>
      <xdr:rowOff>74837</xdr:rowOff>
    </xdr:from>
    <xdr:to>
      <xdr:col>19</xdr:col>
      <xdr:colOff>409207</xdr:colOff>
      <xdr:row>33</xdr:row>
      <xdr:rowOff>119287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150C9A7-DC3A-6796-84E8-AF4EB08EA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105730</xdr:colOff>
      <xdr:row>39</xdr:row>
      <xdr:rowOff>60325</xdr:rowOff>
    </xdr:from>
    <xdr:to>
      <xdr:col>16</xdr:col>
      <xdr:colOff>410530</xdr:colOff>
      <xdr:row>55</xdr:row>
      <xdr:rowOff>123826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3BE2A8F6-7AAB-6818-0865-20B8D8DFD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9630" y="6575425"/>
              <a:ext cx="5016500" cy="2768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12</xdr:col>
      <xdr:colOff>347709</xdr:colOff>
      <xdr:row>67</xdr:row>
      <xdr:rowOff>11837</xdr:rowOff>
    </xdr:from>
    <xdr:to>
      <xdr:col>20</xdr:col>
      <xdr:colOff>66582</xdr:colOff>
      <xdr:row>82</xdr:row>
      <xdr:rowOff>165716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3D26E881-1828-3942-0E7D-9301F05AE1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0909" y="11251337"/>
              <a:ext cx="5103673" cy="2693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48</xdr:row>
      <xdr:rowOff>30480</xdr:rowOff>
    </xdr:from>
    <xdr:to>
      <xdr:col>8</xdr:col>
      <xdr:colOff>571500</xdr:colOff>
      <xdr:row>64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1BF2D3B1-4C12-4CFA-6152-D5D35F5279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8158480"/>
              <a:ext cx="3670300" cy="2727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7</xdr:col>
      <xdr:colOff>68580</xdr:colOff>
      <xdr:row>50</xdr:row>
      <xdr:rowOff>99060</xdr:rowOff>
    </xdr:from>
    <xdr:to>
      <xdr:col>14</xdr:col>
      <xdr:colOff>373380</xdr:colOff>
      <xdr:row>66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EB5F8B07-BAC6-ECDB-2957-392553808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0280" y="8569960"/>
              <a:ext cx="5016500" cy="2715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130</xdr:row>
      <xdr:rowOff>144780</xdr:rowOff>
    </xdr:from>
    <xdr:to>
      <xdr:col>9</xdr:col>
      <xdr:colOff>327660</xdr:colOff>
      <xdr:row>147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7402ABEF-0A1B-4427-81C0-99A6B3856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300" y="21925280"/>
              <a:ext cx="4366260" cy="271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</xdr:col>
      <xdr:colOff>533400</xdr:colOff>
      <xdr:row>157</xdr:row>
      <xdr:rowOff>0</xdr:rowOff>
    </xdr:from>
    <xdr:to>
      <xdr:col>13</xdr:col>
      <xdr:colOff>228600</xdr:colOff>
      <xdr:row>173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6B301325-E308-3B65-0480-4C9C862DB5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8900" y="26301700"/>
              <a:ext cx="5080000" cy="2707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601980</xdr:colOff>
      <xdr:row>50</xdr:row>
      <xdr:rowOff>129540</xdr:rowOff>
    </xdr:from>
    <xdr:to>
      <xdr:col>22</xdr:col>
      <xdr:colOff>297180</xdr:colOff>
      <xdr:row>67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726B304C-EC96-E9FF-5EA3-2AADC6EE15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5380" y="8600440"/>
              <a:ext cx="5080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495300</xdr:colOff>
      <xdr:row>45</xdr:row>
      <xdr:rowOff>99060</xdr:rowOff>
    </xdr:from>
    <xdr:to>
      <xdr:col>22</xdr:col>
      <xdr:colOff>190500</xdr:colOff>
      <xdr:row>61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6F0A16B6-FC61-7914-CE6A-108E528F1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8700" y="7719060"/>
              <a:ext cx="508000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21</xdr:col>
      <xdr:colOff>83820</xdr:colOff>
      <xdr:row>20</xdr:row>
      <xdr:rowOff>83820</xdr:rowOff>
    </xdr:from>
    <xdr:to>
      <xdr:col>28</xdr:col>
      <xdr:colOff>388620</xdr:colOff>
      <xdr:row>36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335A44CB-84F1-4C97-BECF-AB411FAB4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8920" y="3423920"/>
              <a:ext cx="5016500" cy="280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144780</xdr:rowOff>
    </xdr:from>
    <xdr:to>
      <xdr:col>7</xdr:col>
      <xdr:colOff>304800</xdr:colOff>
      <xdr:row>48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54342C8D-65AD-452B-F571-12175A9BF9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51780"/>
              <a:ext cx="5016500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12</xdr:col>
      <xdr:colOff>68580</xdr:colOff>
      <xdr:row>31</xdr:row>
      <xdr:rowOff>129540</xdr:rowOff>
    </xdr:from>
    <xdr:to>
      <xdr:col>19</xdr:col>
      <xdr:colOff>373380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710994E3-4DE8-22D5-5AAD-051C368244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5780" y="5336540"/>
              <a:ext cx="5016500" cy="2715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28</xdr:row>
      <xdr:rowOff>15240</xdr:rowOff>
    </xdr:from>
    <xdr:to>
      <xdr:col>18</xdr:col>
      <xdr:colOff>533400</xdr:colOff>
      <xdr:row>44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CDECC208-48BB-B768-210E-7CDB34AABB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2700" y="4752340"/>
              <a:ext cx="5016500" cy="2725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17</xdr:col>
      <xdr:colOff>121920</xdr:colOff>
      <xdr:row>11</xdr:row>
      <xdr:rowOff>91440</xdr:rowOff>
    </xdr:from>
    <xdr:to>
      <xdr:col>24</xdr:col>
      <xdr:colOff>426720</xdr:colOff>
      <xdr:row>27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BFDD7B42-F54F-9217-ECFD-B772AE650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4620" y="1971040"/>
              <a:ext cx="5016500" cy="2722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17145</xdr:rowOff>
    </xdr:from>
    <xdr:to>
      <xdr:col>7</xdr:col>
      <xdr:colOff>304800</xdr:colOff>
      <xdr:row>43</xdr:row>
      <xdr:rowOff>17145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44B27E3-3B96-D140-B2E6-DE7F303EF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29</xdr:row>
      <xdr:rowOff>161925</xdr:rowOff>
    </xdr:from>
    <xdr:to>
      <xdr:col>16</xdr:col>
      <xdr:colOff>327660</xdr:colOff>
      <xdr:row>45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8A668257-4CD5-0AE1-745C-6CDF7C6182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3960" y="4987925"/>
              <a:ext cx="6362700" cy="267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7</xdr:col>
      <xdr:colOff>212407</xdr:colOff>
      <xdr:row>46</xdr:row>
      <xdr:rowOff>161925</xdr:rowOff>
    </xdr:from>
    <xdr:to>
      <xdr:col>16</xdr:col>
      <xdr:colOff>517207</xdr:colOff>
      <xdr:row>62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D34DD53-3FB7-0973-E681-38F717FEE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53340</xdr:colOff>
      <xdr:row>28</xdr:row>
      <xdr:rowOff>137160</xdr:rowOff>
    </xdr:from>
    <xdr:to>
      <xdr:col>26</xdr:col>
      <xdr:colOff>358140</xdr:colOff>
      <xdr:row>44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76EC81FA-9E86-D6BB-1C46-DACDAB324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21640" y="4798060"/>
              <a:ext cx="501650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15</xdr:col>
      <xdr:colOff>487680</xdr:colOff>
      <xdr:row>29</xdr:row>
      <xdr:rowOff>30480</xdr:rowOff>
    </xdr:from>
    <xdr:to>
      <xdr:col>23</xdr:col>
      <xdr:colOff>182880</xdr:colOff>
      <xdr:row>45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710B6BD1-1919-F043-2EB7-20E95D0C36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3580" y="4856480"/>
              <a:ext cx="5080000" cy="274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24</xdr:col>
      <xdr:colOff>289560</xdr:colOff>
      <xdr:row>10</xdr:row>
      <xdr:rowOff>160020</xdr:rowOff>
    </xdr:from>
    <xdr:to>
      <xdr:col>31</xdr:col>
      <xdr:colOff>594360</xdr:colOff>
      <xdr:row>27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16B623E7-0E1E-2C79-06AD-6450B92B82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23360" y="1849120"/>
              <a:ext cx="501650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</xdr:col>
      <xdr:colOff>274320</xdr:colOff>
      <xdr:row>31</xdr:row>
      <xdr:rowOff>60960</xdr:rowOff>
    </xdr:from>
    <xdr:to>
      <xdr:col>8</xdr:col>
      <xdr:colOff>327660</xdr:colOff>
      <xdr:row>47</xdr:row>
      <xdr:rowOff>83820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B8C0EC3-BB3E-ED79-DA91-95D8FD8D8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441960</xdr:colOff>
      <xdr:row>9</xdr:row>
      <xdr:rowOff>99060</xdr:rowOff>
    </xdr:from>
    <xdr:to>
      <xdr:col>21</xdr:col>
      <xdr:colOff>137160</xdr:colOff>
      <xdr:row>25</xdr:row>
      <xdr:rowOff>160020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5925432-CCDA-72F5-9470-E11D765DB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s-sato/Desktop/&#9733;&#12467;&#12467;&#12471;&#12523;&#20107;&#26989;/&#12467;&#12467;&#12471;&#12523;/&#9733;&#30740;&#31350;&#38283;&#30330;/&#12467;&#12460;&#12477;&#12501;&#12488;&#12454;&#12455;&#12450;_&#30740;&#31350;/&#31532;1&#22238;&#30446;/&#12467;&#12460;&#29983;&#12487;&#12540;&#12479;/20240724_&#12467;&#12467;&#12471;&#12523;&#31777;&#26131;&#35519;&#26619;&#31080;&#65288;&#22238;&#31572;&#65289;&#20491;&#20154;&#24773;&#22577;&#38500;&#22806;.xlsx" TargetMode="External"/><Relationship Id="rId1" Type="http://schemas.openxmlformats.org/officeDocument/2006/relationships/externalLinkPath" Target="file:///C:/Users/s-sato/Desktop/&#9733;&#12467;&#12467;&#12471;&#12523;&#20107;&#26989;/&#12467;&#12467;&#12471;&#12523;/&#9733;&#30740;&#31350;&#38283;&#30330;/&#12467;&#12460;&#12477;&#12501;&#12488;&#12454;&#12455;&#12450;_&#30740;&#31350;/&#31532;1&#22238;&#30446;/&#12467;&#12460;&#29983;&#12487;&#12540;&#12479;/20240724_&#12467;&#12467;&#12471;&#12523;&#31777;&#26131;&#35519;&#26619;&#31080;&#65288;&#22238;&#31572;&#65289;&#20491;&#20154;&#24773;&#22577;&#38500;&#228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集計結果"/>
      <sheetName val="ストレスチェック小項目解析"/>
      <sheetName val="フォームの回答 1"/>
      <sheetName val="労務管理データ"/>
      <sheetName val="解析（労務情報）"/>
      <sheetName val="解析（BP実測値とストレス反応）"/>
      <sheetName val="解析（ストレススコア）"/>
      <sheetName val="解析（ストレススコア※10抜き）"/>
      <sheetName val="解析（アテネ不眠尺度）"/>
      <sheetName val="解析（プレゼンティーズム）"/>
      <sheetName val="年齢分布"/>
      <sheetName val="スコア分布"/>
    </sheetNames>
    <sheetDataSet>
      <sheetData sheetId="0"/>
      <sheetData sheetId="1"/>
      <sheetData sheetId="2">
        <row r="2">
          <cell r="C2" t="str">
            <v>ややちがう</v>
          </cell>
          <cell r="D2" t="str">
            <v>ややちがう</v>
          </cell>
          <cell r="E2" t="str">
            <v>ややちがう</v>
          </cell>
          <cell r="F2" t="str">
            <v>まぁそうだ</v>
          </cell>
          <cell r="G2" t="str">
            <v>そうだ</v>
          </cell>
          <cell r="H2" t="str">
            <v>ややちがう</v>
          </cell>
          <cell r="I2" t="str">
            <v>ちがう</v>
          </cell>
          <cell r="J2" t="str">
            <v>そうだ</v>
          </cell>
          <cell r="K2" t="str">
            <v>まぁそうだ</v>
          </cell>
          <cell r="L2" t="str">
            <v>まぁそうだ</v>
          </cell>
          <cell r="M2" t="str">
            <v>ちがう</v>
          </cell>
          <cell r="N2" t="str">
            <v>ややちがう</v>
          </cell>
          <cell r="O2" t="str">
            <v>ちがう</v>
          </cell>
          <cell r="P2" t="str">
            <v>まぁそうだ</v>
          </cell>
          <cell r="Q2" t="str">
            <v>ちがう</v>
          </cell>
          <cell r="R2" t="str">
            <v>そうだ</v>
          </cell>
          <cell r="S2" t="str">
            <v>まぁそうだ</v>
          </cell>
          <cell r="T2" t="str">
            <v>ほとんどいつもあった</v>
          </cell>
          <cell r="U2" t="str">
            <v>ほとんどいつもあった</v>
          </cell>
          <cell r="V2" t="str">
            <v>ほとんどいつもあった</v>
          </cell>
          <cell r="W2" t="str">
            <v>ときどきあった</v>
          </cell>
          <cell r="X2" t="str">
            <v>ときどきあった</v>
          </cell>
          <cell r="Y2" t="str">
            <v>ほとんどなかった</v>
          </cell>
          <cell r="Z2" t="str">
            <v>しばしばあった</v>
          </cell>
          <cell r="AA2" t="str">
            <v>ときどきあった</v>
          </cell>
          <cell r="AB2" t="str">
            <v>しばしばあった</v>
          </cell>
          <cell r="AC2" t="str">
            <v>ときどきあった</v>
          </cell>
          <cell r="AD2" t="str">
            <v>ときどきあった</v>
          </cell>
          <cell r="AE2" t="str">
            <v>ほとんどなかった</v>
          </cell>
          <cell r="AF2" t="str">
            <v>ときどきあった</v>
          </cell>
          <cell r="AG2" t="str">
            <v>ほとんどなかった</v>
          </cell>
          <cell r="AH2" t="str">
            <v>ほとんどなかった</v>
          </cell>
          <cell r="AI2" t="str">
            <v>ときどきあった</v>
          </cell>
          <cell r="AJ2" t="str">
            <v>ときどきあった</v>
          </cell>
          <cell r="AK2" t="str">
            <v>ときどきあった</v>
          </cell>
          <cell r="AL2" t="str">
            <v>ほとんどなかった</v>
          </cell>
          <cell r="AM2" t="str">
            <v>ほとんどなかった</v>
          </cell>
          <cell r="AN2" t="str">
            <v>ときどきあった</v>
          </cell>
          <cell r="AO2" t="str">
            <v>ほとんどいつもあった</v>
          </cell>
          <cell r="AP2" t="str">
            <v>ほとんどなかった</v>
          </cell>
          <cell r="AQ2" t="str">
            <v>ほとんどなかった</v>
          </cell>
          <cell r="AR2" t="str">
            <v>ほとんどなかった</v>
          </cell>
          <cell r="AS2" t="str">
            <v>ときどきあった</v>
          </cell>
          <cell r="AT2" t="str">
            <v>ほとんどなかった</v>
          </cell>
          <cell r="AU2" t="str">
            <v>ときどきあった</v>
          </cell>
          <cell r="AV2" t="str">
            <v>ほとんどなかった</v>
          </cell>
          <cell r="AW2" t="str">
            <v>かなり</v>
          </cell>
          <cell r="AX2" t="str">
            <v>多少</v>
          </cell>
          <cell r="AY2" t="str">
            <v>非常に</v>
          </cell>
          <cell r="AZ2" t="str">
            <v>非常に</v>
          </cell>
          <cell r="BA2" t="str">
            <v>多少</v>
          </cell>
          <cell r="BB2" t="str">
            <v>非常に</v>
          </cell>
          <cell r="BC2" t="str">
            <v>多少</v>
          </cell>
          <cell r="BD2" t="str">
            <v>多少</v>
          </cell>
          <cell r="BE2" t="str">
            <v>非常に</v>
          </cell>
          <cell r="BF2" t="str">
            <v>まぁ満足</v>
          </cell>
          <cell r="BG2" t="str">
            <v>まぁ満足</v>
          </cell>
          <cell r="BI2" t="str">
            <v>いつもより寝つきは良い</v>
          </cell>
          <cell r="BJ2" t="str">
            <v>問題になるほどのことはなかった</v>
          </cell>
          <cell r="BK2" t="str">
            <v>そのようなことはなかった</v>
          </cell>
          <cell r="BL2" t="str">
            <v>十分である</v>
          </cell>
          <cell r="BM2" t="str">
            <v>少し不満である</v>
          </cell>
          <cell r="BN2" t="str">
            <v>いつもどおり</v>
          </cell>
          <cell r="BO2" t="str">
            <v>いつもどおり</v>
          </cell>
          <cell r="BP2" t="str">
            <v>少しあった</v>
          </cell>
        </row>
        <row r="3">
          <cell r="C3" t="str">
            <v>ややちがう</v>
          </cell>
          <cell r="D3" t="str">
            <v>ややちがう</v>
          </cell>
          <cell r="E3" t="str">
            <v>そうだ</v>
          </cell>
          <cell r="F3" t="str">
            <v>そうだ</v>
          </cell>
          <cell r="G3" t="str">
            <v>そうだ</v>
          </cell>
          <cell r="H3" t="str">
            <v>まぁそうだ</v>
          </cell>
          <cell r="I3" t="str">
            <v>ちがう</v>
          </cell>
          <cell r="J3" t="str">
            <v>ややちがう</v>
          </cell>
          <cell r="K3" t="str">
            <v>ややちがう</v>
          </cell>
          <cell r="L3" t="str">
            <v>ややちがう</v>
          </cell>
          <cell r="M3" t="str">
            <v>ややちがう</v>
          </cell>
          <cell r="N3" t="str">
            <v>ちがう</v>
          </cell>
          <cell r="O3" t="str">
            <v>ちがう</v>
          </cell>
          <cell r="P3" t="str">
            <v>そうだ</v>
          </cell>
          <cell r="Q3" t="str">
            <v>ややちがう</v>
          </cell>
          <cell r="R3" t="str">
            <v>そうだ</v>
          </cell>
          <cell r="S3" t="str">
            <v>そうだ</v>
          </cell>
          <cell r="T3" t="str">
            <v>しばしばあった</v>
          </cell>
          <cell r="U3" t="str">
            <v>しばしばあった</v>
          </cell>
          <cell r="V3" t="str">
            <v>しばしばあった</v>
          </cell>
          <cell r="W3" t="str">
            <v>ほとんどなかった</v>
          </cell>
          <cell r="X3" t="str">
            <v>ときどきあった</v>
          </cell>
          <cell r="Y3" t="str">
            <v>ほとんどなかった</v>
          </cell>
          <cell r="Z3" t="str">
            <v>ときどきあった</v>
          </cell>
          <cell r="AA3" t="str">
            <v>ときどきあった</v>
          </cell>
          <cell r="AB3" t="str">
            <v>ときどきばあった</v>
          </cell>
          <cell r="AC3" t="str">
            <v>ときどきあった</v>
          </cell>
          <cell r="AD3" t="str">
            <v>ほとんどなかった</v>
          </cell>
          <cell r="AE3" t="str">
            <v>ほとんどなかった</v>
          </cell>
          <cell r="AF3" t="str">
            <v>ほとんどなかった</v>
          </cell>
          <cell r="AG3" t="str">
            <v>ほとんどなかった</v>
          </cell>
          <cell r="AH3" t="str">
            <v>ほとんどなかった</v>
          </cell>
          <cell r="AI3" t="str">
            <v>ほとんどなかった</v>
          </cell>
          <cell r="AJ3" t="str">
            <v>ほとんどなかった</v>
          </cell>
          <cell r="AK3" t="str">
            <v>ほとんどなかった</v>
          </cell>
          <cell r="AL3" t="str">
            <v>ほとんどなかった</v>
          </cell>
          <cell r="AM3" t="str">
            <v>ほとんどなかった</v>
          </cell>
          <cell r="AN3" t="str">
            <v>しばしばあった</v>
          </cell>
          <cell r="AO3" t="str">
            <v>しばしばあった</v>
          </cell>
          <cell r="AP3" t="str">
            <v>しばしばあった</v>
          </cell>
          <cell r="AQ3" t="str">
            <v>ほとんどいつもあった</v>
          </cell>
          <cell r="AR3" t="str">
            <v>ほとんどなかった</v>
          </cell>
          <cell r="AS3" t="str">
            <v>ほとんどいつもあった</v>
          </cell>
          <cell r="AT3" t="str">
            <v>ほとんどなかった</v>
          </cell>
          <cell r="AU3" t="str">
            <v>ほとんどいつもあった</v>
          </cell>
          <cell r="AV3" t="str">
            <v>しばしばあった</v>
          </cell>
          <cell r="AW3" t="str">
            <v>かなり</v>
          </cell>
          <cell r="AX3" t="str">
            <v>非常に</v>
          </cell>
          <cell r="AY3" t="str">
            <v>非常に</v>
          </cell>
          <cell r="AZ3" t="str">
            <v>非常に</v>
          </cell>
          <cell r="BA3" t="str">
            <v>非常に</v>
          </cell>
          <cell r="BB3" t="str">
            <v>非常に</v>
          </cell>
          <cell r="BC3" t="str">
            <v>非常に</v>
          </cell>
          <cell r="BD3" t="str">
            <v>非常に</v>
          </cell>
          <cell r="BE3" t="str">
            <v>非常に</v>
          </cell>
          <cell r="BF3" t="str">
            <v>満足</v>
          </cell>
          <cell r="BG3" t="str">
            <v>満足</v>
          </cell>
          <cell r="BI3" t="str">
            <v>いつもよりかなり時間がかかった</v>
          </cell>
          <cell r="BJ3" t="str">
            <v>かなり困っている</v>
          </cell>
          <cell r="BK3" t="str">
            <v>そのようなことはなかった</v>
          </cell>
          <cell r="BL3" t="str">
            <v>少し足りない</v>
          </cell>
          <cell r="BM3" t="str">
            <v>かなり不満である</v>
          </cell>
          <cell r="BN3" t="str">
            <v>いつもどおり</v>
          </cell>
          <cell r="BO3" t="str">
            <v>いつもどおり</v>
          </cell>
          <cell r="BP3" t="str">
            <v>少しあった</v>
          </cell>
        </row>
        <row r="4">
          <cell r="C4" t="str">
            <v>ややちがう</v>
          </cell>
          <cell r="D4" t="str">
            <v>まぁそうだ</v>
          </cell>
          <cell r="E4" t="str">
            <v>そうだ</v>
          </cell>
          <cell r="F4" t="str">
            <v>まぁそうだ</v>
          </cell>
          <cell r="G4" t="str">
            <v>まぁそうだ</v>
          </cell>
          <cell r="H4" t="str">
            <v>ややちがう</v>
          </cell>
          <cell r="I4" t="str">
            <v>ちがう</v>
          </cell>
          <cell r="J4" t="str">
            <v>まぁそうだ</v>
          </cell>
          <cell r="K4" t="str">
            <v>まぁそうだ</v>
          </cell>
          <cell r="L4" t="str">
            <v>ややちがう</v>
          </cell>
          <cell r="M4" t="str">
            <v>ややちがう</v>
          </cell>
          <cell r="N4" t="str">
            <v>まぁそうだ</v>
          </cell>
          <cell r="O4" t="str">
            <v>ちがう</v>
          </cell>
          <cell r="P4" t="str">
            <v>そうだ</v>
          </cell>
          <cell r="Q4" t="str">
            <v>まぁそうだ</v>
          </cell>
          <cell r="R4" t="str">
            <v>まぁそうだ</v>
          </cell>
          <cell r="S4" t="str">
            <v>ややちがう</v>
          </cell>
          <cell r="T4" t="str">
            <v>ほとんどなかった</v>
          </cell>
          <cell r="U4" t="str">
            <v>ほとんどなかった</v>
          </cell>
          <cell r="V4" t="str">
            <v>ほとんどなかった</v>
          </cell>
          <cell r="W4" t="str">
            <v>ときどきあった</v>
          </cell>
          <cell r="X4" t="str">
            <v>ときどきあった</v>
          </cell>
          <cell r="Y4" t="str">
            <v>ときどきあった</v>
          </cell>
          <cell r="Z4" t="str">
            <v>しばしばあった</v>
          </cell>
          <cell r="AA4" t="str">
            <v>ほとんどいつもあった</v>
          </cell>
          <cell r="AB4" t="str">
            <v>ほとんどいつもあった</v>
          </cell>
          <cell r="AC4" t="str">
            <v>ときどきあった</v>
          </cell>
          <cell r="AD4" t="str">
            <v>しばしばあった</v>
          </cell>
          <cell r="AE4" t="str">
            <v>しばしばあった</v>
          </cell>
          <cell r="AF4" t="str">
            <v>しばしばあった</v>
          </cell>
          <cell r="AG4" t="str">
            <v>ほとんどいつもあった</v>
          </cell>
          <cell r="AH4" t="str">
            <v>ほとんどいつもあった</v>
          </cell>
          <cell r="AI4" t="str">
            <v>しばしばあった</v>
          </cell>
          <cell r="AJ4" t="str">
            <v>ときどきあった</v>
          </cell>
          <cell r="AK4" t="str">
            <v>しばしばあった</v>
          </cell>
          <cell r="AL4" t="str">
            <v>ほとんどなかった</v>
          </cell>
          <cell r="AM4" t="str">
            <v>ときどきあった</v>
          </cell>
          <cell r="AN4" t="str">
            <v>ときどきあった</v>
          </cell>
          <cell r="AO4" t="str">
            <v>しばしばあった</v>
          </cell>
          <cell r="AP4" t="str">
            <v>ときどきあった</v>
          </cell>
          <cell r="AQ4" t="str">
            <v>しばしばあった</v>
          </cell>
          <cell r="AR4" t="str">
            <v>ときどきあった</v>
          </cell>
          <cell r="AS4" t="str">
            <v>しばしばあった</v>
          </cell>
          <cell r="AT4" t="str">
            <v>ほとんどいつもあった</v>
          </cell>
          <cell r="AU4" t="str">
            <v>ときどきあった</v>
          </cell>
          <cell r="AV4" t="str">
            <v>ときどきあった</v>
          </cell>
          <cell r="AW4" t="str">
            <v>かなり</v>
          </cell>
          <cell r="AX4" t="str">
            <v>かなり</v>
          </cell>
          <cell r="AY4" t="str">
            <v>かなり</v>
          </cell>
          <cell r="AZ4" t="str">
            <v>かなり</v>
          </cell>
          <cell r="BA4" t="str">
            <v>かなり</v>
          </cell>
          <cell r="BB4" t="str">
            <v>かなり</v>
          </cell>
          <cell r="BC4" t="str">
            <v>多少</v>
          </cell>
          <cell r="BD4" t="str">
            <v>かなり</v>
          </cell>
          <cell r="BE4" t="str">
            <v>かなり</v>
          </cell>
          <cell r="BF4" t="str">
            <v>やや満足</v>
          </cell>
          <cell r="BG4" t="str">
            <v>やや満足</v>
          </cell>
          <cell r="BI4" t="str">
            <v>いつもより寝つきは良い</v>
          </cell>
          <cell r="BJ4" t="str">
            <v>問題になるほどのことはなかった</v>
          </cell>
          <cell r="BK4" t="str">
            <v>少し早かった</v>
          </cell>
          <cell r="BL4" t="str">
            <v>かなり足りない</v>
          </cell>
          <cell r="BM4" t="str">
            <v>少し不満である</v>
          </cell>
          <cell r="BN4" t="str">
            <v>少し滅入った</v>
          </cell>
          <cell r="BO4" t="str">
            <v>少し低下した</v>
          </cell>
          <cell r="BP4" t="str">
            <v>かなりあった</v>
          </cell>
        </row>
        <row r="5">
          <cell r="C5" t="str">
            <v>ややちがう</v>
          </cell>
          <cell r="D5" t="str">
            <v>まぁそうだ</v>
          </cell>
          <cell r="E5" t="str">
            <v>ややちがう</v>
          </cell>
          <cell r="F5" t="str">
            <v>まぁそうだ</v>
          </cell>
          <cell r="G5" t="str">
            <v>そうだ</v>
          </cell>
          <cell r="H5" t="str">
            <v>ややちがう</v>
          </cell>
          <cell r="I5" t="str">
            <v>ちがう</v>
          </cell>
          <cell r="J5" t="str">
            <v>まぁそうだ</v>
          </cell>
          <cell r="K5" t="str">
            <v>まぁそうだ</v>
          </cell>
          <cell r="L5" t="str">
            <v>ややちがう</v>
          </cell>
          <cell r="M5" t="str">
            <v>ちがう</v>
          </cell>
          <cell r="N5" t="str">
            <v>ややちがう</v>
          </cell>
          <cell r="O5" t="str">
            <v>ややちがう</v>
          </cell>
          <cell r="P5" t="str">
            <v>まぁそうだ</v>
          </cell>
          <cell r="Q5" t="str">
            <v>ややちがう</v>
          </cell>
          <cell r="R5" t="str">
            <v>そうだ</v>
          </cell>
          <cell r="S5" t="str">
            <v>まぁそうだ</v>
          </cell>
          <cell r="T5" t="str">
            <v>ときどきあった</v>
          </cell>
          <cell r="U5" t="str">
            <v>ときどきあった</v>
          </cell>
          <cell r="V5" t="str">
            <v>ときどきあった</v>
          </cell>
          <cell r="W5" t="str">
            <v>ほとんどなかった</v>
          </cell>
          <cell r="X5" t="str">
            <v>ときどきあった</v>
          </cell>
          <cell r="Y5" t="str">
            <v>ときどきあった</v>
          </cell>
          <cell r="Z5" t="str">
            <v>しばしばあった</v>
          </cell>
          <cell r="AA5" t="str">
            <v>しばしばあった</v>
          </cell>
          <cell r="AB5" t="str">
            <v>ほとんどいつもあった</v>
          </cell>
          <cell r="AC5" t="str">
            <v>ときどきあった</v>
          </cell>
          <cell r="AD5" t="str">
            <v>ほとんどいつもあった</v>
          </cell>
          <cell r="AE5" t="str">
            <v>しばしばあった</v>
          </cell>
          <cell r="AF5" t="str">
            <v>しばしばあった</v>
          </cell>
          <cell r="AG5" t="str">
            <v>しばしばあった</v>
          </cell>
          <cell r="AH5" t="str">
            <v>しばしばあった</v>
          </cell>
          <cell r="AI5" t="str">
            <v>しばしばあった</v>
          </cell>
          <cell r="AJ5" t="str">
            <v>ときどきあった</v>
          </cell>
          <cell r="AK5" t="str">
            <v>ときどきあった</v>
          </cell>
          <cell r="AL5" t="str">
            <v>ほとんどなかった</v>
          </cell>
          <cell r="AM5" t="str">
            <v>ときどきあった</v>
          </cell>
          <cell r="AN5" t="str">
            <v>しばしばあった</v>
          </cell>
          <cell r="AO5" t="str">
            <v>ほとんどいつもあった</v>
          </cell>
          <cell r="AP5" t="str">
            <v>ほとんどなかった</v>
          </cell>
          <cell r="AQ5" t="str">
            <v>しばしばあった</v>
          </cell>
          <cell r="AR5" t="str">
            <v>ほとんどなかった</v>
          </cell>
          <cell r="AS5" t="str">
            <v>ときどきあった</v>
          </cell>
          <cell r="AT5" t="str">
            <v>ときどきあった</v>
          </cell>
          <cell r="AU5" t="str">
            <v>ときどきあった</v>
          </cell>
          <cell r="AV5" t="str">
            <v>しばしばあった</v>
          </cell>
          <cell r="AW5" t="str">
            <v>多少</v>
          </cell>
          <cell r="AX5" t="str">
            <v>多少</v>
          </cell>
          <cell r="AY5" t="str">
            <v>かなり</v>
          </cell>
          <cell r="AZ5" t="str">
            <v>かなり</v>
          </cell>
          <cell r="BA5" t="str">
            <v>多少</v>
          </cell>
          <cell r="BB5" t="str">
            <v>多少</v>
          </cell>
          <cell r="BC5" t="str">
            <v>かなり</v>
          </cell>
          <cell r="BD5" t="str">
            <v>多少</v>
          </cell>
          <cell r="BE5" t="str">
            <v>多少</v>
          </cell>
          <cell r="BF5" t="str">
            <v>やや満足</v>
          </cell>
          <cell r="BG5" t="str">
            <v>やや満足</v>
          </cell>
          <cell r="BI5" t="str">
            <v>いつもより少し時間がかかった</v>
          </cell>
          <cell r="BJ5" t="str">
            <v>少し困ることがある</v>
          </cell>
          <cell r="BK5" t="str">
            <v>そのようなことはなかった</v>
          </cell>
          <cell r="BL5" t="str">
            <v>かなり足りない</v>
          </cell>
          <cell r="BM5" t="str">
            <v>かなり不満である</v>
          </cell>
          <cell r="BN5" t="str">
            <v>少し滅入った</v>
          </cell>
          <cell r="BO5" t="str">
            <v>少し低下した</v>
          </cell>
          <cell r="BP5" t="str">
            <v>かなりあった</v>
          </cell>
        </row>
        <row r="6">
          <cell r="C6" t="str">
            <v>まぁそうだ</v>
          </cell>
          <cell r="D6" t="str">
            <v>まぁそうだ</v>
          </cell>
          <cell r="E6" t="str">
            <v>まぁそうだ</v>
          </cell>
          <cell r="F6" t="str">
            <v>まぁそうだ</v>
          </cell>
          <cell r="G6" t="str">
            <v>ややちがう</v>
          </cell>
          <cell r="H6" t="str">
            <v>そうだ</v>
          </cell>
          <cell r="I6" t="str">
            <v>ややちがう</v>
          </cell>
          <cell r="J6" t="str">
            <v>ややちがう</v>
          </cell>
          <cell r="K6" t="str">
            <v>ややちがう</v>
          </cell>
          <cell r="L6" t="str">
            <v>ややちがう</v>
          </cell>
          <cell r="M6" t="str">
            <v>まぁそうだ</v>
          </cell>
          <cell r="N6" t="str">
            <v>ちがう</v>
          </cell>
          <cell r="O6" t="str">
            <v>ややちがう</v>
          </cell>
          <cell r="P6" t="str">
            <v>まぁそうだ</v>
          </cell>
          <cell r="Q6" t="str">
            <v>ちがう</v>
          </cell>
          <cell r="R6" t="str">
            <v>まぁそうだ</v>
          </cell>
          <cell r="S6" t="str">
            <v>まぁそうだ</v>
          </cell>
          <cell r="T6" t="str">
            <v>ほとんどなかった</v>
          </cell>
          <cell r="U6" t="str">
            <v>ほとんどなかった</v>
          </cell>
          <cell r="V6" t="str">
            <v>ほとんどなかった</v>
          </cell>
          <cell r="W6" t="str">
            <v>ときどきあった</v>
          </cell>
          <cell r="X6" t="str">
            <v>ときどきあった</v>
          </cell>
          <cell r="Y6" t="str">
            <v>しばしばあった</v>
          </cell>
          <cell r="Z6" t="str">
            <v>ほとんどいつもあった</v>
          </cell>
          <cell r="AA6" t="str">
            <v>しばしばあった</v>
          </cell>
          <cell r="AB6" t="str">
            <v>ほとんどなかった</v>
          </cell>
          <cell r="AC6" t="str">
            <v>しばしばあった</v>
          </cell>
          <cell r="AD6" t="str">
            <v>ほとんどいつもあった</v>
          </cell>
          <cell r="AE6" t="str">
            <v>しばしばあった</v>
          </cell>
          <cell r="AF6" t="str">
            <v>ときどきあった</v>
          </cell>
          <cell r="AG6" t="str">
            <v>ほとんどなかった</v>
          </cell>
          <cell r="AH6" t="str">
            <v>ときどきあった</v>
          </cell>
          <cell r="AI6" t="str">
            <v>しばしばあった</v>
          </cell>
          <cell r="AJ6" t="str">
            <v>ほとんどなかった</v>
          </cell>
          <cell r="AK6" t="str">
            <v>ほとんどなかった</v>
          </cell>
          <cell r="AL6" t="str">
            <v>ほとんどなかった</v>
          </cell>
          <cell r="AM6" t="str">
            <v>ときどきあった</v>
          </cell>
          <cell r="AN6" t="str">
            <v>ときどきあった</v>
          </cell>
          <cell r="AO6" t="str">
            <v>ほとんどいつもあった</v>
          </cell>
          <cell r="AP6" t="str">
            <v>ほとんどなかった</v>
          </cell>
          <cell r="AQ6" t="str">
            <v>しばしばあった</v>
          </cell>
          <cell r="AR6" t="str">
            <v>ときどきあった</v>
          </cell>
          <cell r="AS6" t="str">
            <v>ほとんどなかった</v>
          </cell>
          <cell r="AT6" t="str">
            <v>ときどきあった</v>
          </cell>
          <cell r="AU6" t="str">
            <v>ほとんどなかった</v>
          </cell>
          <cell r="AV6" t="str">
            <v>しばしばあった</v>
          </cell>
          <cell r="AW6" t="str">
            <v>かなり</v>
          </cell>
          <cell r="AX6" t="str">
            <v>非常に</v>
          </cell>
          <cell r="AY6" t="str">
            <v>かなり</v>
          </cell>
          <cell r="AZ6" t="str">
            <v>かなり</v>
          </cell>
          <cell r="BA6" t="str">
            <v>かなり</v>
          </cell>
          <cell r="BB6" t="str">
            <v>かなり</v>
          </cell>
          <cell r="BC6" t="str">
            <v>全くない</v>
          </cell>
          <cell r="BD6" t="str">
            <v>多少</v>
          </cell>
          <cell r="BE6" t="str">
            <v>非常に</v>
          </cell>
          <cell r="BF6" t="str">
            <v>やや満足</v>
          </cell>
          <cell r="BG6" t="str">
            <v>やや満足</v>
          </cell>
          <cell r="BI6" t="str">
            <v>いつもより少し時間がかかった</v>
          </cell>
          <cell r="BJ6" t="str">
            <v>かなり困っている</v>
          </cell>
          <cell r="BK6" t="str">
            <v>そのようなことはなかった</v>
          </cell>
          <cell r="BL6" t="str">
            <v>少し足りない</v>
          </cell>
          <cell r="BM6" t="str">
            <v>かなり不満である</v>
          </cell>
          <cell r="BN6" t="str">
            <v>かなり滅入った</v>
          </cell>
          <cell r="BO6" t="str">
            <v>かなり低下した</v>
          </cell>
          <cell r="BP6" t="str">
            <v>かなりあった</v>
          </cell>
        </row>
        <row r="7">
          <cell r="C7" t="str">
            <v>まぁそうだ</v>
          </cell>
          <cell r="D7" t="str">
            <v>ややちがう</v>
          </cell>
          <cell r="E7" t="str">
            <v>まぁそうだ</v>
          </cell>
          <cell r="F7" t="str">
            <v>まぁそうだ</v>
          </cell>
          <cell r="G7" t="str">
            <v>そうだ</v>
          </cell>
          <cell r="H7" t="str">
            <v>ややちがう</v>
          </cell>
          <cell r="I7" t="str">
            <v>ちがう</v>
          </cell>
          <cell r="J7" t="str">
            <v>まぁそうだ</v>
          </cell>
          <cell r="K7" t="str">
            <v>まぁそうだ</v>
          </cell>
          <cell r="L7" t="str">
            <v>ややちがう</v>
          </cell>
          <cell r="M7" t="str">
            <v>まぁそうだ</v>
          </cell>
          <cell r="N7" t="str">
            <v>ちがう</v>
          </cell>
          <cell r="O7" t="str">
            <v>ちがう</v>
          </cell>
          <cell r="P7" t="str">
            <v>まぁそうだ</v>
          </cell>
          <cell r="Q7" t="str">
            <v>まぁそうだ</v>
          </cell>
          <cell r="R7" t="str">
            <v>まぁそうだ</v>
          </cell>
          <cell r="S7" t="str">
            <v>まぁそうだ</v>
          </cell>
          <cell r="T7" t="str">
            <v>ほとんどなかった</v>
          </cell>
          <cell r="U7" t="str">
            <v>ほとんどなかった</v>
          </cell>
          <cell r="V7" t="str">
            <v>ほとんどなかった</v>
          </cell>
          <cell r="W7" t="str">
            <v>ときどきあった</v>
          </cell>
          <cell r="X7" t="str">
            <v>ほとんどなかった</v>
          </cell>
          <cell r="Y7" t="str">
            <v>しばしばあった</v>
          </cell>
          <cell r="Z7" t="str">
            <v>しばしばあった</v>
          </cell>
          <cell r="AA7" t="str">
            <v>ときどきあった</v>
          </cell>
          <cell r="AB7" t="str">
            <v>ほとんどいつもあった</v>
          </cell>
          <cell r="AC7" t="str">
            <v>しばしばあった</v>
          </cell>
          <cell r="AD7" t="str">
            <v>ほとんどいつもあった</v>
          </cell>
          <cell r="AE7" t="str">
            <v>しばしばあった</v>
          </cell>
          <cell r="AF7" t="str">
            <v>ときどきあった</v>
          </cell>
          <cell r="AG7" t="str">
            <v>しばしばあった</v>
          </cell>
          <cell r="AH7" t="str">
            <v>ほとんどいつもあった</v>
          </cell>
          <cell r="AI7" t="str">
            <v>しばしばあった</v>
          </cell>
          <cell r="AJ7" t="str">
            <v>ときどきあった</v>
          </cell>
          <cell r="AK7" t="str">
            <v>ときどきあった</v>
          </cell>
          <cell r="AL7" t="str">
            <v>ほとんどなかった</v>
          </cell>
          <cell r="AM7" t="str">
            <v>ほとんどなかった</v>
          </cell>
          <cell r="AN7" t="str">
            <v>ときどきあった</v>
          </cell>
          <cell r="AO7" t="str">
            <v>ときどきあった</v>
          </cell>
          <cell r="AP7" t="str">
            <v>ときどきあった</v>
          </cell>
          <cell r="AQ7" t="str">
            <v>ときどきあった</v>
          </cell>
          <cell r="AR7" t="str">
            <v>ほとんどなかった</v>
          </cell>
          <cell r="AS7" t="str">
            <v>ときどきあった</v>
          </cell>
          <cell r="AT7" t="str">
            <v>ときどきあった</v>
          </cell>
          <cell r="AU7" t="str">
            <v>ほとんどいつもあった</v>
          </cell>
          <cell r="AV7" t="str">
            <v>ほとんどなかった</v>
          </cell>
          <cell r="AW7" t="str">
            <v>全くない</v>
          </cell>
          <cell r="AX7" t="str">
            <v>全くない</v>
          </cell>
          <cell r="AY7" t="str">
            <v>かなり</v>
          </cell>
          <cell r="AZ7" t="str">
            <v>かなり</v>
          </cell>
          <cell r="BA7" t="str">
            <v>かなり</v>
          </cell>
          <cell r="BB7" t="str">
            <v>かなり</v>
          </cell>
          <cell r="BC7" t="str">
            <v>全くない</v>
          </cell>
          <cell r="BD7" t="str">
            <v>全くない</v>
          </cell>
          <cell r="BE7" t="str">
            <v>多少</v>
          </cell>
          <cell r="BF7" t="str">
            <v>やや満足</v>
          </cell>
          <cell r="BG7" t="str">
            <v>まぁ満足</v>
          </cell>
          <cell r="BI7" t="str">
            <v>いつもより寝つきは良い</v>
          </cell>
          <cell r="BJ7" t="str">
            <v>問題になるほどのことはなかった</v>
          </cell>
          <cell r="BK7" t="str">
            <v>少し早かった</v>
          </cell>
          <cell r="BL7" t="str">
            <v>かなり足りない</v>
          </cell>
          <cell r="BM7" t="str">
            <v>満足している</v>
          </cell>
          <cell r="BN7" t="str">
            <v>少し滅入った</v>
          </cell>
          <cell r="BO7" t="str">
            <v>かなり低下した</v>
          </cell>
          <cell r="BP7" t="str">
            <v>激しかった</v>
          </cell>
        </row>
        <row r="8">
          <cell r="C8" t="str">
            <v>ややちがう</v>
          </cell>
          <cell r="D8" t="str">
            <v>ややちがう</v>
          </cell>
          <cell r="E8" t="str">
            <v>まぁそうだ</v>
          </cell>
          <cell r="F8" t="str">
            <v>そうだ</v>
          </cell>
          <cell r="G8" t="str">
            <v>まぁそうだ</v>
          </cell>
          <cell r="H8" t="str">
            <v>まぁそうだ</v>
          </cell>
          <cell r="I8" t="str">
            <v>ちがう</v>
          </cell>
          <cell r="J8" t="str">
            <v>まぁそうだ</v>
          </cell>
          <cell r="K8" t="str">
            <v>ややちがう</v>
          </cell>
          <cell r="L8" t="str">
            <v>まぁそうだ</v>
          </cell>
          <cell r="M8" t="str">
            <v>ややちがう</v>
          </cell>
          <cell r="N8" t="str">
            <v>ちがう</v>
          </cell>
          <cell r="O8" t="str">
            <v>ややちがう</v>
          </cell>
          <cell r="P8" t="str">
            <v>まぁそうだ</v>
          </cell>
          <cell r="Q8" t="str">
            <v>ちがう</v>
          </cell>
          <cell r="R8" t="str">
            <v>まぁそうだ</v>
          </cell>
          <cell r="S8" t="str">
            <v>まぁそうだ</v>
          </cell>
          <cell r="T8" t="str">
            <v>しばしばあった</v>
          </cell>
          <cell r="U8" t="str">
            <v>しばしばあった</v>
          </cell>
          <cell r="V8" t="str">
            <v>しばしばあった</v>
          </cell>
          <cell r="W8" t="str">
            <v>ときどきあった</v>
          </cell>
          <cell r="X8" t="str">
            <v>しばしばあった</v>
          </cell>
          <cell r="Y8" t="str">
            <v>ときどきあった</v>
          </cell>
          <cell r="Z8" t="str">
            <v>ときどきあった</v>
          </cell>
          <cell r="AA8" t="str">
            <v>ときどきあった</v>
          </cell>
          <cell r="AB8" t="str">
            <v>しばしばあった</v>
          </cell>
          <cell r="AC8" t="str">
            <v>ときどきあった</v>
          </cell>
          <cell r="AD8" t="str">
            <v>ときどきあった</v>
          </cell>
          <cell r="AE8" t="str">
            <v>ときどきあった</v>
          </cell>
          <cell r="AF8" t="str">
            <v>ときどきあった</v>
          </cell>
          <cell r="AG8" t="str">
            <v>ときどきあった</v>
          </cell>
          <cell r="AH8" t="str">
            <v>ときどきあった</v>
          </cell>
          <cell r="AI8" t="str">
            <v>ときどきあった</v>
          </cell>
          <cell r="AJ8" t="str">
            <v>ときどきあった</v>
          </cell>
          <cell r="AK8" t="str">
            <v>ときどきあった</v>
          </cell>
          <cell r="AL8" t="str">
            <v>ほとんどなかった</v>
          </cell>
          <cell r="AM8" t="str">
            <v>ときどきあった</v>
          </cell>
          <cell r="AN8" t="str">
            <v>ときどきあった</v>
          </cell>
          <cell r="AO8" t="str">
            <v>しばしばあった</v>
          </cell>
          <cell r="AP8" t="str">
            <v>ほとんどなかった</v>
          </cell>
          <cell r="AQ8" t="str">
            <v>ときどきあった</v>
          </cell>
          <cell r="AR8" t="str">
            <v>ほとんどなかった</v>
          </cell>
          <cell r="AS8" t="str">
            <v>ほとんどなかった</v>
          </cell>
          <cell r="AT8" t="str">
            <v>ほとんどなかった</v>
          </cell>
          <cell r="AU8" t="str">
            <v>ほとんどなかった</v>
          </cell>
          <cell r="AV8" t="str">
            <v>ときどきあった</v>
          </cell>
          <cell r="AW8" t="str">
            <v>多少</v>
          </cell>
          <cell r="AX8" t="str">
            <v>かなり</v>
          </cell>
          <cell r="AY8" t="str">
            <v>多少</v>
          </cell>
          <cell r="AZ8" t="str">
            <v>かなり</v>
          </cell>
          <cell r="BA8" t="str">
            <v>多少</v>
          </cell>
          <cell r="BB8" t="str">
            <v>多少</v>
          </cell>
          <cell r="BC8" t="str">
            <v>多少</v>
          </cell>
          <cell r="BD8" t="str">
            <v>かなり</v>
          </cell>
          <cell r="BE8" t="str">
            <v>多少</v>
          </cell>
          <cell r="BF8" t="str">
            <v>まぁ満足</v>
          </cell>
          <cell r="BG8" t="str">
            <v>まぁ満足</v>
          </cell>
          <cell r="BI8" t="str">
            <v>いつもより少し時間がかかった</v>
          </cell>
          <cell r="BJ8" t="str">
            <v>少し困ることがある</v>
          </cell>
          <cell r="BK8" t="str">
            <v>少し早かった</v>
          </cell>
          <cell r="BL8" t="str">
            <v>少し足りない</v>
          </cell>
          <cell r="BM8" t="str">
            <v>少し不満である</v>
          </cell>
          <cell r="BN8" t="str">
            <v>いつもどおり</v>
          </cell>
          <cell r="BO8" t="str">
            <v>いつもどおり</v>
          </cell>
          <cell r="BP8" t="str">
            <v>少しあった</v>
          </cell>
        </row>
        <row r="9">
          <cell r="C9" t="str">
            <v>まぁそうだ</v>
          </cell>
          <cell r="D9" t="str">
            <v>まぁそうだ</v>
          </cell>
          <cell r="E9" t="str">
            <v>まぁそうだ</v>
          </cell>
          <cell r="F9" t="str">
            <v>まぁそうだ</v>
          </cell>
          <cell r="G9" t="str">
            <v>まぁそうだ</v>
          </cell>
          <cell r="H9" t="str">
            <v>まぁそうだ</v>
          </cell>
          <cell r="I9" t="str">
            <v>ややちがう</v>
          </cell>
          <cell r="J9" t="str">
            <v>まぁそうだ</v>
          </cell>
          <cell r="K9" t="str">
            <v>まぁそうだ</v>
          </cell>
          <cell r="L9" t="str">
            <v>まぁそうだ</v>
          </cell>
          <cell r="M9" t="str">
            <v>ややちがう</v>
          </cell>
          <cell r="N9" t="str">
            <v>ややちがう</v>
          </cell>
          <cell r="O9" t="str">
            <v>ちがう</v>
          </cell>
          <cell r="P9" t="str">
            <v>まぁそうだ</v>
          </cell>
          <cell r="Q9" t="str">
            <v>ややちがう</v>
          </cell>
          <cell r="R9" t="str">
            <v>まぁそうだ</v>
          </cell>
          <cell r="S9" t="str">
            <v>まぁそうだ</v>
          </cell>
          <cell r="T9" t="str">
            <v>ときどきあった</v>
          </cell>
          <cell r="U9" t="str">
            <v>ときどきあった</v>
          </cell>
          <cell r="V9" t="str">
            <v>ときどきあった</v>
          </cell>
          <cell r="W9" t="str">
            <v>しばしばあった</v>
          </cell>
          <cell r="X9" t="str">
            <v>しばしばあった</v>
          </cell>
          <cell r="Y9" t="str">
            <v>しばしばあった</v>
          </cell>
          <cell r="Z9" t="str">
            <v>しばしばあった</v>
          </cell>
          <cell r="AA9" t="str">
            <v>しばしばあった</v>
          </cell>
          <cell r="AB9" t="str">
            <v>しばしばあった</v>
          </cell>
          <cell r="AC9" t="str">
            <v>しばしばあった</v>
          </cell>
          <cell r="AD9" t="str">
            <v>ほとんどいつもあった</v>
          </cell>
          <cell r="AE9" t="str">
            <v>しばしばあった</v>
          </cell>
          <cell r="AF9" t="str">
            <v>しばしばあった</v>
          </cell>
          <cell r="AG9" t="str">
            <v>しばしばあった</v>
          </cell>
          <cell r="AH9" t="str">
            <v>ときどきあった</v>
          </cell>
          <cell r="AI9" t="str">
            <v>ほとんどいつもあった</v>
          </cell>
          <cell r="AJ9" t="str">
            <v>ときどきあった</v>
          </cell>
          <cell r="AK9" t="str">
            <v>しばしばあった</v>
          </cell>
          <cell r="AL9" t="str">
            <v>ほとんどなかった</v>
          </cell>
          <cell r="AM9" t="str">
            <v>ときどきあった</v>
          </cell>
          <cell r="AN9" t="str">
            <v>ときどきあった</v>
          </cell>
          <cell r="AO9" t="str">
            <v>ときどきあった</v>
          </cell>
          <cell r="AP9" t="str">
            <v>ときどきあった</v>
          </cell>
          <cell r="AQ9" t="str">
            <v>しばしばあった</v>
          </cell>
          <cell r="AR9" t="str">
            <v>ほとんどなかった</v>
          </cell>
          <cell r="AS9" t="str">
            <v>しばしばあった</v>
          </cell>
          <cell r="AT9" t="str">
            <v>ほとんどなかった</v>
          </cell>
          <cell r="AU9" t="str">
            <v>ときどきあった</v>
          </cell>
          <cell r="AV9" t="str">
            <v>しばしばあった</v>
          </cell>
          <cell r="AW9" t="str">
            <v>多少</v>
          </cell>
          <cell r="AX9" t="str">
            <v>多少</v>
          </cell>
          <cell r="AY9" t="str">
            <v>多少</v>
          </cell>
          <cell r="AZ9" t="str">
            <v>かなり</v>
          </cell>
          <cell r="BA9" t="str">
            <v>かなり</v>
          </cell>
          <cell r="BB9" t="str">
            <v>多少</v>
          </cell>
          <cell r="BC9" t="str">
            <v>かなり</v>
          </cell>
          <cell r="BD9" t="str">
            <v>かなり</v>
          </cell>
          <cell r="BE9" t="str">
            <v>かなり</v>
          </cell>
          <cell r="BF9" t="str">
            <v>まぁ満足</v>
          </cell>
          <cell r="BG9" t="str">
            <v>やや満足</v>
          </cell>
          <cell r="BI9" t="str">
            <v>いつもより少し時間がかかった</v>
          </cell>
          <cell r="BJ9" t="str">
            <v>少し困ることがある</v>
          </cell>
          <cell r="BK9" t="str">
            <v>少し早かった</v>
          </cell>
          <cell r="BL9" t="str">
            <v>少し足りない</v>
          </cell>
          <cell r="BM9" t="str">
            <v>少し不満である</v>
          </cell>
          <cell r="BN9" t="str">
            <v>少し滅入った</v>
          </cell>
          <cell r="BO9" t="str">
            <v>少し低下した</v>
          </cell>
          <cell r="BP9" t="str">
            <v>少しあった</v>
          </cell>
        </row>
        <row r="10">
          <cell r="C10" t="str">
            <v>まぁそうだ</v>
          </cell>
          <cell r="D10" t="str">
            <v>ややちがう</v>
          </cell>
          <cell r="E10" t="str">
            <v>まぁそうだ</v>
          </cell>
          <cell r="F10" t="str">
            <v>まぁそうだ</v>
          </cell>
          <cell r="G10" t="str">
            <v>まぁそうだ</v>
          </cell>
          <cell r="H10" t="str">
            <v>まぁそうだ</v>
          </cell>
          <cell r="I10" t="str">
            <v>ちがう</v>
          </cell>
          <cell r="J10" t="str">
            <v>そうだ</v>
          </cell>
          <cell r="K10" t="str">
            <v>そうだ</v>
          </cell>
          <cell r="L10" t="str">
            <v>そうだ</v>
          </cell>
          <cell r="M10" t="str">
            <v>ちがう</v>
          </cell>
          <cell r="N10" t="str">
            <v>ちがう</v>
          </cell>
          <cell r="O10" t="str">
            <v>ちがう</v>
          </cell>
          <cell r="P10" t="str">
            <v>そうだ</v>
          </cell>
          <cell r="Q10" t="str">
            <v>ちがう</v>
          </cell>
          <cell r="R10" t="str">
            <v>そうだ</v>
          </cell>
          <cell r="S10" t="str">
            <v>そうだ</v>
          </cell>
          <cell r="T10" t="str">
            <v>しばしばあった</v>
          </cell>
          <cell r="U10" t="str">
            <v>しばしばあった</v>
          </cell>
          <cell r="V10" t="str">
            <v>ときどきあった</v>
          </cell>
          <cell r="W10" t="str">
            <v>ほとんどなかった</v>
          </cell>
          <cell r="X10" t="str">
            <v>ほとんどなかった</v>
          </cell>
          <cell r="Y10" t="str">
            <v>ときどきあった</v>
          </cell>
          <cell r="Z10" t="str">
            <v>ときどきあった</v>
          </cell>
          <cell r="AA10" t="str">
            <v>ほとんどなかった</v>
          </cell>
          <cell r="AB10" t="str">
            <v>ときどきばあった</v>
          </cell>
          <cell r="AC10" t="str">
            <v>ほとんどなかった</v>
          </cell>
          <cell r="AD10" t="str">
            <v>ほとんどなかった</v>
          </cell>
          <cell r="AE10" t="str">
            <v>ほとんどなかった</v>
          </cell>
          <cell r="AF10" t="str">
            <v>ほとんどなかった</v>
          </cell>
          <cell r="AG10" t="str">
            <v>ほとんどなかった</v>
          </cell>
          <cell r="AH10" t="str">
            <v>ときどきあった</v>
          </cell>
          <cell r="AI10" t="str">
            <v>ほとんどなかった</v>
          </cell>
          <cell r="AJ10" t="str">
            <v>ほとんどなかった</v>
          </cell>
          <cell r="AK10" t="str">
            <v>ほとんどなかった</v>
          </cell>
          <cell r="AL10" t="str">
            <v>ときどきあった</v>
          </cell>
          <cell r="AM10" t="str">
            <v>ときどきあった</v>
          </cell>
          <cell r="AN10" t="str">
            <v>ときどきあった</v>
          </cell>
          <cell r="AO10" t="str">
            <v>しばしばあった</v>
          </cell>
          <cell r="AP10" t="str">
            <v>ときどきあった</v>
          </cell>
          <cell r="AQ10" t="str">
            <v>しばしばあった</v>
          </cell>
          <cell r="AR10" t="str">
            <v>ほとんどなかった</v>
          </cell>
          <cell r="AS10" t="str">
            <v>ときどきあった</v>
          </cell>
          <cell r="AT10" t="str">
            <v>ほとんどなかった</v>
          </cell>
          <cell r="AU10" t="str">
            <v>しばしばあった</v>
          </cell>
          <cell r="AV10" t="str">
            <v>ほとんどなかった</v>
          </cell>
          <cell r="AW10" t="str">
            <v>かなり</v>
          </cell>
          <cell r="AX10" t="str">
            <v>かなり</v>
          </cell>
          <cell r="AY10" t="str">
            <v>かなり</v>
          </cell>
          <cell r="AZ10" t="str">
            <v>かなり</v>
          </cell>
          <cell r="BA10" t="str">
            <v>かなり</v>
          </cell>
          <cell r="BB10" t="str">
            <v>多少</v>
          </cell>
          <cell r="BC10" t="str">
            <v>かなり</v>
          </cell>
          <cell r="BD10" t="str">
            <v>かなり</v>
          </cell>
          <cell r="BE10" t="str">
            <v>多少</v>
          </cell>
          <cell r="BF10" t="str">
            <v>満足</v>
          </cell>
          <cell r="BG10" t="str">
            <v>満足</v>
          </cell>
          <cell r="BI10" t="str">
            <v>いつもより寝つきは良い</v>
          </cell>
          <cell r="BJ10" t="str">
            <v>問題になるほどのことはなかった</v>
          </cell>
          <cell r="BK10" t="str">
            <v>少し早かった</v>
          </cell>
          <cell r="BL10" t="str">
            <v>少し足りない</v>
          </cell>
          <cell r="BM10" t="str">
            <v>少し不満である</v>
          </cell>
          <cell r="BN10" t="str">
            <v>いつもどおり</v>
          </cell>
          <cell r="BO10" t="str">
            <v>いつもどおり</v>
          </cell>
          <cell r="BP10" t="str">
            <v>少しあった</v>
          </cell>
        </row>
        <row r="11">
          <cell r="C11" t="str">
            <v>まぁそうだ</v>
          </cell>
          <cell r="D11" t="str">
            <v>まぁそうだ</v>
          </cell>
          <cell r="E11" t="str">
            <v>まぁそうだ</v>
          </cell>
          <cell r="F11" t="str">
            <v>まぁそうだ</v>
          </cell>
          <cell r="G11" t="str">
            <v>まぁそうだ</v>
          </cell>
          <cell r="H11" t="str">
            <v>ややちがう</v>
          </cell>
          <cell r="I11" t="str">
            <v>ややちがう</v>
          </cell>
          <cell r="J11" t="str">
            <v>まぁそうだ</v>
          </cell>
          <cell r="K11" t="str">
            <v>まぁそうだ</v>
          </cell>
          <cell r="L11" t="str">
            <v>ややちがう</v>
          </cell>
          <cell r="M11" t="str">
            <v>ややちがう</v>
          </cell>
          <cell r="N11" t="str">
            <v>ややちがう</v>
          </cell>
          <cell r="O11" t="str">
            <v>ややちがう</v>
          </cell>
          <cell r="P11" t="str">
            <v>まぁそうだ</v>
          </cell>
          <cell r="Q11" t="str">
            <v>ややちがう</v>
          </cell>
          <cell r="R11" t="str">
            <v>まぁそうだ</v>
          </cell>
          <cell r="S11" t="str">
            <v>まぁそうだ</v>
          </cell>
          <cell r="T11" t="str">
            <v>ほとんどいつもあった</v>
          </cell>
          <cell r="U11" t="str">
            <v>ほとんどなかった</v>
          </cell>
          <cell r="V11" t="str">
            <v>ほとんどなかった</v>
          </cell>
          <cell r="W11" t="str">
            <v>しばしばあった</v>
          </cell>
          <cell r="X11" t="str">
            <v>しばしばあった</v>
          </cell>
          <cell r="Y11" t="str">
            <v>しばしばあった</v>
          </cell>
          <cell r="Z11" t="str">
            <v>しばしばあった</v>
          </cell>
          <cell r="AA11" t="str">
            <v>ときどきあった</v>
          </cell>
          <cell r="AB11" t="str">
            <v>ときどきばあった</v>
          </cell>
          <cell r="AC11" t="str">
            <v>ときどきあった</v>
          </cell>
          <cell r="AD11" t="str">
            <v>ときどきあった</v>
          </cell>
          <cell r="AE11" t="str">
            <v>ときどきあった</v>
          </cell>
          <cell r="AF11" t="str">
            <v>ときどきあった</v>
          </cell>
          <cell r="AG11" t="str">
            <v>ときどきあった</v>
          </cell>
          <cell r="AH11" t="str">
            <v>ときどきあった</v>
          </cell>
          <cell r="AI11" t="str">
            <v>ときどきあった</v>
          </cell>
          <cell r="AJ11" t="str">
            <v>ときどきあった</v>
          </cell>
          <cell r="AK11" t="str">
            <v>ときどきあった</v>
          </cell>
          <cell r="AL11" t="str">
            <v>ほとんどなかった</v>
          </cell>
          <cell r="AM11" t="str">
            <v>しばしばあった</v>
          </cell>
          <cell r="AN11" t="str">
            <v>ときどきあった</v>
          </cell>
          <cell r="AO11" t="str">
            <v>ときどきあった</v>
          </cell>
          <cell r="AP11" t="str">
            <v>しばしばあった</v>
          </cell>
          <cell r="AQ11" t="str">
            <v>しばしばあった</v>
          </cell>
          <cell r="AR11" t="str">
            <v>しばしばあった</v>
          </cell>
          <cell r="AS11" t="str">
            <v>ときどきあった</v>
          </cell>
          <cell r="AT11" t="str">
            <v>ときどきあった</v>
          </cell>
          <cell r="AU11" t="str">
            <v>ほとんどなかった</v>
          </cell>
          <cell r="AV11" t="str">
            <v>ほとんどいつもあった</v>
          </cell>
          <cell r="AW11" t="str">
            <v>多少</v>
          </cell>
          <cell r="AX11" t="str">
            <v>多少</v>
          </cell>
          <cell r="AY11" t="str">
            <v>多少</v>
          </cell>
          <cell r="AZ11" t="str">
            <v>多少</v>
          </cell>
          <cell r="BA11" t="str">
            <v>多少</v>
          </cell>
          <cell r="BB11" t="str">
            <v>多少</v>
          </cell>
          <cell r="BC11" t="str">
            <v>多少</v>
          </cell>
          <cell r="BD11" t="str">
            <v>多少</v>
          </cell>
          <cell r="BE11" t="str">
            <v>多少</v>
          </cell>
          <cell r="BF11" t="str">
            <v>まぁ満足</v>
          </cell>
          <cell r="BG11" t="str">
            <v>まぁ満足</v>
          </cell>
          <cell r="BI11" t="str">
            <v>いつもよりかなり時間がかかった</v>
          </cell>
          <cell r="BJ11" t="str">
            <v>少し困ることがある</v>
          </cell>
          <cell r="BK11" t="str">
            <v>少し早かった</v>
          </cell>
          <cell r="BL11" t="str">
            <v>かなり足りない</v>
          </cell>
          <cell r="BM11" t="str">
            <v>かなり不満である</v>
          </cell>
          <cell r="BN11" t="str">
            <v>いつもどおり</v>
          </cell>
          <cell r="BO11" t="str">
            <v>いつもどおり</v>
          </cell>
          <cell r="BP11" t="str">
            <v>少しあった</v>
          </cell>
        </row>
        <row r="12">
          <cell r="C12" t="str">
            <v>ややちがう</v>
          </cell>
          <cell r="D12" t="str">
            <v>ちがう</v>
          </cell>
          <cell r="E12" t="str">
            <v>ややちがう</v>
          </cell>
          <cell r="F12" t="str">
            <v>まぁそうだ</v>
          </cell>
          <cell r="G12" t="str">
            <v>ちがう</v>
          </cell>
          <cell r="H12" t="str">
            <v>ちがう</v>
          </cell>
          <cell r="I12" t="str">
            <v>ちがう</v>
          </cell>
          <cell r="J12" t="str">
            <v>まぁそうだ</v>
          </cell>
          <cell r="K12" t="str">
            <v>まぁそうだ</v>
          </cell>
          <cell r="L12" t="str">
            <v>まぁそうだ</v>
          </cell>
          <cell r="M12" t="str">
            <v>まぁそうだ</v>
          </cell>
          <cell r="N12" t="str">
            <v>ややちがう</v>
          </cell>
          <cell r="O12" t="str">
            <v>ややちがう</v>
          </cell>
          <cell r="P12" t="str">
            <v>まぁそうだ</v>
          </cell>
          <cell r="Q12" t="str">
            <v>ややちがう</v>
          </cell>
          <cell r="R12" t="str">
            <v>まぁそうだ</v>
          </cell>
          <cell r="S12" t="str">
            <v>ややちがう</v>
          </cell>
          <cell r="T12" t="str">
            <v>しばしばあった</v>
          </cell>
          <cell r="U12" t="str">
            <v>ときどきあった</v>
          </cell>
          <cell r="V12" t="str">
            <v>ときどきあった</v>
          </cell>
          <cell r="W12" t="str">
            <v>ときどきあった</v>
          </cell>
          <cell r="X12" t="str">
            <v>ときどきあった</v>
          </cell>
          <cell r="Y12" t="str">
            <v>ほとんどなかった</v>
          </cell>
          <cell r="Z12" t="str">
            <v>ほとんどなかった</v>
          </cell>
          <cell r="AA12" t="str">
            <v>ほとんどなかった</v>
          </cell>
          <cell r="AB12" t="str">
            <v>ほとんどなかった</v>
          </cell>
          <cell r="AC12" t="str">
            <v>ときどきあった</v>
          </cell>
          <cell r="AD12" t="str">
            <v>ほとんどなかった</v>
          </cell>
          <cell r="AE12" t="str">
            <v>ほとんどなかった</v>
          </cell>
          <cell r="AF12" t="str">
            <v>ほとんどなかった</v>
          </cell>
          <cell r="AG12" t="str">
            <v>しばしばあった</v>
          </cell>
          <cell r="AH12" t="str">
            <v>しばしばあった</v>
          </cell>
          <cell r="AI12" t="str">
            <v>しばしばあった</v>
          </cell>
          <cell r="AJ12" t="str">
            <v>しばしばあった</v>
          </cell>
          <cell r="AK12" t="str">
            <v>しばしばあった</v>
          </cell>
          <cell r="AL12" t="str">
            <v>ときどきあった</v>
          </cell>
          <cell r="AM12" t="str">
            <v>ほとんどなかった</v>
          </cell>
          <cell r="AN12" t="str">
            <v>しばしばあった</v>
          </cell>
          <cell r="AO12" t="str">
            <v>しばしばあった</v>
          </cell>
          <cell r="AP12" t="str">
            <v>しばしばあった</v>
          </cell>
          <cell r="AQ12" t="str">
            <v>しばしばあった</v>
          </cell>
          <cell r="AR12" t="str">
            <v>ほとんどなかった</v>
          </cell>
          <cell r="AS12" t="str">
            <v>しばしばあった</v>
          </cell>
          <cell r="AT12" t="str">
            <v>ときどきあった</v>
          </cell>
          <cell r="AU12" t="str">
            <v>ときどきあった</v>
          </cell>
          <cell r="AV12" t="str">
            <v>ときどきあった</v>
          </cell>
          <cell r="AW12" t="str">
            <v>非常に</v>
          </cell>
          <cell r="AX12" t="str">
            <v>非常に</v>
          </cell>
          <cell r="AY12" t="str">
            <v>非常に</v>
          </cell>
          <cell r="AZ12" t="str">
            <v>多少</v>
          </cell>
          <cell r="BA12" t="str">
            <v>多少</v>
          </cell>
          <cell r="BB12" t="str">
            <v>非常に</v>
          </cell>
          <cell r="BC12" t="str">
            <v>かなり</v>
          </cell>
          <cell r="BD12" t="str">
            <v>かなり</v>
          </cell>
          <cell r="BE12" t="str">
            <v>かなり</v>
          </cell>
          <cell r="BF12" t="str">
            <v>不満足</v>
          </cell>
          <cell r="BG12" t="str">
            <v>満足</v>
          </cell>
          <cell r="BI12" t="str">
            <v>いつもより少し時間がかかった</v>
          </cell>
          <cell r="BJ12" t="str">
            <v>少し困ることがある</v>
          </cell>
          <cell r="BK12" t="str">
            <v>少し早かった</v>
          </cell>
          <cell r="BL12" t="str">
            <v>かなり足りない</v>
          </cell>
          <cell r="BM12" t="str">
            <v>少し不満である</v>
          </cell>
          <cell r="BN12" t="str">
            <v>少し滅入った</v>
          </cell>
          <cell r="BO12" t="str">
            <v>少し低下した</v>
          </cell>
          <cell r="BP12" t="str">
            <v>かなりあった</v>
          </cell>
        </row>
        <row r="13">
          <cell r="C13" t="str">
            <v>ややちがう</v>
          </cell>
          <cell r="D13" t="str">
            <v>ややちがう</v>
          </cell>
          <cell r="E13" t="str">
            <v>ややちがう</v>
          </cell>
          <cell r="F13" t="str">
            <v>まぁそうだ</v>
          </cell>
          <cell r="G13" t="str">
            <v>まぁそうだ</v>
          </cell>
          <cell r="H13" t="str">
            <v>ややちがう</v>
          </cell>
          <cell r="I13" t="str">
            <v>ちがう</v>
          </cell>
          <cell r="J13" t="str">
            <v>まぁそうだ</v>
          </cell>
          <cell r="K13" t="str">
            <v>まぁそうだ</v>
          </cell>
          <cell r="L13" t="str">
            <v>ややちがう</v>
          </cell>
          <cell r="M13" t="str">
            <v>まぁそうだ</v>
          </cell>
          <cell r="N13" t="str">
            <v>ややちがう</v>
          </cell>
          <cell r="O13" t="str">
            <v>ややちがう</v>
          </cell>
          <cell r="P13" t="str">
            <v>まぁそうだ</v>
          </cell>
          <cell r="Q13" t="str">
            <v>まぁそうだ</v>
          </cell>
          <cell r="R13" t="str">
            <v>ややちがう</v>
          </cell>
          <cell r="S13" t="str">
            <v>ややちがう</v>
          </cell>
          <cell r="T13" t="str">
            <v>ときどきあった</v>
          </cell>
          <cell r="U13" t="str">
            <v>ときどきあった</v>
          </cell>
          <cell r="V13" t="str">
            <v>ときどきあった</v>
          </cell>
          <cell r="W13" t="str">
            <v>ほとんどなかった</v>
          </cell>
          <cell r="X13" t="str">
            <v>ほとんどなかった</v>
          </cell>
          <cell r="Y13" t="str">
            <v>ほとんどなかった</v>
          </cell>
          <cell r="Z13" t="str">
            <v>ときどきあった</v>
          </cell>
          <cell r="AA13" t="str">
            <v>ときどきあった</v>
          </cell>
          <cell r="AB13" t="str">
            <v>ときどきばあった</v>
          </cell>
          <cell r="AC13" t="str">
            <v>ほとんどなかった</v>
          </cell>
          <cell r="AD13" t="str">
            <v>ときどきあった</v>
          </cell>
          <cell r="AE13" t="str">
            <v>ときどきあった</v>
          </cell>
          <cell r="AF13" t="str">
            <v>ときどきあった</v>
          </cell>
          <cell r="AG13" t="str">
            <v>ほとんどなかった</v>
          </cell>
          <cell r="AH13" t="str">
            <v>ときどきあった</v>
          </cell>
          <cell r="AI13" t="str">
            <v>ときどきあった</v>
          </cell>
          <cell r="AJ13" t="str">
            <v>ときどきあった</v>
          </cell>
          <cell r="AK13" t="str">
            <v>ほとんどなかった</v>
          </cell>
          <cell r="AL13" t="str">
            <v>ときどきあった</v>
          </cell>
          <cell r="AM13" t="str">
            <v>ときどきあった</v>
          </cell>
          <cell r="AN13" t="str">
            <v>ときどきあった</v>
          </cell>
          <cell r="AO13" t="str">
            <v>ときどきあった</v>
          </cell>
          <cell r="AP13" t="str">
            <v>ときどきあった</v>
          </cell>
          <cell r="AQ13" t="str">
            <v>しばしばあった</v>
          </cell>
          <cell r="AR13" t="str">
            <v>ほとんどなかった</v>
          </cell>
          <cell r="AS13" t="str">
            <v>ほとんどなかった</v>
          </cell>
          <cell r="AT13" t="str">
            <v>ときどきあった</v>
          </cell>
          <cell r="AU13" t="str">
            <v>ほとんどなかった</v>
          </cell>
          <cell r="AV13" t="str">
            <v>ときどきあった</v>
          </cell>
          <cell r="AW13" t="str">
            <v>多少</v>
          </cell>
          <cell r="AX13" t="str">
            <v>多少</v>
          </cell>
          <cell r="AY13" t="str">
            <v>多少</v>
          </cell>
          <cell r="AZ13" t="str">
            <v>多少</v>
          </cell>
          <cell r="BA13" t="str">
            <v>多少</v>
          </cell>
          <cell r="BB13" t="str">
            <v>多少</v>
          </cell>
          <cell r="BC13" t="str">
            <v>多少</v>
          </cell>
          <cell r="BD13" t="str">
            <v>多少</v>
          </cell>
          <cell r="BE13" t="str">
            <v>多少</v>
          </cell>
          <cell r="BF13" t="str">
            <v>やや満足</v>
          </cell>
          <cell r="BG13" t="str">
            <v>やや満足</v>
          </cell>
          <cell r="BI13" t="str">
            <v>いつもより少し時間がかかった</v>
          </cell>
          <cell r="BJ13" t="str">
            <v>少し困ることがある</v>
          </cell>
          <cell r="BK13" t="str">
            <v>少し早かった</v>
          </cell>
          <cell r="BL13" t="str">
            <v>かなり足りない</v>
          </cell>
          <cell r="BM13" t="str">
            <v>かなり不満である</v>
          </cell>
          <cell r="BN13" t="str">
            <v>少し滅入った</v>
          </cell>
          <cell r="BO13" t="str">
            <v>少し低下した</v>
          </cell>
          <cell r="BP13" t="str">
            <v>少しあった</v>
          </cell>
        </row>
        <row r="14">
          <cell r="C14" t="str">
            <v>ちがう</v>
          </cell>
          <cell r="D14" t="str">
            <v>ちがう</v>
          </cell>
          <cell r="E14" t="str">
            <v>ややちがう</v>
          </cell>
          <cell r="F14" t="str">
            <v>ちがう</v>
          </cell>
          <cell r="G14" t="str">
            <v>ややちがう</v>
          </cell>
          <cell r="H14" t="str">
            <v>まぁそうだ</v>
          </cell>
          <cell r="I14" t="str">
            <v>ちがう</v>
          </cell>
          <cell r="J14" t="str">
            <v>まぁそうだ</v>
          </cell>
          <cell r="K14" t="str">
            <v>まぁそうだ</v>
          </cell>
          <cell r="L14" t="str">
            <v>まぁそうだ</v>
          </cell>
          <cell r="M14" t="str">
            <v>ややちがう</v>
          </cell>
          <cell r="N14" t="str">
            <v>ややちがう</v>
          </cell>
          <cell r="O14" t="str">
            <v>ややちがう</v>
          </cell>
          <cell r="P14" t="str">
            <v>まぁそうだ</v>
          </cell>
          <cell r="Q14" t="str">
            <v>ややちがう</v>
          </cell>
          <cell r="R14" t="str">
            <v>まぁそうだ</v>
          </cell>
          <cell r="S14" t="str">
            <v>ややちがう</v>
          </cell>
          <cell r="T14" t="str">
            <v>ときどきあった</v>
          </cell>
          <cell r="U14" t="str">
            <v>ほとんどなかった</v>
          </cell>
          <cell r="V14" t="str">
            <v>ときどきあった</v>
          </cell>
          <cell r="W14" t="str">
            <v>ときどきあった</v>
          </cell>
          <cell r="X14" t="str">
            <v>ときどきあった</v>
          </cell>
          <cell r="Y14" t="str">
            <v>しばしばあった</v>
          </cell>
          <cell r="Z14" t="str">
            <v>ほとんどいつもあった</v>
          </cell>
          <cell r="AA14" t="str">
            <v>ほとんどいつもあった</v>
          </cell>
          <cell r="AB14" t="str">
            <v>ほとんどいつもあった</v>
          </cell>
          <cell r="AC14" t="str">
            <v>しばしばあった</v>
          </cell>
          <cell r="AD14" t="str">
            <v>しばしばあった</v>
          </cell>
          <cell r="AE14" t="str">
            <v>しばしばあった</v>
          </cell>
          <cell r="AF14" t="str">
            <v>ときどきあった</v>
          </cell>
          <cell r="AG14" t="str">
            <v>しばしばあった</v>
          </cell>
          <cell r="AH14" t="str">
            <v>しばしばあった</v>
          </cell>
          <cell r="AI14" t="str">
            <v>ときどきあった</v>
          </cell>
          <cell r="AJ14" t="str">
            <v>ときどきあった</v>
          </cell>
          <cell r="AK14" t="str">
            <v>ときどきあった</v>
          </cell>
          <cell r="AL14" t="str">
            <v>しばしばあった</v>
          </cell>
          <cell r="AM14" t="str">
            <v>ほとんどなかった</v>
          </cell>
          <cell r="AN14" t="str">
            <v>ときどきあった</v>
          </cell>
          <cell r="AO14" t="str">
            <v>ほとんどいつもあった</v>
          </cell>
          <cell r="AP14" t="str">
            <v>ほとんどなかった</v>
          </cell>
          <cell r="AQ14" t="str">
            <v>ときどきあった</v>
          </cell>
          <cell r="AR14" t="str">
            <v>ほとんどなかった</v>
          </cell>
          <cell r="AS14" t="str">
            <v>しばしばあった</v>
          </cell>
          <cell r="AT14" t="str">
            <v>ときどきあった</v>
          </cell>
          <cell r="AU14" t="str">
            <v>ほとんどいつもあった</v>
          </cell>
          <cell r="AV14" t="str">
            <v>ほとんどいつもあった</v>
          </cell>
          <cell r="AW14" t="str">
            <v>多少</v>
          </cell>
          <cell r="AX14" t="str">
            <v>かなり</v>
          </cell>
          <cell r="AY14" t="str">
            <v>非常に</v>
          </cell>
          <cell r="AZ14" t="str">
            <v>多少</v>
          </cell>
          <cell r="BA14" t="str">
            <v>多少</v>
          </cell>
          <cell r="BB14" t="str">
            <v>かなり</v>
          </cell>
          <cell r="BC14" t="str">
            <v>多少</v>
          </cell>
          <cell r="BD14" t="str">
            <v>多少</v>
          </cell>
          <cell r="BE14" t="str">
            <v>非常に</v>
          </cell>
          <cell r="BF14" t="str">
            <v>やや満足</v>
          </cell>
          <cell r="BG14" t="str">
            <v>満足</v>
          </cell>
          <cell r="BI14" t="str">
            <v>いつもより少し時間がかかった</v>
          </cell>
          <cell r="BJ14" t="str">
            <v>少し困ることがある</v>
          </cell>
          <cell r="BK14" t="str">
            <v>そのようなことはなかった</v>
          </cell>
          <cell r="BL14" t="str">
            <v>少し足りない</v>
          </cell>
          <cell r="BM14" t="str">
            <v>非常に不満である、あるいは全く眠れなかった</v>
          </cell>
          <cell r="BN14" t="str">
            <v>非常に滅入った</v>
          </cell>
          <cell r="BO14" t="str">
            <v>かなり低下した</v>
          </cell>
          <cell r="BP14" t="str">
            <v>激しかった</v>
          </cell>
        </row>
        <row r="15">
          <cell r="C15" t="str">
            <v>まぁそうだ</v>
          </cell>
          <cell r="D15" t="str">
            <v>まぁそうだ</v>
          </cell>
          <cell r="E15" t="str">
            <v>まぁそうだ</v>
          </cell>
          <cell r="F15" t="str">
            <v>まぁそうだ</v>
          </cell>
          <cell r="G15" t="str">
            <v>まぁそうだ</v>
          </cell>
          <cell r="H15" t="str">
            <v>ちがう</v>
          </cell>
          <cell r="I15" t="str">
            <v>ややちがう</v>
          </cell>
          <cell r="J15" t="str">
            <v>そうだ</v>
          </cell>
          <cell r="K15" t="str">
            <v>そうだ</v>
          </cell>
          <cell r="L15" t="str">
            <v>そうだ</v>
          </cell>
          <cell r="M15" t="str">
            <v>ちがう</v>
          </cell>
          <cell r="N15" t="str">
            <v>まぁそうだ</v>
          </cell>
          <cell r="O15" t="str">
            <v>ちがう</v>
          </cell>
          <cell r="P15" t="str">
            <v>そうだ</v>
          </cell>
          <cell r="Q15" t="str">
            <v>ちがう</v>
          </cell>
          <cell r="R15" t="str">
            <v>まぁそうだ</v>
          </cell>
          <cell r="S15" t="str">
            <v>まぁそうだ</v>
          </cell>
          <cell r="T15" t="str">
            <v>しばしばあった</v>
          </cell>
          <cell r="U15" t="str">
            <v>しばしばあった</v>
          </cell>
          <cell r="V15" t="str">
            <v>しばしばあった</v>
          </cell>
          <cell r="W15" t="str">
            <v>ときどきあった</v>
          </cell>
          <cell r="X15" t="str">
            <v>ときどきあった</v>
          </cell>
          <cell r="Y15" t="str">
            <v>ときどきあった</v>
          </cell>
          <cell r="Z15" t="str">
            <v>ときどきあった</v>
          </cell>
          <cell r="AA15" t="str">
            <v>ときどきあった</v>
          </cell>
          <cell r="AB15" t="str">
            <v>しばしばあった</v>
          </cell>
          <cell r="AC15" t="str">
            <v>ほとんどなかった</v>
          </cell>
          <cell r="AD15" t="str">
            <v>ほとんどなかった</v>
          </cell>
          <cell r="AE15" t="str">
            <v>ほとんどなかった</v>
          </cell>
          <cell r="AF15" t="str">
            <v>ときどきあった</v>
          </cell>
          <cell r="AG15" t="str">
            <v>ときどきあった</v>
          </cell>
          <cell r="AH15" t="str">
            <v>ときどきあった</v>
          </cell>
          <cell r="AI15" t="str">
            <v>ほとんどなかった</v>
          </cell>
          <cell r="AJ15" t="str">
            <v>ときどきあった</v>
          </cell>
          <cell r="AK15" t="str">
            <v>ほとんどなかった</v>
          </cell>
          <cell r="AL15" t="str">
            <v>ほとんどなかった</v>
          </cell>
          <cell r="AM15" t="str">
            <v>ほとんどなかった</v>
          </cell>
          <cell r="AN15" t="str">
            <v>ほとんどなかった</v>
          </cell>
          <cell r="AO15" t="str">
            <v>ときどきあった</v>
          </cell>
          <cell r="AP15" t="str">
            <v>しばしばあった</v>
          </cell>
          <cell r="AQ15" t="str">
            <v>ほとんどなかった</v>
          </cell>
          <cell r="AR15" t="str">
            <v>ほとんどなかった</v>
          </cell>
          <cell r="AS15" t="str">
            <v>ときどきあった</v>
          </cell>
          <cell r="AT15" t="str">
            <v>ほとんどなかった</v>
          </cell>
          <cell r="AU15" t="str">
            <v>しばしばあった</v>
          </cell>
          <cell r="AV15" t="str">
            <v>ほとんどなかった</v>
          </cell>
          <cell r="AW15" t="str">
            <v>かなり</v>
          </cell>
          <cell r="AX15" t="str">
            <v>かなり</v>
          </cell>
          <cell r="AY15" t="str">
            <v>非常に</v>
          </cell>
          <cell r="AZ15" t="str">
            <v>かなり</v>
          </cell>
          <cell r="BA15" t="str">
            <v>かなり</v>
          </cell>
          <cell r="BB15" t="str">
            <v>非常に</v>
          </cell>
          <cell r="BC15" t="str">
            <v>かなり</v>
          </cell>
          <cell r="BD15" t="str">
            <v>非常に</v>
          </cell>
          <cell r="BE15" t="str">
            <v>非常に</v>
          </cell>
          <cell r="BF15" t="str">
            <v>まぁ満足</v>
          </cell>
          <cell r="BG15" t="str">
            <v>まぁ満足</v>
          </cell>
          <cell r="BI15" t="str">
            <v>いつもより寝つきは良い</v>
          </cell>
          <cell r="BJ15" t="str">
            <v>問題になるほどのことはなかった</v>
          </cell>
          <cell r="BK15" t="str">
            <v>そのようなことはなかった</v>
          </cell>
          <cell r="BL15" t="str">
            <v>少し足りない</v>
          </cell>
          <cell r="BM15" t="str">
            <v>満足している</v>
          </cell>
          <cell r="BN15" t="str">
            <v>少し滅入った</v>
          </cell>
          <cell r="BO15" t="str">
            <v>いつもどおり</v>
          </cell>
          <cell r="BP15" t="str">
            <v>少しあった</v>
          </cell>
        </row>
        <row r="16">
          <cell r="C16" t="str">
            <v>ややちがう</v>
          </cell>
          <cell r="D16" t="str">
            <v>ややちがう</v>
          </cell>
          <cell r="E16" t="str">
            <v>そうだ</v>
          </cell>
          <cell r="F16" t="str">
            <v>まぁそうだ</v>
          </cell>
          <cell r="G16" t="str">
            <v>まぁそうだ</v>
          </cell>
          <cell r="H16" t="str">
            <v>ややちがう</v>
          </cell>
          <cell r="I16" t="str">
            <v>ややちがう</v>
          </cell>
          <cell r="J16" t="str">
            <v>まぁそうだ</v>
          </cell>
          <cell r="K16" t="str">
            <v>まぁそうだ</v>
          </cell>
          <cell r="L16" t="str">
            <v>まぁそうだ</v>
          </cell>
          <cell r="M16" t="str">
            <v>ちがう</v>
          </cell>
          <cell r="N16" t="str">
            <v>ややちがう</v>
          </cell>
          <cell r="O16" t="str">
            <v>ややちがう</v>
          </cell>
          <cell r="P16" t="str">
            <v>ややちがう</v>
          </cell>
          <cell r="Q16" t="str">
            <v>ややちがう</v>
          </cell>
          <cell r="R16" t="str">
            <v>まぁそうだ</v>
          </cell>
          <cell r="S16" t="str">
            <v>そうだ</v>
          </cell>
          <cell r="T16" t="str">
            <v>ときどきあった</v>
          </cell>
          <cell r="U16" t="str">
            <v>ときどきあった</v>
          </cell>
          <cell r="V16" t="str">
            <v>ときどきあった</v>
          </cell>
          <cell r="W16" t="str">
            <v>ときどきあった</v>
          </cell>
          <cell r="X16" t="str">
            <v>ときどきあった</v>
          </cell>
          <cell r="Y16" t="str">
            <v>ときどきあった</v>
          </cell>
          <cell r="Z16" t="str">
            <v>ときどきあった</v>
          </cell>
          <cell r="AA16" t="str">
            <v>ときどきあった</v>
          </cell>
          <cell r="AB16" t="str">
            <v>ときどきばあった</v>
          </cell>
          <cell r="AC16" t="str">
            <v>ときどきあった</v>
          </cell>
          <cell r="AD16" t="str">
            <v>ときどきあった</v>
          </cell>
          <cell r="AE16" t="str">
            <v>ときどきあった</v>
          </cell>
          <cell r="AF16" t="str">
            <v>ときどきあった</v>
          </cell>
          <cell r="AG16" t="str">
            <v>ほとんどなかった</v>
          </cell>
          <cell r="AH16" t="str">
            <v>ときどきあった</v>
          </cell>
          <cell r="AI16" t="str">
            <v>ほとんどなかった</v>
          </cell>
          <cell r="AJ16" t="str">
            <v>ほとんどなかった</v>
          </cell>
          <cell r="AK16" t="str">
            <v>ほとんどなかった</v>
          </cell>
          <cell r="AL16" t="str">
            <v>ほとんどなかった</v>
          </cell>
          <cell r="AM16" t="str">
            <v>ときどきあった</v>
          </cell>
          <cell r="AN16" t="str">
            <v>しばしばあった</v>
          </cell>
          <cell r="AO16" t="str">
            <v>しばしばあった</v>
          </cell>
          <cell r="AP16" t="str">
            <v>ほとんどなかった</v>
          </cell>
          <cell r="AQ16" t="str">
            <v>しばしばあった</v>
          </cell>
          <cell r="AR16" t="str">
            <v>ほとんどなかった</v>
          </cell>
          <cell r="AS16" t="str">
            <v>しばしばあった</v>
          </cell>
          <cell r="AT16" t="str">
            <v>ときどきあった</v>
          </cell>
          <cell r="AU16" t="str">
            <v>ほとんどなかった</v>
          </cell>
          <cell r="AV16" t="str">
            <v>ときどきあった</v>
          </cell>
          <cell r="AW16" t="str">
            <v>多少</v>
          </cell>
          <cell r="AX16" t="str">
            <v>多少</v>
          </cell>
          <cell r="AY16" t="str">
            <v>かなり</v>
          </cell>
          <cell r="AZ16" t="str">
            <v>非常に</v>
          </cell>
          <cell r="BA16" t="str">
            <v>非常に</v>
          </cell>
          <cell r="BB16" t="str">
            <v>非常に</v>
          </cell>
          <cell r="BC16" t="str">
            <v>かなり</v>
          </cell>
          <cell r="BD16" t="str">
            <v>かなり</v>
          </cell>
          <cell r="BE16" t="str">
            <v>かなり</v>
          </cell>
          <cell r="BF16" t="str">
            <v>まぁ満足</v>
          </cell>
          <cell r="BG16" t="str">
            <v>まぁ満足</v>
          </cell>
          <cell r="BI16" t="str">
            <v>いつもより少し時間がかかった</v>
          </cell>
          <cell r="BJ16" t="str">
            <v>少し困ることがある</v>
          </cell>
          <cell r="BK16" t="str">
            <v>そのようなことはなかった</v>
          </cell>
          <cell r="BL16" t="str">
            <v>少し足りない</v>
          </cell>
          <cell r="BM16" t="str">
            <v>少し不満である</v>
          </cell>
          <cell r="BN16" t="str">
            <v>少し滅入った</v>
          </cell>
          <cell r="BO16" t="str">
            <v>少し低下した</v>
          </cell>
          <cell r="BP16" t="str">
            <v>かなりあった</v>
          </cell>
        </row>
        <row r="17">
          <cell r="C17" t="str">
            <v>ややちがう</v>
          </cell>
          <cell r="D17" t="str">
            <v>ややちがう</v>
          </cell>
          <cell r="E17" t="str">
            <v>まぁそうだ</v>
          </cell>
          <cell r="F17" t="str">
            <v>ややちがう</v>
          </cell>
          <cell r="G17" t="str">
            <v>まぁそうだ</v>
          </cell>
          <cell r="H17" t="str">
            <v>まぁそうだ</v>
          </cell>
          <cell r="I17" t="str">
            <v>ややちがう</v>
          </cell>
          <cell r="J17" t="str">
            <v>まぁそうだ</v>
          </cell>
          <cell r="K17" t="str">
            <v>まぁそうだ</v>
          </cell>
          <cell r="L17" t="str">
            <v>まぁそうだ</v>
          </cell>
          <cell r="M17" t="str">
            <v>まぁそうだ</v>
          </cell>
          <cell r="N17" t="str">
            <v>ややちがう</v>
          </cell>
          <cell r="O17" t="str">
            <v>ややちがう</v>
          </cell>
          <cell r="P17" t="str">
            <v>まぁそうだ</v>
          </cell>
          <cell r="Q17" t="str">
            <v>ちがう</v>
          </cell>
          <cell r="R17" t="str">
            <v>ややちがう</v>
          </cell>
          <cell r="S17" t="str">
            <v>まぁそうだ</v>
          </cell>
          <cell r="T17" t="str">
            <v>ときどきあった</v>
          </cell>
          <cell r="U17" t="str">
            <v>ときどきあった</v>
          </cell>
          <cell r="V17" t="str">
            <v>ときどきあった</v>
          </cell>
          <cell r="W17" t="str">
            <v>ほとんどなかった</v>
          </cell>
          <cell r="X17" t="str">
            <v>ほとんどなかった</v>
          </cell>
          <cell r="Y17" t="str">
            <v>ときどきあった</v>
          </cell>
          <cell r="Z17" t="str">
            <v>ほとんどなかった</v>
          </cell>
          <cell r="AA17" t="str">
            <v>ほとんどなかった</v>
          </cell>
          <cell r="AB17" t="str">
            <v>ときどきばあった</v>
          </cell>
          <cell r="AC17" t="str">
            <v>ほとんどなかった</v>
          </cell>
          <cell r="AD17" t="str">
            <v>ほとんどなかった</v>
          </cell>
          <cell r="AE17" t="str">
            <v>ときどきあった</v>
          </cell>
          <cell r="AF17" t="str">
            <v>ほとんどなかった</v>
          </cell>
          <cell r="AG17" t="str">
            <v>ときどきあった</v>
          </cell>
          <cell r="AH17" t="str">
            <v>ときどきあった</v>
          </cell>
          <cell r="AI17" t="str">
            <v>ほとんどなかった</v>
          </cell>
          <cell r="AJ17" t="str">
            <v>ときどきあった</v>
          </cell>
          <cell r="AK17" t="str">
            <v>ほとんどなかった</v>
          </cell>
          <cell r="AL17" t="str">
            <v>ほとんどなかった</v>
          </cell>
          <cell r="AM17" t="str">
            <v>ほとんどなかった</v>
          </cell>
          <cell r="AN17" t="str">
            <v>ほとんどなかった</v>
          </cell>
          <cell r="AO17" t="str">
            <v>ほとんどなかった</v>
          </cell>
          <cell r="AP17" t="str">
            <v>ほとんどなかった</v>
          </cell>
          <cell r="AQ17" t="str">
            <v>ときどきあった</v>
          </cell>
          <cell r="AR17" t="str">
            <v>ほとんどなかった</v>
          </cell>
          <cell r="AS17" t="str">
            <v>ほとんどなかった</v>
          </cell>
          <cell r="AT17" t="str">
            <v>ほとんどなかった</v>
          </cell>
          <cell r="AU17" t="str">
            <v>ほとんどなかった</v>
          </cell>
          <cell r="AV17" t="str">
            <v>ほとんどなかった</v>
          </cell>
          <cell r="AW17" t="str">
            <v>多少</v>
          </cell>
          <cell r="AX17" t="str">
            <v>多少</v>
          </cell>
          <cell r="AY17" t="str">
            <v>多少</v>
          </cell>
          <cell r="AZ17" t="str">
            <v>多少</v>
          </cell>
          <cell r="BA17" t="str">
            <v>多少</v>
          </cell>
          <cell r="BB17" t="str">
            <v>多少</v>
          </cell>
          <cell r="BC17" t="str">
            <v>多少</v>
          </cell>
          <cell r="BD17" t="str">
            <v>多少</v>
          </cell>
          <cell r="BE17" t="str">
            <v>多少</v>
          </cell>
          <cell r="BF17" t="str">
            <v>まぁ満足</v>
          </cell>
          <cell r="BG17" t="str">
            <v>まぁ満足</v>
          </cell>
          <cell r="BI17" t="str">
            <v>いつもより寝つきは良い</v>
          </cell>
          <cell r="BJ17" t="str">
            <v>問題になるほどのことはなかった</v>
          </cell>
          <cell r="BK17" t="str">
            <v>そのようなことはなかった</v>
          </cell>
          <cell r="BL17" t="str">
            <v>少し足りない</v>
          </cell>
          <cell r="BM17" t="str">
            <v>少し不満である</v>
          </cell>
          <cell r="BN17" t="str">
            <v>いつもどおり</v>
          </cell>
          <cell r="BO17" t="str">
            <v>いつもどおり</v>
          </cell>
          <cell r="BP17" t="str">
            <v>全くなかった</v>
          </cell>
        </row>
        <row r="18">
          <cell r="C18" t="str">
            <v>まぁそうだ</v>
          </cell>
          <cell r="D18" t="str">
            <v>まぁそうだ</v>
          </cell>
          <cell r="E18" t="str">
            <v>まぁそうだ</v>
          </cell>
          <cell r="F18" t="str">
            <v>まぁそうだ</v>
          </cell>
          <cell r="G18" t="str">
            <v>まぁそうだ</v>
          </cell>
          <cell r="H18" t="str">
            <v>ややちがう</v>
          </cell>
          <cell r="I18" t="str">
            <v>ややちがう</v>
          </cell>
          <cell r="J18" t="str">
            <v>まぁそうだ</v>
          </cell>
          <cell r="K18" t="str">
            <v>まぁそうだ</v>
          </cell>
          <cell r="L18" t="str">
            <v>まぁそうだ</v>
          </cell>
          <cell r="M18" t="str">
            <v>そうだ</v>
          </cell>
          <cell r="N18" t="str">
            <v>まぁそうだ</v>
          </cell>
          <cell r="O18" t="str">
            <v>まぁそうだ</v>
          </cell>
          <cell r="P18" t="str">
            <v>まぁそうだ</v>
          </cell>
          <cell r="Q18" t="str">
            <v>そうだ</v>
          </cell>
          <cell r="R18" t="str">
            <v>ややちがう</v>
          </cell>
          <cell r="S18" t="str">
            <v>まぁそうだ</v>
          </cell>
          <cell r="T18" t="str">
            <v>ときどきあった</v>
          </cell>
          <cell r="U18" t="str">
            <v>ときどきあった</v>
          </cell>
          <cell r="V18" t="str">
            <v>ときどきあった</v>
          </cell>
          <cell r="W18" t="str">
            <v>しばしばあった</v>
          </cell>
          <cell r="X18" t="str">
            <v>しばしばあった</v>
          </cell>
          <cell r="Y18" t="str">
            <v>しばしばあった</v>
          </cell>
          <cell r="Z18" t="str">
            <v>しばしばあった</v>
          </cell>
          <cell r="AA18" t="str">
            <v>しばしばあった</v>
          </cell>
          <cell r="AB18" t="str">
            <v>ほとんどいつもあった</v>
          </cell>
          <cell r="AC18" t="str">
            <v>ときどきあった</v>
          </cell>
          <cell r="AD18" t="str">
            <v>しばしばあった</v>
          </cell>
          <cell r="AE18" t="str">
            <v>ほとんどいつもあった</v>
          </cell>
          <cell r="AF18" t="str">
            <v>しばしばあった</v>
          </cell>
          <cell r="AG18" t="str">
            <v>しばしばあった</v>
          </cell>
          <cell r="AH18" t="str">
            <v>ほとんどいつもあった</v>
          </cell>
          <cell r="AI18" t="str">
            <v>しばしばあった</v>
          </cell>
          <cell r="AJ18" t="str">
            <v>ほとんどいつもあった</v>
          </cell>
          <cell r="AK18" t="str">
            <v>しばしばあった</v>
          </cell>
          <cell r="AL18" t="str">
            <v>ほとんどいつもあった</v>
          </cell>
          <cell r="AM18" t="str">
            <v>しばしばあった</v>
          </cell>
          <cell r="AN18" t="str">
            <v>しばしばあった</v>
          </cell>
          <cell r="AO18" t="str">
            <v>しばしばあった</v>
          </cell>
          <cell r="AP18" t="str">
            <v>ときどきあった</v>
          </cell>
          <cell r="AQ18" t="str">
            <v>しばしばあった</v>
          </cell>
          <cell r="AR18" t="str">
            <v>しばしばあった</v>
          </cell>
          <cell r="AS18" t="str">
            <v>しばしばあった</v>
          </cell>
          <cell r="AT18" t="str">
            <v>ときどきあった</v>
          </cell>
          <cell r="AU18" t="str">
            <v>ときどきあった</v>
          </cell>
          <cell r="AV18" t="str">
            <v>ほとんどいつもあった</v>
          </cell>
          <cell r="AW18" t="str">
            <v>多少</v>
          </cell>
          <cell r="AX18" t="str">
            <v>多少</v>
          </cell>
          <cell r="AY18" t="str">
            <v>多少</v>
          </cell>
          <cell r="AZ18" t="str">
            <v>多少</v>
          </cell>
          <cell r="BA18" t="str">
            <v>多少</v>
          </cell>
          <cell r="BB18" t="str">
            <v>多少</v>
          </cell>
          <cell r="BC18" t="str">
            <v>かなり</v>
          </cell>
          <cell r="BD18" t="str">
            <v>かなり</v>
          </cell>
          <cell r="BE18" t="str">
            <v>かなり</v>
          </cell>
          <cell r="BF18" t="str">
            <v>不満足</v>
          </cell>
          <cell r="BG18" t="str">
            <v>不満足</v>
          </cell>
          <cell r="BI18" t="str">
            <v>いつもより少し時間がかかった</v>
          </cell>
          <cell r="BJ18" t="str">
            <v>少し困ることがある</v>
          </cell>
          <cell r="BK18" t="str">
            <v>そのようなことはなかった</v>
          </cell>
          <cell r="BL18" t="str">
            <v>かなり足りない</v>
          </cell>
          <cell r="BM18" t="str">
            <v>かなり不満である</v>
          </cell>
          <cell r="BN18" t="str">
            <v>少し滅入った</v>
          </cell>
          <cell r="BO18" t="str">
            <v>少し低下した</v>
          </cell>
          <cell r="BP18" t="str">
            <v>かなりあった</v>
          </cell>
        </row>
        <row r="19">
          <cell r="C19" t="str">
            <v>ちがう</v>
          </cell>
          <cell r="D19" t="str">
            <v>ちがう</v>
          </cell>
          <cell r="E19" t="str">
            <v>ややちがう</v>
          </cell>
          <cell r="F19" t="str">
            <v>ややちがう</v>
          </cell>
          <cell r="G19" t="str">
            <v>まぁそうだ</v>
          </cell>
          <cell r="H19" t="str">
            <v>まぁそうだ</v>
          </cell>
          <cell r="I19" t="str">
            <v>ちがう</v>
          </cell>
          <cell r="J19" t="str">
            <v>まぁそうだ</v>
          </cell>
          <cell r="K19" t="str">
            <v>まぁそうだ</v>
          </cell>
          <cell r="L19" t="str">
            <v>まぁそうだ</v>
          </cell>
          <cell r="M19" t="str">
            <v>ややちがう</v>
          </cell>
          <cell r="N19" t="str">
            <v>まぁそうだ</v>
          </cell>
          <cell r="O19" t="str">
            <v>ややちがう</v>
          </cell>
          <cell r="P19" t="str">
            <v>まぁそうだ</v>
          </cell>
          <cell r="Q19" t="str">
            <v>ややちがう</v>
          </cell>
          <cell r="R19" t="str">
            <v>まぁそうだ</v>
          </cell>
          <cell r="S19" t="str">
            <v>まぁそうだ</v>
          </cell>
          <cell r="T19" t="str">
            <v>しばしばあった</v>
          </cell>
          <cell r="U19" t="str">
            <v>ときどきあった</v>
          </cell>
          <cell r="V19" t="str">
            <v>しばしばあった</v>
          </cell>
          <cell r="W19" t="str">
            <v>ときどきあった</v>
          </cell>
          <cell r="X19" t="str">
            <v>ときどきあった</v>
          </cell>
          <cell r="Y19" t="str">
            <v>ときどきあった</v>
          </cell>
          <cell r="Z19" t="str">
            <v>ときどきあった</v>
          </cell>
          <cell r="AA19" t="str">
            <v>ほとんどなかった</v>
          </cell>
          <cell r="AB19" t="str">
            <v>ときどきばあった</v>
          </cell>
          <cell r="AC19" t="str">
            <v>ときどきあった</v>
          </cell>
          <cell r="AD19" t="str">
            <v>ときどきあった</v>
          </cell>
          <cell r="AE19" t="str">
            <v>ときどきあった</v>
          </cell>
          <cell r="AF19" t="str">
            <v>ほとんどなかった</v>
          </cell>
          <cell r="AG19" t="str">
            <v>ほとんどなかった</v>
          </cell>
          <cell r="AH19" t="str">
            <v>ほとんどなかった</v>
          </cell>
          <cell r="AI19" t="str">
            <v>ほとんどなかった</v>
          </cell>
          <cell r="AJ19" t="str">
            <v>ほとんどなかった</v>
          </cell>
          <cell r="AK19" t="str">
            <v>ほとんどなかった</v>
          </cell>
          <cell r="AL19" t="str">
            <v>ほとんどなかった</v>
          </cell>
          <cell r="AM19" t="str">
            <v>ほとんどなかった</v>
          </cell>
          <cell r="AN19" t="str">
            <v>ほとんどなかった</v>
          </cell>
          <cell r="AO19" t="str">
            <v>ときどきあった</v>
          </cell>
          <cell r="AP19" t="str">
            <v>ほとんどなかった</v>
          </cell>
          <cell r="AQ19" t="str">
            <v>ときどきあった</v>
          </cell>
          <cell r="AR19" t="str">
            <v>ほとんどなかった</v>
          </cell>
          <cell r="AS19" t="str">
            <v>ときどきあった</v>
          </cell>
          <cell r="AT19" t="str">
            <v>ほとんどなかった</v>
          </cell>
          <cell r="AU19" t="str">
            <v>ときどきあった</v>
          </cell>
          <cell r="AV19" t="str">
            <v>ほとんどなかった</v>
          </cell>
          <cell r="AW19" t="str">
            <v>非常に</v>
          </cell>
          <cell r="AX19" t="str">
            <v>かなり</v>
          </cell>
          <cell r="AY19" t="str">
            <v>かなり</v>
          </cell>
          <cell r="AZ19" t="str">
            <v>非常に</v>
          </cell>
          <cell r="BA19" t="str">
            <v>かなり</v>
          </cell>
          <cell r="BB19" t="str">
            <v>非常に</v>
          </cell>
          <cell r="BC19" t="str">
            <v>かなり</v>
          </cell>
          <cell r="BD19" t="str">
            <v>多少</v>
          </cell>
          <cell r="BE19" t="str">
            <v>かなり</v>
          </cell>
          <cell r="BF19" t="str">
            <v>まぁ満足</v>
          </cell>
          <cell r="BG19" t="str">
            <v>まぁ満足</v>
          </cell>
          <cell r="BI19" t="str">
            <v>いつもより寝つきは良い</v>
          </cell>
          <cell r="BJ19" t="str">
            <v>問題になるほどのことはなかった</v>
          </cell>
          <cell r="BK19" t="str">
            <v>そのようなことはなかった</v>
          </cell>
          <cell r="BL19" t="str">
            <v>少し足りない</v>
          </cell>
          <cell r="BM19" t="str">
            <v>少し不満である</v>
          </cell>
          <cell r="BN19" t="str">
            <v>いつもどおり</v>
          </cell>
          <cell r="BO19" t="str">
            <v>いつもどおり</v>
          </cell>
          <cell r="BP19" t="str">
            <v>少しあった</v>
          </cell>
        </row>
        <row r="20">
          <cell r="C20" t="str">
            <v>ややちがう</v>
          </cell>
          <cell r="D20" t="str">
            <v>ややちがう</v>
          </cell>
          <cell r="E20" t="str">
            <v>ややちがう</v>
          </cell>
          <cell r="F20" t="str">
            <v>ややちがう</v>
          </cell>
          <cell r="G20" t="str">
            <v>まぁそうだ</v>
          </cell>
          <cell r="H20" t="str">
            <v>まぁそうだ</v>
          </cell>
          <cell r="I20" t="str">
            <v>ちがう</v>
          </cell>
          <cell r="J20" t="str">
            <v>ややちがう</v>
          </cell>
          <cell r="K20" t="str">
            <v>まぁそうだ</v>
          </cell>
          <cell r="L20" t="str">
            <v>ややちがう</v>
          </cell>
          <cell r="M20" t="str">
            <v>まぁそうだ</v>
          </cell>
          <cell r="N20" t="str">
            <v>ややちがう</v>
          </cell>
          <cell r="O20" t="str">
            <v>ややちがう</v>
          </cell>
          <cell r="P20" t="str">
            <v>まぁそうだ</v>
          </cell>
          <cell r="Q20" t="str">
            <v>ややちがう</v>
          </cell>
          <cell r="R20" t="str">
            <v>まぁそうだ</v>
          </cell>
          <cell r="S20" t="str">
            <v>まぁそうだ</v>
          </cell>
          <cell r="T20" t="str">
            <v>しばしばあった</v>
          </cell>
          <cell r="U20" t="str">
            <v>ときどきあった</v>
          </cell>
          <cell r="V20" t="str">
            <v>ときどきあった</v>
          </cell>
          <cell r="W20" t="str">
            <v>ときどきあった</v>
          </cell>
          <cell r="X20" t="str">
            <v>ときどきあった</v>
          </cell>
          <cell r="Y20" t="str">
            <v>ほとんどなかった</v>
          </cell>
          <cell r="Z20" t="str">
            <v>しばしばあった</v>
          </cell>
          <cell r="AA20" t="str">
            <v>ときどきあった</v>
          </cell>
          <cell r="AB20" t="str">
            <v>ときどきばあった</v>
          </cell>
          <cell r="AC20" t="str">
            <v>ときどきあった</v>
          </cell>
          <cell r="AD20" t="str">
            <v>しばしばあった</v>
          </cell>
          <cell r="AE20" t="str">
            <v>ほとんどなかった</v>
          </cell>
          <cell r="AF20" t="str">
            <v>ときどきあった</v>
          </cell>
          <cell r="AG20" t="str">
            <v>しばしばあった</v>
          </cell>
          <cell r="AH20" t="str">
            <v>ときどきあった</v>
          </cell>
          <cell r="AI20" t="str">
            <v>ときどきあった</v>
          </cell>
          <cell r="AJ20" t="str">
            <v>ときどきあった</v>
          </cell>
          <cell r="AK20" t="str">
            <v>ときどきあった</v>
          </cell>
          <cell r="AL20" t="str">
            <v>ほとんどなかった</v>
          </cell>
          <cell r="AM20" t="str">
            <v>ほとんどなかった</v>
          </cell>
          <cell r="AN20" t="str">
            <v>しばしばあった</v>
          </cell>
          <cell r="AO20" t="str">
            <v>しばしばあった</v>
          </cell>
          <cell r="AP20" t="str">
            <v>ときどきあった</v>
          </cell>
          <cell r="AQ20" t="str">
            <v>しばしばあった</v>
          </cell>
          <cell r="AR20" t="str">
            <v>ほとんどなかった</v>
          </cell>
          <cell r="AS20" t="str">
            <v>ほとんどなかった</v>
          </cell>
          <cell r="AT20" t="str">
            <v>ほとんどなかった</v>
          </cell>
          <cell r="AU20" t="str">
            <v>ほとんどなかった</v>
          </cell>
          <cell r="AV20" t="str">
            <v>しばしばあった</v>
          </cell>
          <cell r="AW20" t="str">
            <v>多少</v>
          </cell>
          <cell r="AX20" t="str">
            <v>かなり</v>
          </cell>
          <cell r="AY20" t="str">
            <v>かなり</v>
          </cell>
          <cell r="AZ20" t="str">
            <v>かなり</v>
          </cell>
          <cell r="BA20" t="str">
            <v>かなり</v>
          </cell>
          <cell r="BB20" t="str">
            <v>かなり</v>
          </cell>
          <cell r="BC20" t="str">
            <v>かなり</v>
          </cell>
          <cell r="BD20" t="str">
            <v>かなり</v>
          </cell>
          <cell r="BE20" t="str">
            <v>非常に</v>
          </cell>
          <cell r="BF20" t="str">
            <v>まぁ満足</v>
          </cell>
          <cell r="BG20" t="str">
            <v>満足</v>
          </cell>
          <cell r="BI20" t="str">
            <v>いつもより寝つきは良い</v>
          </cell>
          <cell r="BJ20" t="str">
            <v>少し困ることがある</v>
          </cell>
          <cell r="BK20" t="str">
            <v>そのようなことはなかった</v>
          </cell>
          <cell r="BL20" t="str">
            <v>かなり足りない</v>
          </cell>
          <cell r="BM20" t="str">
            <v>かなり不満である</v>
          </cell>
          <cell r="BN20" t="str">
            <v>少し滅入った</v>
          </cell>
          <cell r="BO20" t="str">
            <v>いつもどおり</v>
          </cell>
          <cell r="BP20" t="str">
            <v>少しあった</v>
          </cell>
        </row>
        <row r="21">
          <cell r="C21" t="str">
            <v>まぁそうだ</v>
          </cell>
          <cell r="D21" t="str">
            <v>まぁそうだ</v>
          </cell>
          <cell r="E21" t="str">
            <v>そうだ</v>
          </cell>
          <cell r="F21" t="str">
            <v>まぁそうだ</v>
          </cell>
          <cell r="G21" t="str">
            <v>まぁそうだ</v>
          </cell>
          <cell r="H21" t="str">
            <v>まぁそうだ</v>
          </cell>
          <cell r="I21" t="str">
            <v>ちがう</v>
          </cell>
          <cell r="J21" t="str">
            <v>まぁそうだ</v>
          </cell>
          <cell r="K21" t="str">
            <v>まぁそうだ</v>
          </cell>
          <cell r="L21" t="str">
            <v>まぁそうだ</v>
          </cell>
          <cell r="M21" t="str">
            <v>ちがう</v>
          </cell>
          <cell r="N21" t="str">
            <v>まぁそうだ</v>
          </cell>
          <cell r="O21" t="str">
            <v>まぁそうだ</v>
          </cell>
          <cell r="P21" t="str">
            <v>ちがう</v>
          </cell>
          <cell r="Q21" t="str">
            <v>ちがう</v>
          </cell>
          <cell r="R21" t="str">
            <v>まぁそうだ</v>
          </cell>
          <cell r="S21" t="str">
            <v>ややちがう</v>
          </cell>
          <cell r="T21" t="str">
            <v>ほとんどなかった</v>
          </cell>
          <cell r="U21" t="str">
            <v>ほとんどなかった</v>
          </cell>
          <cell r="V21" t="str">
            <v>ほとんどなかった</v>
          </cell>
          <cell r="W21" t="str">
            <v>しばしばあった</v>
          </cell>
          <cell r="X21" t="str">
            <v>しばしばあった</v>
          </cell>
          <cell r="Y21" t="str">
            <v>ときどきあった</v>
          </cell>
          <cell r="Z21" t="str">
            <v>ときどきあった</v>
          </cell>
          <cell r="AA21" t="str">
            <v>ときどきあった</v>
          </cell>
          <cell r="AB21" t="str">
            <v>ときどきばあった</v>
          </cell>
          <cell r="AC21" t="str">
            <v>しばしばあった</v>
          </cell>
          <cell r="AD21" t="str">
            <v>しばしばあった</v>
          </cell>
          <cell r="AE21" t="str">
            <v>ときどきあった</v>
          </cell>
          <cell r="AF21" t="str">
            <v>ほとんどいつもあった</v>
          </cell>
          <cell r="AG21" t="str">
            <v>ときどきあった</v>
          </cell>
          <cell r="AH21" t="str">
            <v>ときどきあった</v>
          </cell>
          <cell r="AI21" t="str">
            <v>しばしばあった</v>
          </cell>
          <cell r="AJ21" t="str">
            <v>ほとんどなかった</v>
          </cell>
          <cell r="AK21" t="str">
            <v>ほとんどなかった</v>
          </cell>
          <cell r="AL21" t="str">
            <v>ほとんどなかった</v>
          </cell>
          <cell r="AM21" t="str">
            <v>ほとんどなかった</v>
          </cell>
          <cell r="AN21" t="str">
            <v>ほとんどなかった</v>
          </cell>
          <cell r="AO21" t="str">
            <v>ときどきあった</v>
          </cell>
          <cell r="AP21" t="str">
            <v>ほとんどなかった</v>
          </cell>
          <cell r="AQ21" t="str">
            <v>ときどきあった</v>
          </cell>
          <cell r="AR21" t="str">
            <v>ほとんどなかった</v>
          </cell>
          <cell r="AS21" t="str">
            <v>ほとんどなかった</v>
          </cell>
          <cell r="AT21" t="str">
            <v>ほとんどなかった</v>
          </cell>
          <cell r="AU21" t="str">
            <v>ほとんどなかった</v>
          </cell>
          <cell r="AV21" t="str">
            <v>しばしばあった</v>
          </cell>
          <cell r="AW21" t="str">
            <v>多少</v>
          </cell>
          <cell r="AX21" t="str">
            <v>多少</v>
          </cell>
          <cell r="AY21" t="str">
            <v>多少</v>
          </cell>
          <cell r="AZ21" t="str">
            <v>多少</v>
          </cell>
          <cell r="BA21" t="str">
            <v>多少</v>
          </cell>
          <cell r="BB21" t="str">
            <v>全くない</v>
          </cell>
          <cell r="BC21" t="str">
            <v>多少</v>
          </cell>
          <cell r="BD21" t="str">
            <v>多少</v>
          </cell>
          <cell r="BE21" t="str">
            <v>全くない</v>
          </cell>
          <cell r="BF21" t="str">
            <v>やや満足</v>
          </cell>
          <cell r="BG21" t="str">
            <v>やや満足</v>
          </cell>
          <cell r="BI21" t="str">
            <v>いつもより寝つきは良い</v>
          </cell>
          <cell r="BJ21" t="str">
            <v>少し困ることがある</v>
          </cell>
          <cell r="BK21" t="str">
            <v>少し早かった</v>
          </cell>
          <cell r="BL21" t="str">
            <v>十分である</v>
          </cell>
          <cell r="BM21" t="str">
            <v>少し不満である</v>
          </cell>
          <cell r="BN21" t="str">
            <v>少し滅入った</v>
          </cell>
          <cell r="BO21" t="str">
            <v>少し低下した</v>
          </cell>
          <cell r="BP21" t="str">
            <v>全くなかった</v>
          </cell>
        </row>
        <row r="22">
          <cell r="C22" t="str">
            <v>まぁそうだ</v>
          </cell>
          <cell r="D22" t="str">
            <v>まぁそうだ</v>
          </cell>
          <cell r="E22" t="str">
            <v>ややちがう</v>
          </cell>
          <cell r="F22" t="str">
            <v>ややちがう</v>
          </cell>
          <cell r="G22" t="str">
            <v>まぁそうだ</v>
          </cell>
          <cell r="H22" t="str">
            <v>ややちがう</v>
          </cell>
          <cell r="I22" t="str">
            <v>ややちがう</v>
          </cell>
          <cell r="J22" t="str">
            <v>まぁそうだ</v>
          </cell>
          <cell r="K22" t="str">
            <v>そうだ</v>
          </cell>
          <cell r="L22" t="str">
            <v>そうだ</v>
          </cell>
          <cell r="M22" t="str">
            <v>ちがう</v>
          </cell>
          <cell r="N22" t="str">
            <v>ややちがう</v>
          </cell>
          <cell r="O22" t="str">
            <v>まぁそうだ</v>
          </cell>
          <cell r="P22" t="str">
            <v>まぁそうだ</v>
          </cell>
          <cell r="Q22" t="str">
            <v>ややちがう</v>
          </cell>
          <cell r="R22" t="str">
            <v>まぁそうだ</v>
          </cell>
          <cell r="S22" t="str">
            <v>まぁそうだ</v>
          </cell>
          <cell r="T22" t="str">
            <v>ときどきあった</v>
          </cell>
          <cell r="U22" t="str">
            <v>ときどきあった</v>
          </cell>
          <cell r="V22" t="str">
            <v>ときどきあった</v>
          </cell>
          <cell r="W22" t="str">
            <v>ときどきあった</v>
          </cell>
          <cell r="X22" t="str">
            <v>ほとんどなかった</v>
          </cell>
          <cell r="Y22" t="str">
            <v>ときどきあった</v>
          </cell>
          <cell r="Z22" t="str">
            <v>ときどきあった</v>
          </cell>
          <cell r="AA22" t="str">
            <v>ときどきあった</v>
          </cell>
          <cell r="AB22" t="str">
            <v>ときどきばあった</v>
          </cell>
          <cell r="AC22" t="str">
            <v>ときどきあった</v>
          </cell>
          <cell r="AD22" t="str">
            <v>ほとんどなかった</v>
          </cell>
          <cell r="AE22" t="str">
            <v>ときどきあった</v>
          </cell>
          <cell r="AF22" t="str">
            <v>ほとんどなかった</v>
          </cell>
          <cell r="AG22" t="str">
            <v>ときどきあった</v>
          </cell>
          <cell r="AH22" t="str">
            <v>ときどきあった</v>
          </cell>
          <cell r="AI22" t="str">
            <v>ときどきあった</v>
          </cell>
          <cell r="AJ22" t="str">
            <v>ときどきあった</v>
          </cell>
          <cell r="AK22" t="str">
            <v>ときどきあった</v>
          </cell>
          <cell r="AL22" t="str">
            <v>ほとんどなかった</v>
          </cell>
          <cell r="AM22" t="str">
            <v>ほとんどなかった</v>
          </cell>
          <cell r="AN22" t="str">
            <v>しばしばあった</v>
          </cell>
          <cell r="AO22" t="str">
            <v>ときどきあった</v>
          </cell>
          <cell r="AP22" t="str">
            <v>ほとんどなかった</v>
          </cell>
          <cell r="AQ22" t="str">
            <v>ときどきあった</v>
          </cell>
          <cell r="AR22" t="str">
            <v>ほとんどなかった</v>
          </cell>
          <cell r="AS22" t="str">
            <v>ほとんどなかった</v>
          </cell>
          <cell r="AT22" t="str">
            <v>ほとんどなかった</v>
          </cell>
          <cell r="AU22" t="str">
            <v>ときどきあった</v>
          </cell>
          <cell r="AV22" t="str">
            <v>ほとんどなかった</v>
          </cell>
          <cell r="AW22" t="str">
            <v>非常に</v>
          </cell>
          <cell r="AX22" t="str">
            <v>非常に</v>
          </cell>
          <cell r="AY22" t="str">
            <v>かなり</v>
          </cell>
          <cell r="AZ22" t="str">
            <v>かなり</v>
          </cell>
          <cell r="BA22" t="str">
            <v>かなり</v>
          </cell>
          <cell r="BB22" t="str">
            <v>かなり</v>
          </cell>
          <cell r="BC22" t="str">
            <v>かなり</v>
          </cell>
          <cell r="BD22" t="str">
            <v>かなり</v>
          </cell>
          <cell r="BE22" t="str">
            <v>かなり</v>
          </cell>
          <cell r="BF22" t="str">
            <v>まぁ満足</v>
          </cell>
          <cell r="BG22" t="str">
            <v>まぁ満足</v>
          </cell>
          <cell r="BI22" t="str">
            <v>いつもより寝つきは良い</v>
          </cell>
          <cell r="BJ22" t="str">
            <v>問題になるほどのことはなかった</v>
          </cell>
          <cell r="BK22" t="str">
            <v>そのようなことはなかった</v>
          </cell>
          <cell r="BL22" t="str">
            <v>少し足りない</v>
          </cell>
          <cell r="BM22" t="str">
            <v>満足している</v>
          </cell>
          <cell r="BN22" t="str">
            <v>いつもどおり</v>
          </cell>
          <cell r="BO22" t="str">
            <v>いつもどおり</v>
          </cell>
          <cell r="BP22" t="str">
            <v>少しあった</v>
          </cell>
        </row>
        <row r="23">
          <cell r="C23" t="str">
            <v>まぁそうだ</v>
          </cell>
          <cell r="D23" t="str">
            <v>まぁそうだ</v>
          </cell>
          <cell r="E23" t="str">
            <v>まぁそうだ</v>
          </cell>
          <cell r="F23" t="str">
            <v>そうだ</v>
          </cell>
          <cell r="G23" t="str">
            <v>まぁそうだ</v>
          </cell>
          <cell r="H23" t="str">
            <v>まぁそうだ</v>
          </cell>
          <cell r="I23" t="str">
            <v>ややちがう</v>
          </cell>
          <cell r="J23" t="str">
            <v>まぁそうだ</v>
          </cell>
          <cell r="K23" t="str">
            <v>まぁそうだ</v>
          </cell>
          <cell r="L23" t="str">
            <v>まぁそうだ</v>
          </cell>
          <cell r="M23" t="str">
            <v>ちがう</v>
          </cell>
          <cell r="N23" t="str">
            <v>ややちがう</v>
          </cell>
          <cell r="O23" t="str">
            <v>ちがう</v>
          </cell>
          <cell r="P23" t="str">
            <v>そうだ</v>
          </cell>
          <cell r="Q23" t="str">
            <v>ややちがう</v>
          </cell>
          <cell r="R23" t="str">
            <v>そうだ</v>
          </cell>
          <cell r="S23" t="str">
            <v>まぁそうだ</v>
          </cell>
          <cell r="T23" t="str">
            <v>しばしばあった</v>
          </cell>
          <cell r="U23" t="str">
            <v>ときどきあった</v>
          </cell>
          <cell r="V23" t="str">
            <v>ときどきあった</v>
          </cell>
          <cell r="W23" t="str">
            <v>ときどきあった</v>
          </cell>
          <cell r="X23" t="str">
            <v>ときどきあった</v>
          </cell>
          <cell r="Y23" t="str">
            <v>ときどきあった</v>
          </cell>
          <cell r="Z23" t="str">
            <v>ときどきあった</v>
          </cell>
          <cell r="AA23" t="str">
            <v>ときどきあった</v>
          </cell>
          <cell r="AB23" t="str">
            <v>ときどきばあった</v>
          </cell>
          <cell r="AC23" t="str">
            <v>ときどきあった</v>
          </cell>
          <cell r="AD23" t="str">
            <v>ときどきあった</v>
          </cell>
          <cell r="AE23" t="str">
            <v>ほとんどなかった</v>
          </cell>
          <cell r="AF23" t="str">
            <v>ときどきあった</v>
          </cell>
          <cell r="AG23" t="str">
            <v>ほとんどなかった</v>
          </cell>
          <cell r="AH23" t="str">
            <v>ときどきあった</v>
          </cell>
          <cell r="AI23" t="str">
            <v>ときどきあった</v>
          </cell>
          <cell r="AJ23" t="str">
            <v>ときどきあった</v>
          </cell>
          <cell r="AK23" t="str">
            <v>ほとんどなかった</v>
          </cell>
          <cell r="AL23" t="str">
            <v>ほとんどなかった</v>
          </cell>
          <cell r="AM23" t="str">
            <v>ほとんどなかった</v>
          </cell>
          <cell r="AN23" t="str">
            <v>ほとんどなかった</v>
          </cell>
          <cell r="AO23" t="str">
            <v>ほとんどいつもあった</v>
          </cell>
          <cell r="AP23" t="str">
            <v>しばしばあった</v>
          </cell>
          <cell r="AQ23" t="str">
            <v>ほとんどなかった</v>
          </cell>
          <cell r="AR23" t="str">
            <v>ほとんどなかった</v>
          </cell>
          <cell r="AS23" t="str">
            <v>しばしばあった</v>
          </cell>
          <cell r="AT23" t="str">
            <v>ほとんどなかった</v>
          </cell>
          <cell r="AU23" t="str">
            <v>しばしばあった</v>
          </cell>
          <cell r="AV23" t="str">
            <v>ときどきあった</v>
          </cell>
          <cell r="AW23" t="str">
            <v>多少</v>
          </cell>
          <cell r="AX23" t="str">
            <v>多少</v>
          </cell>
          <cell r="AY23" t="str">
            <v>かなり</v>
          </cell>
          <cell r="AZ23" t="str">
            <v>かなり</v>
          </cell>
          <cell r="BA23" t="str">
            <v>かなり</v>
          </cell>
          <cell r="BB23" t="str">
            <v>かなり</v>
          </cell>
          <cell r="BC23" t="str">
            <v>かなり</v>
          </cell>
          <cell r="BD23" t="str">
            <v>多少</v>
          </cell>
          <cell r="BE23" t="str">
            <v>かなり</v>
          </cell>
          <cell r="BF23" t="str">
            <v>まぁ満足</v>
          </cell>
          <cell r="BG23" t="str">
            <v>まぁ満足</v>
          </cell>
          <cell r="BI23" t="str">
            <v>いつもより少し時間がかかった</v>
          </cell>
          <cell r="BJ23" t="str">
            <v>問題になるほどのことはなかった</v>
          </cell>
          <cell r="BK23" t="str">
            <v>そのようなことはなかった</v>
          </cell>
          <cell r="BL23" t="str">
            <v>かなり足りない</v>
          </cell>
          <cell r="BM23" t="str">
            <v>かなり不満である</v>
          </cell>
          <cell r="BN23" t="str">
            <v>少し滅入った</v>
          </cell>
          <cell r="BO23" t="str">
            <v>少し低下した</v>
          </cell>
          <cell r="BP23" t="str">
            <v>少しあった</v>
          </cell>
        </row>
        <row r="24">
          <cell r="C24" t="str">
            <v>そうだ</v>
          </cell>
          <cell r="D24" t="str">
            <v>まぁそうだ</v>
          </cell>
          <cell r="E24" t="str">
            <v>まぁそうだ</v>
          </cell>
          <cell r="F24" t="str">
            <v>まぁそうだ</v>
          </cell>
          <cell r="G24" t="str">
            <v>まぁそうだ</v>
          </cell>
          <cell r="H24" t="str">
            <v>そうだ</v>
          </cell>
          <cell r="I24" t="str">
            <v>ちがう</v>
          </cell>
          <cell r="J24" t="str">
            <v>まぁそうだ</v>
          </cell>
          <cell r="K24" t="str">
            <v>そうだ</v>
          </cell>
          <cell r="L24" t="str">
            <v>まぁそうだ</v>
          </cell>
          <cell r="M24" t="str">
            <v>ちがう</v>
          </cell>
          <cell r="N24" t="str">
            <v>ちがう</v>
          </cell>
          <cell r="O24" t="str">
            <v>ちがう</v>
          </cell>
          <cell r="P24" t="str">
            <v>そうだ</v>
          </cell>
          <cell r="Q24" t="str">
            <v>ちがう</v>
          </cell>
          <cell r="R24" t="str">
            <v>まぁそうだ</v>
          </cell>
          <cell r="S24" t="str">
            <v>そうだ</v>
          </cell>
          <cell r="T24" t="str">
            <v>ほとんどいつもあった</v>
          </cell>
          <cell r="U24" t="str">
            <v>しばしばあった</v>
          </cell>
          <cell r="V24" t="str">
            <v>しばしばあった</v>
          </cell>
          <cell r="W24" t="str">
            <v>ほとんどなかった</v>
          </cell>
          <cell r="X24" t="str">
            <v>ほとんどなかった</v>
          </cell>
          <cell r="Y24" t="str">
            <v>ときどきあった</v>
          </cell>
          <cell r="Z24" t="str">
            <v>ときどきあった</v>
          </cell>
          <cell r="AA24" t="str">
            <v>ほとんどなかった</v>
          </cell>
          <cell r="AB24" t="str">
            <v>ほとんどなかった</v>
          </cell>
          <cell r="AC24" t="str">
            <v>ときどきあった</v>
          </cell>
          <cell r="AD24" t="str">
            <v>ときどきあった</v>
          </cell>
          <cell r="AE24" t="str">
            <v>ほとんどなかった</v>
          </cell>
          <cell r="AF24" t="str">
            <v>ときどきあった</v>
          </cell>
          <cell r="AG24" t="str">
            <v>ときどきあった</v>
          </cell>
          <cell r="AH24" t="str">
            <v>ときどきあった</v>
          </cell>
          <cell r="AI24" t="str">
            <v>ときどきあった</v>
          </cell>
          <cell r="AJ24" t="str">
            <v>ほとんどなかった</v>
          </cell>
          <cell r="AK24" t="str">
            <v>ほとんどなかった</v>
          </cell>
          <cell r="AL24" t="str">
            <v>しばしばあった</v>
          </cell>
          <cell r="AM24" t="str">
            <v>ほとんどなかった</v>
          </cell>
          <cell r="AN24" t="str">
            <v>ほとんどなかった</v>
          </cell>
          <cell r="AO24" t="str">
            <v>ほとんどなかった</v>
          </cell>
          <cell r="AP24" t="str">
            <v>ほとんどなかった</v>
          </cell>
          <cell r="AQ24" t="str">
            <v>しばしばあった</v>
          </cell>
          <cell r="AR24" t="str">
            <v>ほとんどなかった</v>
          </cell>
          <cell r="AS24" t="str">
            <v>ときどきあった</v>
          </cell>
          <cell r="AT24" t="str">
            <v>ほとんどなかった</v>
          </cell>
          <cell r="AU24" t="str">
            <v>ほとんどなかった</v>
          </cell>
          <cell r="AV24" t="str">
            <v>ほとんどいつもあった</v>
          </cell>
          <cell r="AW24" t="str">
            <v>非常に</v>
          </cell>
          <cell r="AX24" t="str">
            <v>非常に</v>
          </cell>
          <cell r="AY24" t="str">
            <v>非常に</v>
          </cell>
          <cell r="AZ24" t="str">
            <v>非常に</v>
          </cell>
          <cell r="BA24" t="str">
            <v>かなり</v>
          </cell>
          <cell r="BB24" t="str">
            <v>かなり</v>
          </cell>
          <cell r="BC24" t="str">
            <v>非常に</v>
          </cell>
          <cell r="BD24" t="str">
            <v>非常に</v>
          </cell>
          <cell r="BE24" t="str">
            <v>非常に</v>
          </cell>
          <cell r="BF24" t="str">
            <v>まぁ満足</v>
          </cell>
          <cell r="BG24" t="str">
            <v>満足</v>
          </cell>
          <cell r="BI24" t="str">
            <v>いつもより非常に時間がかかった、あるいは全く眠れなかった</v>
          </cell>
          <cell r="BJ24" t="str">
            <v>少し困ることがある</v>
          </cell>
          <cell r="BK24" t="str">
            <v>少し早かった</v>
          </cell>
          <cell r="BL24" t="str">
            <v>少し足りない</v>
          </cell>
          <cell r="BM24" t="str">
            <v>かなり不満である</v>
          </cell>
          <cell r="BN24" t="str">
            <v>いつもどおり</v>
          </cell>
          <cell r="BO24" t="str">
            <v>少し低下した</v>
          </cell>
          <cell r="BP24" t="str">
            <v>全くなかった</v>
          </cell>
        </row>
        <row r="25">
          <cell r="C25" t="str">
            <v>ややちがう</v>
          </cell>
          <cell r="D25" t="str">
            <v>ややちがう</v>
          </cell>
          <cell r="E25" t="str">
            <v>まぁそうだ</v>
          </cell>
          <cell r="F25" t="str">
            <v>まぁそうだ</v>
          </cell>
          <cell r="G25" t="str">
            <v>そうだ</v>
          </cell>
          <cell r="H25" t="str">
            <v>まぁそうだ</v>
          </cell>
          <cell r="I25" t="str">
            <v>ややちがう</v>
          </cell>
          <cell r="J25" t="str">
            <v>ややちがう</v>
          </cell>
          <cell r="K25" t="str">
            <v>ややちがう</v>
          </cell>
          <cell r="L25" t="str">
            <v>ちがう</v>
          </cell>
          <cell r="M25" t="str">
            <v>ややちがう</v>
          </cell>
          <cell r="N25" t="str">
            <v>ちがう</v>
          </cell>
          <cell r="O25" t="str">
            <v>ややちがう</v>
          </cell>
          <cell r="P25" t="str">
            <v>まぁそうだ</v>
          </cell>
          <cell r="Q25" t="str">
            <v>そうだ</v>
          </cell>
          <cell r="R25" t="str">
            <v>ちがう</v>
          </cell>
          <cell r="S25" t="str">
            <v>ややちがう</v>
          </cell>
          <cell r="T25" t="str">
            <v>ほとんどなかった</v>
          </cell>
          <cell r="U25" t="str">
            <v>ほとんどなかった</v>
          </cell>
          <cell r="V25" t="str">
            <v>ほとんどなかった</v>
          </cell>
          <cell r="W25" t="str">
            <v>ときどきあった</v>
          </cell>
          <cell r="X25" t="str">
            <v>ときどきあった</v>
          </cell>
          <cell r="Y25" t="str">
            <v>しばしばあった</v>
          </cell>
          <cell r="Z25" t="str">
            <v>しばしばあった</v>
          </cell>
          <cell r="AA25" t="str">
            <v>ほとんどなかった</v>
          </cell>
          <cell r="AB25" t="str">
            <v>ほとんどいつもあった</v>
          </cell>
          <cell r="AC25" t="str">
            <v>ほとんどなかった</v>
          </cell>
          <cell r="AD25" t="str">
            <v>ほとんどいつもあった</v>
          </cell>
          <cell r="AE25" t="str">
            <v>しばしばあった</v>
          </cell>
          <cell r="AF25" t="str">
            <v>ときどきあった</v>
          </cell>
          <cell r="AG25" t="str">
            <v>しばしばあった</v>
          </cell>
          <cell r="AH25" t="str">
            <v>しばしばあった</v>
          </cell>
          <cell r="AI25" t="str">
            <v>ほとんどいつもあった</v>
          </cell>
          <cell r="AJ25" t="str">
            <v>ときどきあった</v>
          </cell>
          <cell r="AK25" t="str">
            <v>しばしばあった</v>
          </cell>
          <cell r="AL25" t="str">
            <v>ほとんどなかった</v>
          </cell>
          <cell r="AM25" t="str">
            <v>ほとんどなかった</v>
          </cell>
          <cell r="AN25" t="str">
            <v>ときどきあった</v>
          </cell>
          <cell r="AO25" t="str">
            <v>ほとんどいつもあった</v>
          </cell>
          <cell r="AP25" t="str">
            <v>ときどきあった</v>
          </cell>
          <cell r="AQ25" t="str">
            <v>しばしばあった</v>
          </cell>
          <cell r="AR25" t="str">
            <v>ほとんどなかった</v>
          </cell>
          <cell r="AS25" t="str">
            <v>ほとんどいつもあった</v>
          </cell>
          <cell r="AT25" t="str">
            <v>ときどきあった</v>
          </cell>
          <cell r="AU25" t="str">
            <v>ほとんどいつもあった</v>
          </cell>
          <cell r="AV25" t="str">
            <v>ほとんどいつもあった</v>
          </cell>
          <cell r="AW25" t="str">
            <v>多少</v>
          </cell>
          <cell r="AX25" t="str">
            <v>多少</v>
          </cell>
          <cell r="AY25" t="str">
            <v>非常に</v>
          </cell>
          <cell r="AZ25" t="str">
            <v>多少</v>
          </cell>
          <cell r="BA25" t="str">
            <v>多少</v>
          </cell>
          <cell r="BB25" t="str">
            <v>非常に</v>
          </cell>
          <cell r="BC25" t="str">
            <v>多少</v>
          </cell>
          <cell r="BD25" t="str">
            <v>多少</v>
          </cell>
          <cell r="BE25" t="str">
            <v>非常に</v>
          </cell>
          <cell r="BF25" t="str">
            <v>やや満足</v>
          </cell>
          <cell r="BG25" t="str">
            <v>満足</v>
          </cell>
          <cell r="BI25" t="str">
            <v>いつもよりかなり時間がかかった</v>
          </cell>
          <cell r="BJ25" t="str">
            <v>少し困ることがある</v>
          </cell>
          <cell r="BK25" t="str">
            <v>少し早かった</v>
          </cell>
          <cell r="BL25" t="str">
            <v>かなり足りない</v>
          </cell>
          <cell r="BM25" t="str">
            <v>非常に不満である、あるいは全く眠れなかった</v>
          </cell>
          <cell r="BN25" t="str">
            <v>かなり滅入った</v>
          </cell>
          <cell r="BO25" t="str">
            <v>かなり低下した</v>
          </cell>
          <cell r="BP25" t="str">
            <v>激しかった</v>
          </cell>
        </row>
        <row r="26">
          <cell r="C26" t="str">
            <v>そうだ</v>
          </cell>
          <cell r="D26" t="str">
            <v>そうだ</v>
          </cell>
          <cell r="E26" t="str">
            <v>そうだ</v>
          </cell>
          <cell r="F26" t="str">
            <v>そうだ</v>
          </cell>
          <cell r="G26" t="str">
            <v>まぁそうだ</v>
          </cell>
          <cell r="H26" t="str">
            <v>そうだ</v>
          </cell>
          <cell r="I26" t="str">
            <v>ちがう</v>
          </cell>
          <cell r="J26" t="str">
            <v>ちがう</v>
          </cell>
          <cell r="K26" t="str">
            <v>ややちがう</v>
          </cell>
          <cell r="L26" t="str">
            <v>まぁそうだ</v>
          </cell>
          <cell r="M26" t="str">
            <v>ちがう</v>
          </cell>
          <cell r="N26" t="str">
            <v>ややちがう</v>
          </cell>
          <cell r="O26" t="str">
            <v>ちがう</v>
          </cell>
          <cell r="P26" t="str">
            <v>まぁそうだ</v>
          </cell>
          <cell r="Q26" t="str">
            <v>ややちがう</v>
          </cell>
          <cell r="R26" t="str">
            <v>まぁそうだ</v>
          </cell>
          <cell r="S26" t="str">
            <v>まぁそうだ</v>
          </cell>
          <cell r="T26" t="str">
            <v>ほとんどなかった</v>
          </cell>
          <cell r="U26" t="str">
            <v>ほとんどなかった</v>
          </cell>
          <cell r="V26" t="str">
            <v>ほとんどなかった</v>
          </cell>
          <cell r="W26" t="str">
            <v>ときどきあった</v>
          </cell>
          <cell r="X26" t="str">
            <v>ときどきあった</v>
          </cell>
          <cell r="Y26" t="str">
            <v>ときどきあった</v>
          </cell>
          <cell r="Z26" t="str">
            <v>ほとんどいつもあった</v>
          </cell>
          <cell r="AA26" t="str">
            <v>ほとんどいつもあった</v>
          </cell>
          <cell r="AB26" t="str">
            <v>しばしばあった</v>
          </cell>
          <cell r="AC26" t="str">
            <v>ほとんどいつもあった</v>
          </cell>
          <cell r="AD26" t="str">
            <v>しばしばあった</v>
          </cell>
          <cell r="AE26" t="str">
            <v>ときどきあった</v>
          </cell>
          <cell r="AF26" t="str">
            <v>しばしばあった</v>
          </cell>
          <cell r="AG26" t="str">
            <v>ときどきあった</v>
          </cell>
          <cell r="AH26" t="str">
            <v>ほとんどなかった</v>
          </cell>
          <cell r="AI26" t="str">
            <v>ときどきあった</v>
          </cell>
          <cell r="AJ26" t="str">
            <v>ほとんどなかった</v>
          </cell>
          <cell r="AK26" t="str">
            <v>しばしばあった</v>
          </cell>
          <cell r="AL26" t="str">
            <v>ほとんどなかった</v>
          </cell>
          <cell r="AM26" t="str">
            <v>ときどきあった</v>
          </cell>
          <cell r="AN26" t="str">
            <v>ときどきあった</v>
          </cell>
          <cell r="AO26" t="str">
            <v>ほとんどいつもあった</v>
          </cell>
          <cell r="AP26" t="str">
            <v>ときどきあった</v>
          </cell>
          <cell r="AQ26" t="str">
            <v>ときどきあった</v>
          </cell>
          <cell r="AR26" t="str">
            <v>ほとんどなかった</v>
          </cell>
          <cell r="AS26" t="str">
            <v>ほとんどいつもあった</v>
          </cell>
          <cell r="AT26" t="str">
            <v>ときどきあった</v>
          </cell>
          <cell r="AU26" t="str">
            <v>しばしばあった</v>
          </cell>
          <cell r="AV26" t="str">
            <v>ほとんどなかった</v>
          </cell>
          <cell r="AW26" t="str">
            <v>かなり</v>
          </cell>
          <cell r="AX26" t="str">
            <v>多少</v>
          </cell>
          <cell r="AY26" t="str">
            <v>非常に</v>
          </cell>
          <cell r="AZ26" t="str">
            <v>多少</v>
          </cell>
          <cell r="BA26" t="str">
            <v>多少</v>
          </cell>
          <cell r="BB26" t="str">
            <v>非常に</v>
          </cell>
          <cell r="BC26" t="str">
            <v>かなり</v>
          </cell>
          <cell r="BD26" t="str">
            <v>かなり</v>
          </cell>
          <cell r="BE26" t="str">
            <v>非常に</v>
          </cell>
          <cell r="BF26" t="str">
            <v>やや満足</v>
          </cell>
          <cell r="BG26" t="str">
            <v>満足</v>
          </cell>
          <cell r="BI26" t="str">
            <v>いつもより少し時間がかかった</v>
          </cell>
          <cell r="BJ26" t="str">
            <v>問題になるほどのことはなかった</v>
          </cell>
          <cell r="BK26" t="str">
            <v>そのようなことはなかった</v>
          </cell>
          <cell r="BL26" t="str">
            <v>少し足りない</v>
          </cell>
          <cell r="BM26" t="str">
            <v>少し不満である</v>
          </cell>
          <cell r="BN26" t="str">
            <v>少し滅入った</v>
          </cell>
          <cell r="BO26" t="str">
            <v>少し低下した</v>
          </cell>
          <cell r="BP26" t="str">
            <v>少しあった</v>
          </cell>
        </row>
        <row r="27">
          <cell r="C27" t="str">
            <v>ややちがう</v>
          </cell>
          <cell r="D27" t="str">
            <v>ややちがう</v>
          </cell>
          <cell r="E27" t="str">
            <v>ややちがう</v>
          </cell>
          <cell r="F27" t="str">
            <v>ややちがう</v>
          </cell>
          <cell r="G27" t="str">
            <v>ややちがう</v>
          </cell>
          <cell r="H27" t="str">
            <v>ややちがう</v>
          </cell>
          <cell r="I27" t="str">
            <v>ちがう</v>
          </cell>
          <cell r="J27" t="str">
            <v>そうだ</v>
          </cell>
          <cell r="K27" t="str">
            <v>まぁそうだ</v>
          </cell>
          <cell r="L27" t="str">
            <v>まぁそうだ</v>
          </cell>
          <cell r="M27" t="str">
            <v>ちがう</v>
          </cell>
          <cell r="N27" t="str">
            <v>ややちがう</v>
          </cell>
          <cell r="O27" t="str">
            <v>ちがう</v>
          </cell>
          <cell r="P27" t="str">
            <v>そうだ</v>
          </cell>
          <cell r="Q27" t="str">
            <v>そうだ</v>
          </cell>
          <cell r="R27" t="str">
            <v>そうだ</v>
          </cell>
          <cell r="S27" t="str">
            <v>まぁそうだ</v>
          </cell>
          <cell r="T27" t="str">
            <v>ときどきあった</v>
          </cell>
          <cell r="U27" t="str">
            <v>ときどきあった</v>
          </cell>
          <cell r="V27" t="str">
            <v>ときどきあった</v>
          </cell>
          <cell r="W27" t="str">
            <v>ほとんどいつもあった</v>
          </cell>
          <cell r="X27" t="str">
            <v>ほとんどいつもあった</v>
          </cell>
          <cell r="Y27" t="str">
            <v>ほとんどいつもあった</v>
          </cell>
          <cell r="Z27" t="str">
            <v>ほとんどいつもあった</v>
          </cell>
          <cell r="AA27" t="str">
            <v>ほとんどいつもあった</v>
          </cell>
          <cell r="AB27" t="str">
            <v>しばしばあった</v>
          </cell>
          <cell r="AC27" t="str">
            <v>しばしばあった</v>
          </cell>
          <cell r="AD27" t="str">
            <v>ほとんどいつもあった</v>
          </cell>
          <cell r="AE27" t="str">
            <v>しばしばあった</v>
          </cell>
          <cell r="AF27" t="str">
            <v>しばしばあった</v>
          </cell>
          <cell r="AG27" t="str">
            <v>しばしばあった</v>
          </cell>
          <cell r="AH27" t="str">
            <v>しばしばあった</v>
          </cell>
          <cell r="AI27" t="str">
            <v>しばしばあった</v>
          </cell>
          <cell r="AJ27" t="str">
            <v>ときどきあった</v>
          </cell>
          <cell r="AK27" t="str">
            <v>しばしばあった</v>
          </cell>
          <cell r="AL27" t="str">
            <v>しばしばあった</v>
          </cell>
          <cell r="AM27" t="str">
            <v>ほとんどなかった</v>
          </cell>
          <cell r="AN27" t="str">
            <v>しばしばあった</v>
          </cell>
          <cell r="AO27" t="str">
            <v>しばしばあった</v>
          </cell>
          <cell r="AP27" t="str">
            <v>ほとんどなかった</v>
          </cell>
          <cell r="AQ27" t="str">
            <v>ほとんどいつもあった</v>
          </cell>
          <cell r="AR27" t="str">
            <v>ほとんどなかった</v>
          </cell>
          <cell r="AS27" t="str">
            <v>しばしばあった</v>
          </cell>
          <cell r="AT27" t="str">
            <v>ほとんどなかった</v>
          </cell>
          <cell r="AU27" t="str">
            <v>ほとんどいつもあった</v>
          </cell>
          <cell r="AV27" t="str">
            <v>しばしばあった</v>
          </cell>
          <cell r="AW27" t="str">
            <v>かなり</v>
          </cell>
          <cell r="AX27" t="str">
            <v>非常に</v>
          </cell>
          <cell r="AY27" t="str">
            <v>非常に</v>
          </cell>
          <cell r="AZ27" t="str">
            <v>多少</v>
          </cell>
          <cell r="BA27" t="str">
            <v>多少</v>
          </cell>
          <cell r="BB27" t="str">
            <v>かなり</v>
          </cell>
          <cell r="BC27" t="str">
            <v>かなり</v>
          </cell>
          <cell r="BD27" t="str">
            <v>非常に</v>
          </cell>
          <cell r="BE27" t="str">
            <v>非常に</v>
          </cell>
          <cell r="BF27" t="str">
            <v>まぁ満足</v>
          </cell>
          <cell r="BG27" t="str">
            <v>不満足</v>
          </cell>
          <cell r="BI27" t="str">
            <v>いつもより少し時間がかかった</v>
          </cell>
          <cell r="BJ27" t="str">
            <v>少し困ることがある</v>
          </cell>
          <cell r="BK27" t="str">
            <v>そのようなことはなかった</v>
          </cell>
          <cell r="BL27" t="str">
            <v>かなり足りない</v>
          </cell>
          <cell r="BM27" t="str">
            <v>かなり不満である</v>
          </cell>
          <cell r="BN27" t="str">
            <v>少し滅入った</v>
          </cell>
          <cell r="BO27" t="str">
            <v>少し低下した</v>
          </cell>
          <cell r="BP27" t="str">
            <v>かなりあった</v>
          </cell>
        </row>
        <row r="28">
          <cell r="C28" t="str">
            <v>ややちがう</v>
          </cell>
          <cell r="D28" t="str">
            <v>まぁそうだ</v>
          </cell>
          <cell r="E28" t="str">
            <v>まぁそうだ</v>
          </cell>
          <cell r="F28" t="str">
            <v>まぁそうだ</v>
          </cell>
          <cell r="G28" t="str">
            <v>まぁそうだ</v>
          </cell>
          <cell r="H28" t="str">
            <v>まぁそうだ</v>
          </cell>
          <cell r="I28" t="str">
            <v>ややちがう</v>
          </cell>
          <cell r="J28" t="str">
            <v>まぁそうだ</v>
          </cell>
          <cell r="K28" t="str">
            <v>まぁそうだ</v>
          </cell>
          <cell r="L28" t="str">
            <v>ややちがう</v>
          </cell>
          <cell r="M28" t="str">
            <v>ちがう</v>
          </cell>
          <cell r="N28" t="str">
            <v>ちがう</v>
          </cell>
          <cell r="O28" t="str">
            <v>ちがう</v>
          </cell>
          <cell r="P28" t="str">
            <v>そうだ</v>
          </cell>
          <cell r="Q28" t="str">
            <v>ちがう</v>
          </cell>
          <cell r="R28" t="str">
            <v>まぁそうだ</v>
          </cell>
          <cell r="S28" t="str">
            <v>ややちがう</v>
          </cell>
          <cell r="T28" t="str">
            <v>ときどきあった</v>
          </cell>
          <cell r="U28" t="str">
            <v>ときどきあった</v>
          </cell>
          <cell r="V28" t="str">
            <v>ときどきあった</v>
          </cell>
          <cell r="W28" t="str">
            <v>ほとんどなかった</v>
          </cell>
          <cell r="X28" t="str">
            <v>ほとんどなかった</v>
          </cell>
          <cell r="Y28" t="str">
            <v>ほとんどなかった</v>
          </cell>
          <cell r="Z28" t="str">
            <v>ほとんどなかった</v>
          </cell>
          <cell r="AA28" t="str">
            <v>ほとんどなかった</v>
          </cell>
          <cell r="AB28" t="str">
            <v>しばしばあった</v>
          </cell>
          <cell r="AC28" t="str">
            <v>しばしばあった</v>
          </cell>
          <cell r="AD28" t="str">
            <v>しばしばあった</v>
          </cell>
          <cell r="AE28" t="str">
            <v>しばしばあった</v>
          </cell>
          <cell r="AF28" t="str">
            <v>ときどきあった</v>
          </cell>
          <cell r="AG28" t="str">
            <v>しばしばあった</v>
          </cell>
          <cell r="AH28" t="str">
            <v>しばしばあった</v>
          </cell>
          <cell r="AI28" t="str">
            <v>しばしばあった</v>
          </cell>
          <cell r="AJ28" t="str">
            <v>ときどきあった</v>
          </cell>
          <cell r="AK28" t="str">
            <v>しばしばあった</v>
          </cell>
          <cell r="AL28" t="str">
            <v>ほとんどなかった</v>
          </cell>
          <cell r="AM28" t="str">
            <v>ほとんどなかった</v>
          </cell>
          <cell r="AN28" t="str">
            <v>ほとんどなかった</v>
          </cell>
          <cell r="AO28" t="str">
            <v>ときどきあった</v>
          </cell>
          <cell r="AP28" t="str">
            <v>ほとんどなかった</v>
          </cell>
          <cell r="AQ28" t="str">
            <v>ほとんどなかった</v>
          </cell>
          <cell r="AR28" t="str">
            <v>ほとんどなかった</v>
          </cell>
          <cell r="AS28" t="str">
            <v>しばしばあった</v>
          </cell>
          <cell r="AT28" t="str">
            <v>ときどきあった</v>
          </cell>
          <cell r="AU28" t="str">
            <v>ときどきあった</v>
          </cell>
          <cell r="AV28" t="str">
            <v>ときどきあった</v>
          </cell>
          <cell r="AW28" t="str">
            <v>多少</v>
          </cell>
          <cell r="AX28" t="str">
            <v>非常に</v>
          </cell>
          <cell r="AY28" t="str">
            <v>非常に</v>
          </cell>
          <cell r="AZ28" t="str">
            <v>非常に</v>
          </cell>
          <cell r="BA28" t="str">
            <v>かなり</v>
          </cell>
          <cell r="BB28" t="str">
            <v>かなり</v>
          </cell>
          <cell r="BC28" t="str">
            <v>多少</v>
          </cell>
          <cell r="BD28" t="str">
            <v>かなり</v>
          </cell>
          <cell r="BE28" t="str">
            <v>かなり</v>
          </cell>
          <cell r="BF28" t="str">
            <v>まぁ満足</v>
          </cell>
          <cell r="BG28" t="str">
            <v>不満足</v>
          </cell>
          <cell r="BI28" t="str">
            <v>いつもより少し時間がかかった</v>
          </cell>
          <cell r="BJ28" t="str">
            <v>問題になるほどのことはなかった</v>
          </cell>
          <cell r="BK28" t="str">
            <v>そのようなことはなかった</v>
          </cell>
          <cell r="BL28" t="str">
            <v>十分である</v>
          </cell>
          <cell r="BM28" t="str">
            <v>少し不満である</v>
          </cell>
          <cell r="BN28" t="str">
            <v>少し滅入った</v>
          </cell>
          <cell r="BO28" t="str">
            <v>少し低下した</v>
          </cell>
          <cell r="BP28" t="str">
            <v>少しあった</v>
          </cell>
        </row>
        <row r="29">
          <cell r="C29" t="str">
            <v>ややちがう</v>
          </cell>
          <cell r="D29" t="str">
            <v>まぁそうだ</v>
          </cell>
          <cell r="E29" t="str">
            <v>そうだ</v>
          </cell>
          <cell r="F29" t="str">
            <v>そうだ</v>
          </cell>
          <cell r="G29" t="str">
            <v>そうだ</v>
          </cell>
          <cell r="H29" t="str">
            <v>そうだ</v>
          </cell>
          <cell r="I29" t="str">
            <v>ちがう</v>
          </cell>
          <cell r="J29" t="str">
            <v>ややちがう</v>
          </cell>
          <cell r="K29" t="str">
            <v>ややちがう</v>
          </cell>
          <cell r="L29" t="str">
            <v>ややちがう</v>
          </cell>
          <cell r="M29" t="str">
            <v>ちがう</v>
          </cell>
          <cell r="N29" t="str">
            <v>ややちがう</v>
          </cell>
          <cell r="O29" t="str">
            <v>ややちがう</v>
          </cell>
          <cell r="P29" t="str">
            <v>ややちがう</v>
          </cell>
          <cell r="Q29" t="str">
            <v>ややちがう</v>
          </cell>
          <cell r="R29" t="str">
            <v>ちがう</v>
          </cell>
          <cell r="S29" t="str">
            <v>まぁそうだ</v>
          </cell>
          <cell r="T29" t="str">
            <v>ときどきあった</v>
          </cell>
          <cell r="U29" t="str">
            <v>ほとんどなかった</v>
          </cell>
          <cell r="V29" t="str">
            <v>ほとんどなかった</v>
          </cell>
          <cell r="W29" t="str">
            <v>ときどきあった</v>
          </cell>
          <cell r="X29" t="str">
            <v>しばしばあった</v>
          </cell>
          <cell r="Y29" t="str">
            <v>しばしばあった</v>
          </cell>
          <cell r="Z29" t="str">
            <v>しばしばあった</v>
          </cell>
          <cell r="AA29" t="str">
            <v>しばしばあった</v>
          </cell>
          <cell r="AB29" t="str">
            <v>しばしばあった</v>
          </cell>
          <cell r="AC29" t="str">
            <v>ときどきあった</v>
          </cell>
          <cell r="AD29" t="str">
            <v>ほとんどいつもあった</v>
          </cell>
          <cell r="AE29" t="str">
            <v>しばしばあった</v>
          </cell>
          <cell r="AF29" t="str">
            <v>ときどきあった</v>
          </cell>
          <cell r="AG29" t="str">
            <v>ときどきあった</v>
          </cell>
          <cell r="AH29" t="str">
            <v>しばしばあった</v>
          </cell>
          <cell r="AI29" t="str">
            <v>ときどきあった</v>
          </cell>
          <cell r="AJ29" t="str">
            <v>ときどきあった</v>
          </cell>
          <cell r="AK29" t="str">
            <v>ときどきあった</v>
          </cell>
          <cell r="AL29" t="str">
            <v>ほとんどなかった</v>
          </cell>
          <cell r="AM29" t="str">
            <v>ときどきあった</v>
          </cell>
          <cell r="AN29" t="str">
            <v>しばしばあった</v>
          </cell>
          <cell r="AO29" t="str">
            <v>ほとんどいつもあった</v>
          </cell>
          <cell r="AP29" t="str">
            <v>ほとんどいつもあった</v>
          </cell>
          <cell r="AQ29" t="str">
            <v>しばしばあった</v>
          </cell>
          <cell r="AR29" t="str">
            <v>ときどきあった</v>
          </cell>
          <cell r="AS29" t="str">
            <v>しばしばあった</v>
          </cell>
          <cell r="AT29" t="str">
            <v>ときどきあった</v>
          </cell>
          <cell r="AU29" t="str">
            <v>しばしばあった</v>
          </cell>
          <cell r="AV29" t="str">
            <v>しばしばあった</v>
          </cell>
          <cell r="AW29" t="str">
            <v>多少</v>
          </cell>
          <cell r="AX29" t="str">
            <v>多少</v>
          </cell>
          <cell r="AY29" t="str">
            <v>かなり</v>
          </cell>
          <cell r="AZ29" t="str">
            <v>多少</v>
          </cell>
          <cell r="BA29" t="str">
            <v>多少</v>
          </cell>
          <cell r="BB29" t="str">
            <v>かなり</v>
          </cell>
          <cell r="BC29" t="str">
            <v>多少</v>
          </cell>
          <cell r="BD29" t="str">
            <v>多少</v>
          </cell>
          <cell r="BE29" t="str">
            <v>かなり</v>
          </cell>
          <cell r="BF29" t="str">
            <v>やや満足</v>
          </cell>
          <cell r="BG29" t="str">
            <v>満足</v>
          </cell>
          <cell r="BI29" t="str">
            <v>いつもより寝つきは良い</v>
          </cell>
          <cell r="BJ29" t="str">
            <v>少し困ることがある</v>
          </cell>
          <cell r="BK29" t="str">
            <v>少し早かった</v>
          </cell>
          <cell r="BL29" t="str">
            <v>少し足りない</v>
          </cell>
          <cell r="BM29" t="str">
            <v>かなり不満である</v>
          </cell>
          <cell r="BN29" t="str">
            <v>少し滅入った</v>
          </cell>
          <cell r="BO29" t="str">
            <v>少し低下した</v>
          </cell>
          <cell r="BP29" t="str">
            <v>かなりあった</v>
          </cell>
        </row>
        <row r="30">
          <cell r="C30" t="str">
            <v>まぁそうだ</v>
          </cell>
          <cell r="D30" t="str">
            <v>そうだ</v>
          </cell>
          <cell r="E30" t="str">
            <v>まぁそうだ</v>
          </cell>
          <cell r="F30" t="str">
            <v>そうだ</v>
          </cell>
          <cell r="G30" t="str">
            <v>そうだ</v>
          </cell>
          <cell r="H30" t="str">
            <v>そうだ</v>
          </cell>
          <cell r="I30" t="str">
            <v>ちがう</v>
          </cell>
          <cell r="J30" t="str">
            <v>ややちがう</v>
          </cell>
          <cell r="K30" t="str">
            <v>まぁそうだ</v>
          </cell>
          <cell r="L30" t="str">
            <v>ちがう</v>
          </cell>
          <cell r="M30" t="str">
            <v>まぁそうだ</v>
          </cell>
          <cell r="N30" t="str">
            <v>そうだ</v>
          </cell>
          <cell r="O30" t="str">
            <v>まぁそうだ</v>
          </cell>
          <cell r="P30" t="str">
            <v>ちがう</v>
          </cell>
          <cell r="Q30" t="str">
            <v>そうだ</v>
          </cell>
          <cell r="R30" t="str">
            <v>ちがう</v>
          </cell>
          <cell r="S30" t="str">
            <v>ちがう</v>
          </cell>
          <cell r="T30" t="str">
            <v>ほとんどなかった</v>
          </cell>
          <cell r="U30" t="str">
            <v>ほとんどなかった</v>
          </cell>
          <cell r="V30" t="str">
            <v>ほとんどなかった</v>
          </cell>
          <cell r="W30" t="str">
            <v>ほとんどいつもあった</v>
          </cell>
          <cell r="X30" t="str">
            <v>ほとんどいつもあった</v>
          </cell>
          <cell r="Y30" t="str">
            <v>ほとんどいつもあった</v>
          </cell>
          <cell r="Z30" t="str">
            <v>ときどきあった</v>
          </cell>
          <cell r="AA30" t="str">
            <v>ときどきあった</v>
          </cell>
          <cell r="AB30" t="str">
            <v>ときどきばあった</v>
          </cell>
          <cell r="AC30" t="str">
            <v>しばしばあった</v>
          </cell>
          <cell r="AD30" t="str">
            <v>ほとんどいつもあった</v>
          </cell>
          <cell r="AE30" t="str">
            <v>ほとんどいつもあった</v>
          </cell>
          <cell r="AF30" t="str">
            <v>ほとんどいつもあった</v>
          </cell>
          <cell r="AG30" t="str">
            <v>ほとんどいつもあった</v>
          </cell>
          <cell r="AH30" t="str">
            <v>ほとんどいつもあった</v>
          </cell>
          <cell r="AI30" t="str">
            <v>ほとんどいつもあった</v>
          </cell>
          <cell r="AJ30" t="str">
            <v>ときどきあった</v>
          </cell>
          <cell r="AK30" t="str">
            <v>ほとんどいつもあった</v>
          </cell>
          <cell r="AL30" t="str">
            <v>ほとんどなかった</v>
          </cell>
          <cell r="AM30" t="str">
            <v>ときどきあった</v>
          </cell>
          <cell r="AN30" t="str">
            <v>ほとんどなかった</v>
          </cell>
          <cell r="AO30" t="str">
            <v>しばしばあった</v>
          </cell>
          <cell r="AP30" t="str">
            <v>ほとんどなかった</v>
          </cell>
          <cell r="AQ30" t="str">
            <v>ほとんどなかった</v>
          </cell>
          <cell r="AR30" t="str">
            <v>ときどきあった</v>
          </cell>
          <cell r="AS30" t="str">
            <v>しばしばあった</v>
          </cell>
          <cell r="AT30" t="str">
            <v>ときどきあった</v>
          </cell>
          <cell r="AU30" t="str">
            <v>しばしばあった</v>
          </cell>
          <cell r="AV30" t="str">
            <v>しばしばあった</v>
          </cell>
          <cell r="AW30" t="str">
            <v>全くない</v>
          </cell>
          <cell r="AX30" t="str">
            <v>全くない</v>
          </cell>
          <cell r="AY30" t="str">
            <v>全くない</v>
          </cell>
          <cell r="AZ30" t="str">
            <v>全くない</v>
          </cell>
          <cell r="BA30" t="str">
            <v>全くない</v>
          </cell>
          <cell r="BB30" t="str">
            <v>全くない</v>
          </cell>
          <cell r="BC30" t="str">
            <v>全くない</v>
          </cell>
          <cell r="BD30" t="str">
            <v>全くない</v>
          </cell>
          <cell r="BE30" t="str">
            <v>全くない</v>
          </cell>
          <cell r="BF30" t="str">
            <v>不満足</v>
          </cell>
          <cell r="BG30" t="str">
            <v>まぁ満足</v>
          </cell>
          <cell r="BI30" t="str">
            <v>いつもより少し時間がかかった</v>
          </cell>
          <cell r="BJ30" t="str">
            <v>問題になるほどのことはなかった</v>
          </cell>
          <cell r="BK30" t="str">
            <v>そのようなことはなかった</v>
          </cell>
          <cell r="BL30" t="str">
            <v>全く足りない、あるいは全く眠れなかった</v>
          </cell>
          <cell r="BM30" t="str">
            <v>非常に不満である、あるいは全く眠れなかった</v>
          </cell>
          <cell r="BN30" t="str">
            <v>かなり滅入った</v>
          </cell>
          <cell r="BO30" t="str">
            <v>非常に低下した</v>
          </cell>
          <cell r="BP30" t="str">
            <v>かなりあった</v>
          </cell>
        </row>
        <row r="31">
          <cell r="C31" t="str">
            <v>ややちがう</v>
          </cell>
          <cell r="D31" t="str">
            <v>まぁそうだ</v>
          </cell>
          <cell r="E31" t="str">
            <v>まぁそうだ</v>
          </cell>
          <cell r="F31" t="str">
            <v>まぁそうだ</v>
          </cell>
          <cell r="G31" t="str">
            <v>そうだ</v>
          </cell>
          <cell r="H31" t="str">
            <v>そうだ</v>
          </cell>
          <cell r="I31" t="str">
            <v>ちがう</v>
          </cell>
          <cell r="J31" t="str">
            <v>まぁそうだ</v>
          </cell>
          <cell r="K31" t="str">
            <v>まぁそうだ</v>
          </cell>
          <cell r="L31" t="str">
            <v>まぁそうだ</v>
          </cell>
          <cell r="M31" t="str">
            <v>まぁそうだ</v>
          </cell>
          <cell r="N31" t="str">
            <v>ややちがう</v>
          </cell>
          <cell r="O31" t="str">
            <v>ちがう</v>
          </cell>
          <cell r="P31" t="str">
            <v>そうだ</v>
          </cell>
          <cell r="Q31" t="str">
            <v>ややちがう</v>
          </cell>
          <cell r="R31" t="str">
            <v>ちがう</v>
          </cell>
          <cell r="S31" t="str">
            <v>ややちがう</v>
          </cell>
          <cell r="T31" t="str">
            <v>ほとんどなかった</v>
          </cell>
          <cell r="U31" t="str">
            <v>ほとんどなかった</v>
          </cell>
          <cell r="V31" t="str">
            <v>ほとんどなかった</v>
          </cell>
          <cell r="W31" t="str">
            <v>ときどきあった</v>
          </cell>
          <cell r="X31" t="str">
            <v>ときどきあった</v>
          </cell>
          <cell r="Y31" t="str">
            <v>ときどきあった</v>
          </cell>
          <cell r="Z31" t="str">
            <v>しばしばあった</v>
          </cell>
          <cell r="AA31" t="str">
            <v>しばしばあった</v>
          </cell>
          <cell r="AB31" t="str">
            <v>しばしばあった</v>
          </cell>
          <cell r="AC31" t="str">
            <v>ときどきあった</v>
          </cell>
          <cell r="AD31" t="str">
            <v>ほとんどいつもあった</v>
          </cell>
          <cell r="AE31" t="str">
            <v>しばしばあった</v>
          </cell>
          <cell r="AF31" t="str">
            <v>ほとんどいつもあった</v>
          </cell>
          <cell r="AG31" t="str">
            <v>しばしばあった</v>
          </cell>
          <cell r="AH31" t="str">
            <v>ときどきあった</v>
          </cell>
          <cell r="AI31" t="str">
            <v>しばしばあった</v>
          </cell>
          <cell r="AJ31" t="str">
            <v>しばしばあった</v>
          </cell>
          <cell r="AK31" t="str">
            <v>しばしばあった</v>
          </cell>
          <cell r="AL31" t="str">
            <v>ほとんどなかった</v>
          </cell>
          <cell r="AM31" t="str">
            <v>ほとんどなかった</v>
          </cell>
          <cell r="AN31" t="str">
            <v>ときどきあった</v>
          </cell>
          <cell r="AO31" t="str">
            <v>しばしばあった</v>
          </cell>
          <cell r="AP31" t="str">
            <v>ほとんどなかった</v>
          </cell>
          <cell r="AQ31" t="str">
            <v>しばしばあった</v>
          </cell>
          <cell r="AR31" t="str">
            <v>ほとんどなかった</v>
          </cell>
          <cell r="AS31" t="str">
            <v>ほとんどなかった</v>
          </cell>
          <cell r="AT31" t="str">
            <v>しばしばあった</v>
          </cell>
          <cell r="AU31" t="str">
            <v>ほとんどなかった</v>
          </cell>
          <cell r="AV31" t="str">
            <v>ときどきあった</v>
          </cell>
          <cell r="AW31" t="str">
            <v>かなり</v>
          </cell>
          <cell r="AX31" t="str">
            <v>多少</v>
          </cell>
          <cell r="AY31" t="str">
            <v>かなり</v>
          </cell>
          <cell r="AZ31" t="str">
            <v>かなり</v>
          </cell>
          <cell r="BA31" t="str">
            <v>多少</v>
          </cell>
          <cell r="BB31" t="str">
            <v>かなり</v>
          </cell>
          <cell r="BC31" t="str">
            <v>かなり</v>
          </cell>
          <cell r="BD31" t="str">
            <v>多少</v>
          </cell>
          <cell r="BE31" t="str">
            <v>多少</v>
          </cell>
          <cell r="BF31" t="str">
            <v>やや満足</v>
          </cell>
          <cell r="BG31" t="str">
            <v>やや満足</v>
          </cell>
          <cell r="BI31" t="str">
            <v>いつもより少し時間がかかった</v>
          </cell>
          <cell r="BJ31" t="str">
            <v>少し困ることがある</v>
          </cell>
          <cell r="BK31" t="str">
            <v>そのようなことはなかった</v>
          </cell>
          <cell r="BL31" t="str">
            <v>少し足りない</v>
          </cell>
          <cell r="BM31" t="str">
            <v>少し不満である</v>
          </cell>
          <cell r="BN31" t="str">
            <v>かなり滅入った</v>
          </cell>
          <cell r="BO31" t="str">
            <v>少し低下した</v>
          </cell>
          <cell r="BP31" t="str">
            <v>少しあった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CC5-690B-4F8B-A784-0F1920FDFEF6}">
  <sheetPr filterMode="1"/>
  <dimension ref="A1:EM33"/>
  <sheetViews>
    <sheetView tabSelected="1" zoomScale="115" workbookViewId="0">
      <pane xSplit="4" ySplit="1" topLeftCell="DO2" activePane="bottomRight" state="frozen"/>
      <selection pane="topRight" activeCell="E1" sqref="E1"/>
      <selection pane="bottomLeft" activeCell="A2" sqref="A2"/>
      <selection pane="bottomRight" activeCell="DQ2" sqref="DQ2"/>
    </sheetView>
  </sheetViews>
  <sheetFormatPr baseColWidth="10" defaultColWidth="12.6640625" defaultRowHeight="13"/>
  <cols>
    <col min="1" max="2" width="11.1640625" customWidth="1"/>
    <col min="3" max="3" width="16.33203125" style="53" customWidth="1"/>
    <col min="4" max="4" width="16.33203125" customWidth="1"/>
    <col min="5" max="103" width="18.83203125" customWidth="1"/>
    <col min="104" max="104" width="18.83203125" hidden="1" customWidth="1"/>
    <col min="105" max="105" width="18.83203125" customWidth="1"/>
    <col min="106" max="113" width="18.83203125" hidden="1" customWidth="1"/>
    <col min="114" max="123" width="18.83203125" customWidth="1"/>
    <col min="124" max="124" width="18.83203125" style="64" customWidth="1"/>
    <col min="125" max="138" width="18.83203125" customWidth="1"/>
    <col min="139" max="139" width="34.5" customWidth="1"/>
  </cols>
  <sheetData>
    <row r="1" spans="1:143" ht="15.75" customHeight="1">
      <c r="A1" s="1" t="s">
        <v>0</v>
      </c>
      <c r="B1" s="23" t="s">
        <v>137</v>
      </c>
      <c r="C1" s="51" t="s">
        <v>138</v>
      </c>
      <c r="D1" s="36" t="s">
        <v>173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13" t="s">
        <v>118</v>
      </c>
      <c r="W1" s="19" t="s">
        <v>118</v>
      </c>
      <c r="X1" s="13" t="s">
        <v>117</v>
      </c>
      <c r="Y1" s="19" t="s">
        <v>117</v>
      </c>
      <c r="Z1" s="13" t="s">
        <v>119</v>
      </c>
      <c r="AA1" s="19" t="s">
        <v>119</v>
      </c>
      <c r="AB1" s="13" t="s">
        <v>120</v>
      </c>
      <c r="AC1" s="19" t="s">
        <v>120</v>
      </c>
      <c r="AD1" s="13" t="s">
        <v>121</v>
      </c>
      <c r="AE1" s="19" t="s">
        <v>121</v>
      </c>
      <c r="AF1" s="13" t="s">
        <v>122</v>
      </c>
      <c r="AG1" s="19" t="s">
        <v>122</v>
      </c>
      <c r="AH1" s="13" t="s">
        <v>123</v>
      </c>
      <c r="AI1" s="19" t="s">
        <v>123</v>
      </c>
      <c r="AJ1" s="13" t="s">
        <v>124</v>
      </c>
      <c r="AK1" s="19" t="s">
        <v>124</v>
      </c>
      <c r="AL1" s="13" t="s">
        <v>125</v>
      </c>
      <c r="AM1" s="19" t="s">
        <v>125</v>
      </c>
      <c r="AN1" s="9" t="s">
        <v>18</v>
      </c>
      <c r="AO1" s="9" t="s">
        <v>19</v>
      </c>
      <c r="AP1" s="9" t="s">
        <v>20</v>
      </c>
      <c r="AQ1" s="9" t="s">
        <v>21</v>
      </c>
      <c r="AR1" s="9" t="s">
        <v>22</v>
      </c>
      <c r="AS1" s="9" t="s">
        <v>23</v>
      </c>
      <c r="AT1" s="9" t="s">
        <v>24</v>
      </c>
      <c r="AU1" s="9" t="s">
        <v>25</v>
      </c>
      <c r="AV1" s="9" t="s">
        <v>26</v>
      </c>
      <c r="AW1" s="9" t="s">
        <v>27</v>
      </c>
      <c r="AX1" s="9" t="s">
        <v>28</v>
      </c>
      <c r="AY1" s="9" t="s">
        <v>29</v>
      </c>
      <c r="AZ1" s="9" t="s">
        <v>30</v>
      </c>
      <c r="BA1" s="9" t="s">
        <v>31</v>
      </c>
      <c r="BB1" s="9" t="s">
        <v>32</v>
      </c>
      <c r="BC1" s="9" t="s">
        <v>33</v>
      </c>
      <c r="BD1" s="9" t="s">
        <v>34</v>
      </c>
      <c r="BE1" s="9" t="s">
        <v>35</v>
      </c>
      <c r="BF1" s="9" t="s">
        <v>36</v>
      </c>
      <c r="BG1" s="9" t="s">
        <v>37</v>
      </c>
      <c r="BH1" s="9" t="s">
        <v>38</v>
      </c>
      <c r="BI1" s="9" t="s">
        <v>39</v>
      </c>
      <c r="BJ1" s="9" t="s">
        <v>40</v>
      </c>
      <c r="BK1" s="9" t="s">
        <v>41</v>
      </c>
      <c r="BL1" s="9" t="s">
        <v>42</v>
      </c>
      <c r="BM1" s="9" t="s">
        <v>43</v>
      </c>
      <c r="BN1" s="9" t="s">
        <v>44</v>
      </c>
      <c r="BO1" s="9" t="s">
        <v>45</v>
      </c>
      <c r="BP1" s="9" t="s">
        <v>46</v>
      </c>
      <c r="BQ1" s="20" t="s">
        <v>126</v>
      </c>
      <c r="BR1" s="11" t="s">
        <v>126</v>
      </c>
      <c r="BS1" s="21" t="s">
        <v>127</v>
      </c>
      <c r="BT1" s="12" t="s">
        <v>127</v>
      </c>
      <c r="BU1" s="21" t="s">
        <v>128</v>
      </c>
      <c r="BV1" s="12" t="s">
        <v>128</v>
      </c>
      <c r="BW1" s="21" t="s">
        <v>129</v>
      </c>
      <c r="BX1" s="12" t="s">
        <v>129</v>
      </c>
      <c r="BY1" s="21" t="s">
        <v>130</v>
      </c>
      <c r="BZ1" s="12" t="s">
        <v>130</v>
      </c>
      <c r="CA1" s="21" t="s">
        <v>131</v>
      </c>
      <c r="CB1" s="22" t="s">
        <v>136</v>
      </c>
      <c r="CC1" s="10" t="s">
        <v>47</v>
      </c>
      <c r="CD1" s="10" t="s">
        <v>48</v>
      </c>
      <c r="CE1" s="10" t="s">
        <v>49</v>
      </c>
      <c r="CF1" s="10" t="s">
        <v>50</v>
      </c>
      <c r="CG1" s="10" t="s">
        <v>51</v>
      </c>
      <c r="CH1" s="10" t="s">
        <v>52</v>
      </c>
      <c r="CI1" s="10" t="s">
        <v>53</v>
      </c>
      <c r="CJ1" s="10" t="s">
        <v>54</v>
      </c>
      <c r="CK1" s="10" t="s">
        <v>55</v>
      </c>
      <c r="CL1" s="14" t="s">
        <v>56</v>
      </c>
      <c r="CM1" s="14" t="s">
        <v>57</v>
      </c>
      <c r="CN1" s="25" t="s">
        <v>132</v>
      </c>
      <c r="CO1" s="15" t="s">
        <v>132</v>
      </c>
      <c r="CP1" s="26" t="s">
        <v>133</v>
      </c>
      <c r="CQ1" s="16" t="s">
        <v>133</v>
      </c>
      <c r="CR1" s="26" t="s">
        <v>134</v>
      </c>
      <c r="CS1" s="16" t="s">
        <v>134</v>
      </c>
      <c r="CT1" s="26" t="s">
        <v>135</v>
      </c>
      <c r="CU1" s="16" t="s">
        <v>135</v>
      </c>
      <c r="CV1" s="28" t="s">
        <v>142</v>
      </c>
      <c r="CW1" s="28" t="s">
        <v>143</v>
      </c>
      <c r="CX1" s="28" t="s">
        <v>144</v>
      </c>
      <c r="CY1" s="27" t="s">
        <v>141</v>
      </c>
      <c r="CZ1" s="30" t="s">
        <v>145</v>
      </c>
      <c r="DA1" s="7" t="s">
        <v>116</v>
      </c>
      <c r="DB1" s="18" t="s">
        <v>59</v>
      </c>
      <c r="DC1" s="18" t="s">
        <v>60</v>
      </c>
      <c r="DD1" s="18" t="s">
        <v>61</v>
      </c>
      <c r="DE1" s="18" t="s">
        <v>62</v>
      </c>
      <c r="DF1" s="18" t="s">
        <v>63</v>
      </c>
      <c r="DG1" s="18" t="s">
        <v>64</v>
      </c>
      <c r="DH1" s="18" t="s">
        <v>65</v>
      </c>
      <c r="DI1" s="18" t="s">
        <v>66</v>
      </c>
      <c r="DJ1" s="17" t="s">
        <v>110</v>
      </c>
      <c r="DK1" s="17" t="s">
        <v>111</v>
      </c>
      <c r="DL1" s="56" t="s">
        <v>234</v>
      </c>
      <c r="DM1" s="56" t="s">
        <v>235</v>
      </c>
      <c r="DN1" s="56" t="s">
        <v>236</v>
      </c>
      <c r="DO1" s="57" t="s">
        <v>237</v>
      </c>
      <c r="DP1" s="46" t="s">
        <v>191</v>
      </c>
      <c r="DQ1" s="58" t="s">
        <v>238</v>
      </c>
      <c r="DR1" s="46" t="s">
        <v>193</v>
      </c>
      <c r="DS1" s="70" t="s">
        <v>272</v>
      </c>
      <c r="DT1" s="65" t="s">
        <v>368</v>
      </c>
      <c r="DU1" s="60" t="s">
        <v>240</v>
      </c>
      <c r="DV1" s="60" t="s">
        <v>241</v>
      </c>
      <c r="DW1" s="61" t="s">
        <v>242</v>
      </c>
      <c r="DX1" s="60" t="s">
        <v>287</v>
      </c>
      <c r="DY1" s="60" t="s">
        <v>205</v>
      </c>
      <c r="DZ1" s="60" t="s">
        <v>206</v>
      </c>
      <c r="EA1" s="60" t="s">
        <v>207</v>
      </c>
      <c r="EB1" s="60" t="s">
        <v>208</v>
      </c>
      <c r="EC1" s="60" t="s">
        <v>191</v>
      </c>
      <c r="ED1" s="60" t="s">
        <v>193</v>
      </c>
      <c r="EE1" s="48" t="s">
        <v>229</v>
      </c>
      <c r="EF1" s="48" t="s">
        <v>230</v>
      </c>
      <c r="EG1" s="6" t="s">
        <v>112</v>
      </c>
      <c r="EH1" s="56" t="s">
        <v>239</v>
      </c>
      <c r="EI1" s="6" t="s">
        <v>114</v>
      </c>
      <c r="EJ1" s="81" t="s">
        <v>288</v>
      </c>
      <c r="EK1" s="81" t="s">
        <v>321</v>
      </c>
      <c r="EL1" s="31" t="s">
        <v>289</v>
      </c>
      <c r="EM1" s="31" t="s">
        <v>290</v>
      </c>
    </row>
    <row r="2" spans="1:143" ht="15.75" customHeight="1">
      <c r="A2" s="7">
        <v>300</v>
      </c>
      <c r="B2" s="24" t="s">
        <v>139</v>
      </c>
      <c r="C2" s="52">
        <v>29883</v>
      </c>
      <c r="D2" s="38">
        <v>42</v>
      </c>
      <c r="E2" s="1">
        <f>IF(('2回目フォームの回答 '!C2="そうだ"),1,(IF(('2回目フォームの回答 '!C2="まぁそうだ"),2,(IF(('2回目フォームの回答 '!C2="ややちがう"),3,(IF(('2回目フォームの回答 '!C2="ちがう"),4,"")))))))</f>
        <v>2</v>
      </c>
      <c r="F2" s="1">
        <f>IF(('2回目フォームの回答 '!D2="そうだ"),1,(IF(('2回目フォームの回答 '!D2="まぁそうだ"),2,(IF(('2回目フォームの回答 '!D2="ややちがう"),3,(IF(('2回目フォームの回答 '!D2="ちがう"),4,"")))))))</f>
        <v>2</v>
      </c>
      <c r="G2" s="1">
        <f>IF(('2回目フォームの回答 '!E2="そうだ"),1,(IF(('2回目フォームの回答 '!E2="まぁそうだ"),2,(IF(('2回目フォームの回答 '!E2="ややちがう"),3,(IF(('2回目フォームの回答 '!E2="ちがう"),4,"")))))))</f>
        <v>1</v>
      </c>
      <c r="H2" s="1">
        <f>IF(('2回目フォームの回答 '!F2="そうだ"),1,(IF(('2回目フォームの回答 '!F2="まぁそうだ"),2,(IF(('2回目フォームの回答 '!F2="ややちがう"),3,(IF(('2回目フォームの回答 '!F2="ちがう"),4,"")))))))</f>
        <v>2</v>
      </c>
      <c r="I2" s="1">
        <f>IF(('2回目フォームの回答 '!G2="そうだ"),1,(IF(('2回目フォームの回答 '!G2="まぁそうだ"),2,(IF(('2回目フォームの回答 '!G2="ややちがう"),3,(IF(('2回目フォームの回答 '!G2="ちがう"),4,"")))))))</f>
        <v>2</v>
      </c>
      <c r="J2" s="1">
        <f>IF(('2回目フォームの回答 '!H2="そうだ"),1,(IF(('2回目フォームの回答 '!H2="まぁそうだ"),2,(IF(('2回目フォームの回答 '!H2="ややちがう"),3,(IF(('2回目フォームの回答 '!H2="ちがう"),4,"")))))))</f>
        <v>2</v>
      </c>
      <c r="K2" s="1">
        <f>IF(('2回目フォームの回答 '!I2="そうだ"),1,(IF(('2回目フォームの回答 '!I2="まぁそうだ"),2,(IF(('2回目フォームの回答 '!I2="ややちがう"),3,(IF(('2回目フォームの回答 '!I2="ちがう"),4,"")))))))</f>
        <v>4</v>
      </c>
      <c r="L2" s="1">
        <f>IF(('2回目フォームの回答 '!J2="そうだ"),1,(IF(('2回目フォームの回答 '!J2="まぁそうだ"),2,(IF(('2回目フォームの回答 '!J2="ややちがう"),3,(IF(('2回目フォームの回答 '!J2="ちがう"),4,"")))))))</f>
        <v>2</v>
      </c>
      <c r="M2" s="1">
        <f>IF(('2回目フォームの回答 '!K2="そうだ"),1,(IF(('2回目フォームの回答 '!K2="まぁそうだ"),2,(IF(('2回目フォームの回答 '!K2="ややちがう"),3,(IF(('2回目フォームの回答 '!K2="ちがう"),4,"")))))))</f>
        <v>2</v>
      </c>
      <c r="N2" s="1">
        <f>IF(('2回目フォームの回答 '!L2="そうだ"),1,(IF(('2回目フォームの回答 '!L2="まぁそうだ"),2,(IF(('2回目フォームの回答 '!L2="ややちがう"),3,(IF(('2回目フォームの回答 '!L2="ちがう"),4,"")))))))</f>
        <v>2</v>
      </c>
      <c r="O2" s="1">
        <f>IF(('2回目フォームの回答 '!M2="そうだ"),1,(IF(('2回目フォームの回答 '!M2="まぁそうだ"),2,(IF(('2回目フォームの回答 '!M2="ややちがう"),3,(IF(('2回目フォームの回答 '!M2="ちがう"),4,"")))))))</f>
        <v>2</v>
      </c>
      <c r="P2" s="1">
        <f>IF(('2回目フォームの回答 '!N2="そうだ"),1,(IF(('2回目フォームの回答 '!N2="まぁそうだ"),2,(IF(('2回目フォームの回答 '!N2="ややちがう"),3,(IF(('2回目フォームの回答 '!N2="ちがう"),4,"")))))))</f>
        <v>3</v>
      </c>
      <c r="Q2" s="1">
        <f>IF(('2回目フォームの回答 '!O2="そうだ"),1,(IF(('2回目フォームの回答 '!O2="まぁそうだ"),2,(IF(('2回目フォームの回答 '!O2="ややちがう"),3,(IF(('2回目フォームの回答 '!O2="ちがう"),4,"")))))))</f>
        <v>4</v>
      </c>
      <c r="R2" s="1">
        <f>IF(('2回目フォームの回答 '!P2="そうだ"),1,(IF(('2回目フォームの回答 '!P2="まぁそうだ"),2,(IF(('2回目フォームの回答 '!P2="ややちがう"),3,(IF(('2回目フォームの回答 '!P2="ちがう"),4,"")))))))</f>
        <v>2</v>
      </c>
      <c r="S2" s="1">
        <f>IF(('2回目フォームの回答 '!Q2="そうだ"),1,(IF(('2回目フォームの回答 '!Q2="まぁそうだ"),2,(IF(('2回目フォームの回答 '!Q2="ややちがう"),3,(IF(('2回目フォームの回答 '!Q2="ちがう"),4,"")))))))</f>
        <v>3</v>
      </c>
      <c r="T2" s="1">
        <f>IF(('2回目フォームの回答 '!R2="そうだ"),1,(IF(('2回目フォームの回答 '!R2="まぁそうだ"),2,(IF(('2回目フォームの回答 '!R2="ややちがう"),3,(IF(('2回目フォームの回答 '!R2="ちがう"),4,"")))))))</f>
        <v>3</v>
      </c>
      <c r="U2" s="1">
        <f>IF(('2回目フォームの回答 '!S2="そうだ"),1,(IF(('2回目フォームの回答 '!S2="まぁそうだ"),2,(IF(('2回目フォームの回答 '!S2="ややちがう"),3,(IF(('2回目フォームの回答 '!S2="ちがう"),4,"")))))))</f>
        <v>3</v>
      </c>
      <c r="V2" s="1">
        <f>15-($E2+$F2+$G2)</f>
        <v>10</v>
      </c>
      <c r="W2" s="1">
        <f>IF(AND(B2="male",V2&lt;=5),1,(IF(AND(B2="male",V2&gt;=6,V2&lt;=7),2,(IF(AND(B2="male",V2&gt;=8,V2&lt;=9),3,(IF(AND(B2="male",V2&gt;=10,V2&lt;=11),4,IF(AND(B2="male",V2&gt;=12),5,IF(AND(B2="female",V2&lt;=4),1,(IF(AND(B2="female",V2&gt;=5,V2&lt;=6),2,(IF(AND(B2="female",V2&gt;=7,V2&lt;=9),3,(IF(AND(B2="female",V2&gt;=10,V2&lt;=11),4,IF(AND(B2="female",V2&gt;=12),5,""))))))))))))))))</f>
        <v>4</v>
      </c>
      <c r="X2" s="1">
        <f>15-($H2+$I2+$J2)</f>
        <v>9</v>
      </c>
      <c r="Y2" s="1">
        <f>IF(AND(B2="male",X2&lt;=5),1,(IF(AND(B2="male",X2&gt;=6,X2&lt;=7),2,(IF(AND(B2="male",X2&gt;=8,X2&lt;=9),3,(IF(AND(B2="male",X2&gt;=10,X2&lt;=11),4,IF(AND(B2="male",X2&gt;=12),5,IF(AND(B2="female",X2&lt;=4),1,(IF(AND(B2="female",X2&gt;=5,X2&lt;=6),2,(IF(AND(B2="female",X2&gt;=7,X2&lt;=8),3,(IF(AND(B2="female",X2&gt;=9,X2&lt;=10),4,IF(AND(B2="female",X2&gt;=11),5,""))))))))))))))))</f>
        <v>3</v>
      </c>
      <c r="Z2" s="1">
        <f>5-$K2</f>
        <v>1</v>
      </c>
      <c r="AA2" s="1">
        <f>IF(Z2=1,2,IF(Z2=2,3,(IF(Z2=3,4,(IF(Z2=4,5,""))))))</f>
        <v>2</v>
      </c>
      <c r="AB2" s="1">
        <f>10-($P2+Q2)+$R2</f>
        <v>5</v>
      </c>
      <c r="AC2" s="1">
        <f>IF((AB2=3),1,(IF(AND(AB2&gt;=4,AB2&lt;=5),2,(IF(AND(AB2&gt;=6,AB2&lt;=7),3,(IF(AND(AB2&gt;=8,AB2&lt;=9),4,IF(AB2&gt;=10,5,""))))))))</f>
        <v>2</v>
      </c>
      <c r="AD2" s="1">
        <f>5-$S2</f>
        <v>2</v>
      </c>
      <c r="AE2" s="1">
        <f t="shared" ref="AE2:AE29" si="0">IF(AND(B2="male",AD2=1),2,IF(AND(B2="male",AD2=2),3,(IF(AND(B2="male",AD2=3),4,(IF(AND(B2="male",AD2=4),5,IF(AND(B2="female",AD2=1),1,IF(AND(B2="female",AD2=2),3,(IF(AND(B2="female",AD2=3),4,(IF(AND(B2="female",AD2=4),5,""))))))))))))</f>
        <v>3</v>
      </c>
      <c r="AF2" s="1">
        <f>15-($L2+$M2+$N2)</f>
        <v>9</v>
      </c>
      <c r="AG2" s="1">
        <f t="shared" ref="AG2:AG29" si="1">IF(AND(B2="male",AF2&lt;=4),5,(IF(AND(B2="male",AF2&gt;=5,AF2&lt;=6),4,(IF(AND(B2="male",AF2&gt;=7,AF2&lt;=8),3,(IF(AND(B2="male",AF2&gt;=9,AF2&lt;=10),2,IF(AND(B2="male",AF2&gt;=11),1,IF(AND(B2="female",AF2&lt;=3),5,(IF(AND(B2="female",AF2&gt;=4,AF2&lt;=5),4,(IF(AND(B2="female",AF2&gt;=6,AF2&lt;=8),3,(IF(AND(B2="female",AF2&gt;=9,AF2&lt;=10),2,IF(AND(B2="female",AF2&gt;=11),1,""))))))))))))))))</f>
        <v>2</v>
      </c>
      <c r="AH2" s="1">
        <f>$O2</f>
        <v>2</v>
      </c>
      <c r="AI2" s="1">
        <f>IF(AH2=1,5,IF(AH2=2,4,(IF(AH2=3,3,(IF(AH2=4,2,""))))))</f>
        <v>4</v>
      </c>
      <c r="AJ2" s="1">
        <f>5-$T2</f>
        <v>2</v>
      </c>
      <c r="AK2" s="1">
        <f>IF(AJ2=1,5,IF(AJ2=2,4,(IF(AJ2=3,3,(IF(AJ2=4,1,""))))))</f>
        <v>4</v>
      </c>
      <c r="AL2" s="1">
        <f>5-$U2</f>
        <v>2</v>
      </c>
      <c r="AM2" s="1">
        <f>IF(AL2=1,5,IF(AL2=2,4,(IF(AL2=3,3,(IF(AL2=4,1,""))))))</f>
        <v>4</v>
      </c>
      <c r="AN2" s="1">
        <f>IF(('2回目フォームの回答 '!T2="ほとんどなかった"),1,(IF(('2回目フォームの回答 '!T2="ときどきあった"),2,(IF(('2回目フォームの回答 '!T2="しばしばあった"),3,(IF(('2回目フォームの回答 '!T2="ほとんどいつもあった"),4,"")))))))</f>
        <v>1</v>
      </c>
      <c r="AO2" s="1">
        <f>IF(('2回目フォームの回答 '!U2="ほとんどなかった"),1,(IF(('2回目フォームの回答 '!U2="ときどきあった"),2,(IF(('2回目フォームの回答 '!U2="しばしばあった"),3,(IF(('2回目フォームの回答 '!U2="ほとんどいつもあった"),4,"")))))))</f>
        <v>2</v>
      </c>
      <c r="AP2" s="1">
        <f>IF(('2回目フォームの回答 '!V2="ほとんどなかった"),1,(IF(('2回目フォームの回答 '!V2="ときどきあった"),2,(IF(('2回目フォームの回答 '!V2="しばしばあった"),3,(IF(('2回目フォームの回答 '!V2="ほとんどいつもあった"),4,"")))))))</f>
        <v>1</v>
      </c>
      <c r="AQ2" s="1">
        <f>IF(('2回目フォームの回答 '!W2="ほとんどなかった"),1,(IF(('2回目フォームの回答 '!W2="ときどきあった"),2,(IF(('2回目フォームの回答 '!W2="しばしばあった"),3,(IF(('2回目フォームの回答 '!W2="ほとんどいつもあった"),4,"")))))))</f>
        <v>2</v>
      </c>
      <c r="AR2" s="1">
        <f>IF(('2回目フォームの回答 '!X2="ほとんどなかった"),1,(IF(('2回目フォームの回答 '!X2="ときどきあった"),2,(IF(('2回目フォームの回答 '!X2="しばしばあった"),3,(IF(('2回目フォームの回答 '!X2="ほとんどいつもあった"),4,"")))))))</f>
        <v>2</v>
      </c>
      <c r="AS2" s="1">
        <f>IF(('2回目フォームの回答 '!Y2="ほとんどなかった"),1,(IF(('2回目フォームの回答 '!Y2="ときどきあった"),2,(IF(('2回目フォームの回答 '!Y2="しばしばあった"),3,(IF(('2回目フォームの回答 '!Y2="ほとんどいつもあった"),4,"")))))))</f>
        <v>2</v>
      </c>
      <c r="AT2" s="1">
        <f>IF(('2回目フォームの回答 '!Z2="ほとんどなかった"),1,(IF(('2回目フォームの回答 '!Z2="ときどきあった"),2,(IF(('2回目フォームの回答 '!Z2="しばしばあった"),3,(IF(('2回目フォームの回答 '!Z2="ほとんどいつもあった"),4,"")))))))</f>
        <v>3</v>
      </c>
      <c r="AU2" s="1">
        <f>IF(('2回目フォームの回答 '!AA2="ほとんどなかった"),1,(IF(('2回目フォームの回答 '!AA2="ときどきあった"),2,(IF(('2回目フォームの回答 '!AA2="しばしばあった"),3,(IF(('2回目フォームの回答 '!AA2="ほとんどいつもあった"),4,"")))))))</f>
        <v>3</v>
      </c>
      <c r="AV2" s="1">
        <f>IF(('2回目フォームの回答 '!AB2="ほとんどなかった"),1,(IF(('2回目フォームの回答 '!AB2="ときどきばあった"),2,(IF(('2回目フォームの回答 '!AB2="しばしばあった"),3,(IF(('2回目フォームの回答 '!AB2="ほとんどいつもあった"),4,"")))))))</f>
        <v>3</v>
      </c>
      <c r="AW2" s="1">
        <f>IF(('2回目フォームの回答 '!AC2="ほとんどなかった"),1,(IF(('2回目フォームの回答 '!AC2="ときどきあった"),2,(IF(('2回目フォームの回答 '!AC2="しばしばあった"),3,(IF(('2回目フォームの回答 '!AC2="ほとんどいつもあった"),4,"")))))))</f>
        <v>2</v>
      </c>
      <c r="AX2" s="1">
        <f>IF(('2回目フォームの回答 '!AD2="ほとんどなかった"),1,(IF(('2回目フォームの回答 '!AD2="ときどきあった"),2,(IF(('2回目フォームの回答 '!AD2="しばしばあった"),3,(IF(('2回目フォームの回答 '!AD2="ほとんどいつもあった"),4,"")))))))</f>
        <v>3</v>
      </c>
      <c r="AY2" s="1">
        <f>IF(('2回目フォームの回答 '!AE2="ほとんどなかった"),1,(IF(('2回目フォームの回答 '!AE2="ときどきあった"),2,(IF(('2回目フォームの回答 '!AE2="しばしばあった"),3,(IF(('2回目フォームの回答 '!AE2="ほとんどいつもあった"),4,"")))))))</f>
        <v>2</v>
      </c>
      <c r="AZ2" s="1">
        <f>IF(('2回目フォームの回答 '!AF2="ほとんどなかった"),1,(IF(('2回目フォームの回答 '!AF2="ときどきあった"),2,(IF(('2回目フォームの回答 '!AF2="しばしばあった"),3,(IF(('2回目フォームの回答 '!AF2="ほとんどいつもあった"),4,"")))))))</f>
        <v>4</v>
      </c>
      <c r="BA2" s="1">
        <f>IF(('2回目フォームの回答 '!AG2="ほとんどなかった"),1,(IF(('2回目フォームの回答 '!AG2="ときどきあった"),2,(IF(('2回目フォームの回答 '!AG2="しばしばあった"),3,(IF(('2回目フォームの回答 '!AG2="ほとんどいつもあった"),4,"")))))))</f>
        <v>2</v>
      </c>
      <c r="BB2" s="1">
        <f>IF(('2回目フォームの回答 '!AH2="ほとんどなかった"),1,(IF(('2回目フォームの回答 '!AH2="ときどきあった"),2,(IF(('2回目フォームの回答 '!AH2="しばしばあった"),3,(IF(('2回目フォームの回答 '!AH2="ほとんどいつもあった"),4,"")))))))</f>
        <v>3</v>
      </c>
      <c r="BC2" s="1">
        <f>IF(('2回目フォームの回答 '!AI2="ほとんどなかった"),1,(IF(('2回目フォームの回答 '!AI2="ときどきあった"),2,(IF(('2回目フォームの回答 '!AI2="しばしばあった"),3,(IF(('2回目フォームの回答 '!AI2="ほとんどいつもあった"),4,"")))))))</f>
        <v>2</v>
      </c>
      <c r="BD2" s="1">
        <f>IF(('2回目フォームの回答 '!AJ2="ほとんどなかった"),1,(IF(('2回目フォームの回答 '!AJ2="ときどきあった"),2,(IF(('2回目フォームの回答 '!AJ2="しばしばあった"),3,(IF(('2回目フォームの回答 '!AJ2="ほとんどいつもあった"),4,"")))))))</f>
        <v>2</v>
      </c>
      <c r="BE2" s="1">
        <f>IF(('2回目フォームの回答 '!AK2="ほとんどなかった"),1,(IF(('2回目フォームの回答 '!AK2="ときどきあった"),2,(IF(('2回目フォームの回答 '!AK2="しばしばあった"),3,(IF(('2回目フォームの回答 '!AK2="ほとんどいつもあった"),4,"")))))))</f>
        <v>2</v>
      </c>
      <c r="BF2" s="1">
        <f>IF(('2回目フォームの回答 '!AL2="ほとんどなかった"),1,(IF(('2回目フォームの回答 '!AL2="ときどきあった"),2,(IF(('2回目フォームの回答 '!AL2="しばしばあった"),3,(IF(('2回目フォームの回答 '!AL2="ほとんどいつもあった"),4,"")))))))</f>
        <v>3</v>
      </c>
      <c r="BG2" s="1">
        <f>IF(('2回目フォームの回答 '!AM2="ほとんどなかった"),1,(IF(('2回目フォームの回答 '!AM2="ときどきあった"),2,(IF(('2回目フォームの回答 '!AM2="しばしばあった"),3,(IF(('2回目フォームの回答 '!AM2="ほとんどいつもあった"),4,"")))))))</f>
        <v>1</v>
      </c>
      <c r="BH2" s="1">
        <f>IF(('2回目フォームの回答 '!AN2="ほとんどなかった"),1,(IF(('2回目フォームの回答 '!AN2="ときどきあった"),2,(IF(('2回目フォームの回答 '!AN2="しばしばあった"),3,(IF(('2回目フォームの回答 '!AN2="ほとんどいつもあった"),4,"")))))))</f>
        <v>1</v>
      </c>
      <c r="BI2" s="1">
        <f>IF(('2回目フォームの回答 '!AO2="ほとんどなかった"),1,(IF(('2回目フォームの回答 '!AO2="ときどきあった"),2,(IF(('2回目フォームの回答 '!AO2="しばしばあった"),3,(IF(('2回目フォームの回答 '!AO2="ほとんどいつもあった"),4,"")))))))</f>
        <v>3</v>
      </c>
      <c r="BJ2" s="1">
        <f>IF(('2回目フォームの回答 '!AP2="ほとんどなかった"),1,(IF(('2回目フォームの回答 '!AP2="ときどきあった"),2,(IF(('2回目フォームの回答 '!AP2="しばしばあった"),3,(IF(('2回目フォームの回答 '!AP2="ほとんどいつもあった"),4,"")))))))</f>
        <v>3</v>
      </c>
      <c r="BK2" s="1">
        <f>IF(('2回目フォームの回答 '!AQ2="ほとんどなかった"),1,(IF(('2回目フォームの回答 '!AQ2="ときどきあった"),2,(IF(('2回目フォームの回答 '!AQ2="しばしばあった"),3,(IF(('2回目フォームの回答 '!AQ2="ほとんどいつもあった"),4,"")))))))</f>
        <v>1</v>
      </c>
      <c r="BL2" s="1">
        <f>IF(('2回目フォームの回答 '!AR2="ほとんどなかった"),1,(IF(('2回目フォームの回答 '!AR2="ときどきあった"),2,(IF(('2回目フォームの回答 '!AR2="しばしばあった"),3,(IF(('2回目フォームの回答 '!AR2="ほとんどいつもあった"),4,"")))))))</f>
        <v>1</v>
      </c>
      <c r="BM2" s="1">
        <f>IF(('2回目フォームの回答 '!AS2="ほとんどなかった"),1,(IF(('2回目フォームの回答 '!AS2="ときどきあった"),2,(IF(('2回目フォームの回答 '!AS2="しばしばあった"),3,(IF(('2回目フォームの回答 '!AS2="ほとんどいつもあった"),4,"")))))))</f>
        <v>2</v>
      </c>
      <c r="BN2" s="1">
        <f>IF(('2回目フォームの回答 '!AT2="ほとんどなかった"),1,(IF(('2回目フォームの回答 '!AT2="ときどきあった"),2,(IF(('2回目フォームの回答 '!AT2="しばしばあった"),3,(IF(('2回目フォームの回答 '!AT2="ほとんどいつもあった"),4,"")))))))</f>
        <v>2</v>
      </c>
      <c r="BO2" s="1">
        <f>IF(('2回目フォームの回答 '!AU2="ほとんどなかった"),1,(IF(('2回目フォームの回答 '!AU2="ときどきあった"),2,(IF(('2回目フォームの回答 '!AU2="しばしばあった"),3,(IF(('2回目フォームの回答 '!AU2="ほとんどいつもあった"),4,"")))))))</f>
        <v>2</v>
      </c>
      <c r="BP2" s="1">
        <f>IF(('2回目フォームの回答 '!AV2="ほとんどなかった"),1,(IF(('2回目フォームの回答 '!AV2="ときどきあった"),2,(IF(('2回目フォームの回答 '!AV2="しばしばあった"),3,(IF(('2回目フォームの回答 '!AV2="ほとんどいつもあった"),4,"")))))))</f>
        <v>2</v>
      </c>
      <c r="BQ2" s="1">
        <f>$AN2+$AO2+$AP2</f>
        <v>4</v>
      </c>
      <c r="BR2" s="1">
        <f>IF((BQ2=3),5,(IF(AND(BQ2&gt;=4,BQ2&lt;=5),4,(IF(AND(BQ2&gt;=6,BQ2&lt;=7),3,(IF(AND(BQ2&gt;=8,BQ2&lt;=9),2,IF(BQ2&gt;=10,1,""))))))))</f>
        <v>4</v>
      </c>
      <c r="BS2" s="1">
        <f>$AQ2+$AR2+$AS2</f>
        <v>6</v>
      </c>
      <c r="BT2" s="1">
        <f t="shared" ref="BT2:BT29" si="2">IF(AND(B2="male",BS2=3),1,(IF(AND(B2="male",BS2&gt;=4,BS2&lt;=5),2,(IF(AND(B2="male",BS2&gt;=6,BS2&lt;=7),3,(IF(AND(B2="male",BS2&gt;=8,BS2&lt;=9),4,IF(AND(B2="male",BS2&gt;=10),5,IF(AND(B2="female",BS2=3),1,(IF(AND(B2="female",BS2&gt;=4,BS2&lt;=5),2,(IF(AND(B2="female",BS2&gt;=6,BS2&lt;=8),3,(IF(AND(B2="female",BS2&gt;=9,BS2&lt;=10),4,IF(AND(B2="female",BS2&gt;=11),5,""))))))))))))))))</f>
        <v>3</v>
      </c>
      <c r="BU2" s="1">
        <f t="shared" ref="BU2:BU29" si="3">$AT2+$AU2+$AV2</f>
        <v>9</v>
      </c>
      <c r="BV2" s="1">
        <f t="shared" ref="BV2:BV29" si="4">IF(AND(B2="male",BU2=3),1,(IF(AND(B2="male",BU2=4),2,(IF(AND(B2="male",BU2&gt;=5,BU2&lt;=7),3,(IF(AND(B2="male",BU2&gt;=8,BU2&lt;=10),4,IF(AND(B2="male",BU2&gt;=11),5,IF(AND(B2="female",BU2=3),1,(IF(AND(B2="female",BU2&gt;=4,BU2&lt;=5),2,(IF(AND(B2="female",BU2&gt;=6,BU2&lt;=8),3,(IF(AND(B2="female",BU2&gt;=9,BU2&lt;=11),4,IF(AND(B2="female",BU2&gt;=12),5,""))))))))))))))))</f>
        <v>4</v>
      </c>
      <c r="BW2" s="1">
        <f>$AW2+$AX2+$AY2</f>
        <v>7</v>
      </c>
      <c r="BX2" s="1">
        <f t="shared" ref="BX2:BX29" si="5">IF(AND(B2="male",BW2=3),1,(IF(AND(B2="male",BW2=4),2,(IF(AND(B2="male",BW2&gt;=5,BW2&lt;=7),3,(IF(AND(B2="male",BW2&gt;=8,BW2&lt;=9),4,(IF(AND(B2="male",BW2&gt;=10),5,(IF(AND(B2="female",BW2=3),1,(IF(AND(B2="female",BW2=4),2,(IF(AND(B2="female",BW2&gt;=5,BW2&lt;=7),3,(IF(AND(B2="female",BW2&gt;=8,BW2&lt;=10),4,IF(AND(B2="female",BW2&gt;=11),5,""))))))))))))))))))</f>
        <v>3</v>
      </c>
      <c r="BY2" s="1">
        <f>SUM($AZ2:$BE2)</f>
        <v>15</v>
      </c>
      <c r="BZ2" s="1">
        <f t="shared" ref="BZ2:BZ29" si="6">IF(AND(B2="male",BY2=6),1,(IF(AND(B2="male",BY2&gt;=7,BY2&lt;=8),2,(IF(AND(B2="male",BY2&gt;=9,BY2&lt;=12),3,(IF(AND(B2="male",BY2&gt;=13,BY2&lt;=16),4,IF(AND(B2="male",BY2&gt;=17),5,IF(AND(B2="female",BY2=6),1,(IF(AND(B2="female",BY2&gt;=7,BY2&lt;=8),2,(IF(AND(B2="female",BY2&gt;=9,BY2&lt;=12),3,(IF(AND(B2="female",BY2&gt;=13,BY2&lt;=17),4,IF(AND(B2="female",BY2&gt;=18),5,""))))))))))))))))</f>
        <v>4</v>
      </c>
      <c r="CA2" s="1">
        <f>SUM($BF2:$BP2)</f>
        <v>21</v>
      </c>
      <c r="CB2" s="1">
        <f>IF(AND(B2="male",CA2=11),1,(IF(AND(B2="male",CA2&gt;=12,CA2&lt;=15),2,(IF(AND(B2="male",CA2&gt;=16,CA2&lt;=21),3,(IF(AND(B2="male",CA2&gt;=22,CA2&lt;=26),4,IF(AND(B2="male",CA2&gt;=27),5,IF(AND(B2="female",CA2&lt;=13),1,(IF(AND(B2="female",CA2&gt;=14,CA2&lt;=17),2,(IF(AND(B2="female",CA2&gt;=18,CA2&lt;=23),3,(IF(AND(B2="female",CA2&gt;=24,CA2&lt;=29),4,IF(AND(B2="female",CA2&gt;=30),5,""))))))))))))))))</f>
        <v>3</v>
      </c>
      <c r="CC2" s="1">
        <f>IF(('2回目フォームの回答 '!AW2="非常に"),1,(IF(('2回目フォームの回答 '!AW2="かなり"),2,(IF(('2回目フォームの回答 '!AW2="多少"),3,(IF(('2回目フォームの回答 '!AW2="全くない"),4,"")))))))</f>
        <v>2</v>
      </c>
      <c r="CD2" s="1">
        <f>IF(('2回目フォームの回答 '!AX2="非常に"),1,(IF(('2回目フォームの回答 '!AX2="かなり"),2,(IF(('2回目フォームの回答 '!AX2="多少"),3,(IF(('2回目フォームの回答 '!AX2="全くない"),4,"")))))))</f>
        <v>2</v>
      </c>
      <c r="CE2" s="1">
        <f>IF(('2回目フォームの回答 '!AY2="非常に"),1,(IF(('2回目フォームの回答 '!AY2="かなり"),2,(IF(('2回目フォームの回答 '!AY2="多少"),3,(IF(('2回目フォームの回答 '!AY2="全くない"),4,"")))))))</f>
        <v>3</v>
      </c>
      <c r="CF2" s="1">
        <f>IF(('2回目フォームの回答 '!AZ2="非常に"),1,(IF(('2回目フォームの回答 '!AZ2="かなり"),2,(IF(('2回目フォームの回答 '!AZ2="多少"),3,(IF(('2回目フォームの回答 '!AZ2="全くない"),4,"")))))))</f>
        <v>2</v>
      </c>
      <c r="CG2" s="1">
        <f>IF(('2回目フォームの回答 '!BA2="非常に"),1,(IF(('2回目フォームの回答 '!BA2="かなり"),2,(IF(('2回目フォームの回答 '!BA2="多少"),3,(IF(('2回目フォームの回答 '!BA2="全くない"),4,"")))))))</f>
        <v>3</v>
      </c>
      <c r="CH2" s="1">
        <f>IF(('2回目フォームの回答 '!BB2="非常に"),1,(IF(('2回目フォームの回答 '!BB2="かなり"),2,(IF(('2回目フォームの回答 '!BB2="多少"),3,(IF(('2回目フォームの回答 '!BB2="全くない"),4,"")))))))</f>
        <v>3</v>
      </c>
      <c r="CI2" s="1">
        <f>IF(('2回目フォームの回答 '!BC2="非常に"),1,(IF(('2回目フォームの回答 '!BC2="かなり"),2,(IF(('2回目フォームの回答 '!BC2="多少"),3,(IF(('2回目フォームの回答 '!BC2="全くない"),4,"")))))))</f>
        <v>2</v>
      </c>
      <c r="CJ2" s="1">
        <f>IF(('2回目フォームの回答 '!BD2="非常に"),1,(IF(('2回目フォームの回答 '!BD2="かなり"),2,(IF(('2回目フォームの回答 '!BD2="多少"),3,(IF(('2回目フォームの回答 '!BD2="全くない"),4,"")))))))</f>
        <v>3</v>
      </c>
      <c r="CK2" s="1">
        <f>IF(('2回目フォームの回答 '!BE2="非常に"),1,(IF(('2回目フォームの回答 '!BE2="かなり"),2,(IF(('2回目フォームの回答 '!BE2="多少"),3,(IF(('2回目フォームの回答 '!BE2="全くない"),4,"")))))))</f>
        <v>2</v>
      </c>
      <c r="CL2" s="1">
        <f>IF(('2回目フォームの回答 '!BF2="満足"),1,(IF(('2回目フォームの回答 '!BF2="まぁ満足"),2,(IF(('2回目フォームの回答 '!BF2="やや満足"),3,(IF(('2回目フォームの回答 '!BF2="不満足"),4,"")))))))</f>
        <v>3</v>
      </c>
      <c r="CM2" s="1">
        <f>IF(('2回目フォームの回答 '!BG2="満足"),1,(IF(('2回目フォームの回答 '!BG2="まぁ満足"),2,(IF(('2回目フォームの回答 '!BG2="やや満足"),3,(IF(('2回目フォームの回答 '!BG2="不満足"),4,"")))))))</f>
        <v>3</v>
      </c>
      <c r="CN2" s="1">
        <f>15-($CC2+$CF2+$CI2)</f>
        <v>9</v>
      </c>
      <c r="CO2" s="1">
        <f t="shared" ref="CO2:CO29" si="7">IF(AND(B2="male",CN2&lt;=4),5,(IF(AND(B2="male",CN2&gt;=5,CN2&lt;=6),4,(IF(AND(B2="male",CN2&gt;=7,CN2&lt;=8),3,(IF(AND(B2="male",CN2&gt;=9,CN2&lt;=10),2,IF(AND(B2="male",CN2&gt;=11),1,IF(AND(B2="female",CN2&lt;=3),5,(IF(AND(B2="female",CN2&gt;=4,CN2&lt;=5),4,(IF(AND(B2="female",CN2&gt;=6,CN2&lt;=7),3,(IF(AND(B2="female",CN2&gt;=8,CN2&lt;=10),2,IF(AND(B2="female",CN2&gt;=11),1,""))))))))))))))))</f>
        <v>2</v>
      </c>
      <c r="CP2" s="1">
        <f>15-($CD2+$CG2+$CJ2)</f>
        <v>7</v>
      </c>
      <c r="CQ2" s="1">
        <f t="shared" ref="CQ2:CQ29" si="8">IF((CP2&lt;=5),5,(IF(AND(CP2&gt;=6,CP2&lt;=7),4,(IF(AND(CP2&gt;=8,CP2&lt;=9),3,(IF(AND(CP2&gt;=10,AF2&lt;=11),2,IF(AF2&gt;=12,1,""))))))))</f>
        <v>4</v>
      </c>
      <c r="CR2" s="1">
        <f>15-($CE2+$CH2+$CK2)</f>
        <v>7</v>
      </c>
      <c r="CS2" s="1">
        <f>IF((CR2&lt;=6),5,(IF(AND(CR2&gt;=7,CR2&lt;=8),4,IF((CR2=9),3,IF(AND(CR2&gt;=10,CR2&lt;=11),2,IF(CR2&gt;=12,1,""))))))</f>
        <v>4</v>
      </c>
      <c r="CT2" s="1">
        <f>10-($CL2+$CM2)</f>
        <v>4</v>
      </c>
      <c r="CU2" s="1">
        <f t="shared" ref="CU2:CU29" si="9">IF((CT2&lt;=3),5,(IF((CT2=4),4,IF(AND(CT2&gt;=5,CT2&lt;=6),3,IF((CT2=7),2,IF(CT2&gt;=8,1,""))))))</f>
        <v>4</v>
      </c>
      <c r="CV2" s="1">
        <f>BR2+BT2+BV2+BX2+BZ2+CB2</f>
        <v>21</v>
      </c>
      <c r="CW2" s="1">
        <f>W2+Y2+AA2+AC2+AE2+AG2+AI2+AK2+AM2</f>
        <v>28</v>
      </c>
      <c r="CX2" s="1">
        <f t="shared" ref="CX2:CX29" si="10">CO2+CQ2+CS2</f>
        <v>10</v>
      </c>
      <c r="CY2" s="29" t="str">
        <f>IF((CV2&gt;=24),"高",IF(AND(CV2&gt;=19,CV2&lt;=23,(CW2+CX2)&gt;=46),"高",IF(AND(CV2&gt;=19,CV2&lt;=23,(CW2+CX2)&gt;=12,(CW2+CX2)&lt;=45),"中①",IF(AND(CV2&gt;=6,CV2&lt;=18,(CW2+CX2)&gt;=46),"中②","低"))))</f>
        <v>中①</v>
      </c>
      <c r="CZ2" s="1">
        <f>'2回目フォームの回答 '!BH2</f>
        <v>0.75</v>
      </c>
      <c r="DA2" s="2">
        <f>1-CZ3</f>
        <v>0.30000000000000004</v>
      </c>
      <c r="DB2" s="1">
        <f>IF(('2回目フォームの回答 '!BI2="いつもより寝つきは良い"),0,(IF(('2回目フォームの回答 '!BI2="いつもより少し時間がかかった"),1,(IF(('2回目フォームの回答 '!BI2="いつもよりかなり時間がかかった"),2,(IF(('2回目フォームの回答 '!BI2="いつもより非常に時間がかかった、あるいは全く眠れなかった"),3,"")))))))</f>
        <v>1</v>
      </c>
      <c r="DC2" s="1">
        <f>IF(('2回目フォームの回答 '!BJ2="問題になるほどのことはなかった"),0,(IF(('2回目フォームの回答 '!BJ2="少し困ることがある"),1,(IF(('2回目フォームの回答 '!BJ2="かなり困っている"),2,(IF(('2回目フォームの回答 '!BJ2="深刻な状態、あるいは全く眠れなかった"),3,"")))))))</f>
        <v>0</v>
      </c>
      <c r="DD2" s="1">
        <f>IF(('2回目フォームの回答 '!BK2="そのようなことはなかった"),0,(IF(('2回目フォームの回答 '!BK2="少し早かった"),1,(IF(('2回目フォームの回答 '!BK2="かなり早かった"),2,(IF(('2回目フォームの回答 '!BK2="非常に早かった、あるいは全く眠れなかった"),3,"")))))))</f>
        <v>0</v>
      </c>
      <c r="DE2" s="1">
        <f>IF(('2回目フォームの回答 '!BL2="十分である"),0,(IF(('2回目フォームの回答 '!BL2="少し足りない"),1,(IF(('2回目フォームの回答 '!BL2="かなり足りない"),2,(IF(('2回目フォームの回答 '!BL2="全く足りない、あるいは全く眠れなかった"),3,"")))))))</f>
        <v>1</v>
      </c>
      <c r="DF2" s="1">
        <f>IF(('2回目フォームの回答 '!BM2="満足している"),0,(IF(('2回目フォームの回答 '!BM2="少し不満である"),1,(IF(('2回目フォームの回答 '!BM2="かなり不満である"),2,(IF(('2回目フォームの回答 '!BM2="非常に不満である、あるいは全く眠れなかった"),3,"")))))))</f>
        <v>2</v>
      </c>
      <c r="DG2" s="1">
        <f>IF(('2回目フォームの回答 '!BN2="いつもどおり"),0,(IF(('2回目フォームの回答 '!BN2="少し滅入った"),1,(IF(('2回目フォームの回答 '!BN2="かなり滅入った"),2,(IF(('2回目フォームの回答 '!BN2="非常に滅入った"),3,"")))))))</f>
        <v>2</v>
      </c>
      <c r="DH2" s="1">
        <f>IF(('2回目フォームの回答 '!BO2="いつもどおり"),0,(IF(('2回目フォームの回答 '!BO2="少し低下した"),1,(IF(('2回目フォームの回答 '!BO2="かなり低下した"),2,(IF(('2回目フォームの回答 '!BO2="非常に低下した"),3,"")))))))</f>
        <v>1</v>
      </c>
      <c r="DI2" s="1">
        <f>IF(('2回目フォームの回答 '!BP2="全くなかった"),0,(IF(('2回目フォームの回答 '!BP2="少しあった"),1,(IF(('2回目フォームの回答 '!BP2="かなりあった"),2,(IF(('2回目フォームの回答 '!BP2="激しかった"),3,"")))))))</f>
        <v>1</v>
      </c>
      <c r="DJ2">
        <f>SUM(DB2:DI2)</f>
        <v>8</v>
      </c>
      <c r="DK2" s="4" t="str">
        <f>IF((DJ2&lt;=3),"低",(IF(AND(DJ2&gt;=4,DJ2&lt;=5),"中",(IF((DJ2&gt;=6),"高","")))))</f>
        <v>高</v>
      </c>
      <c r="DL2" s="5">
        <v>21.1</v>
      </c>
      <c r="DM2" s="5">
        <v>17.7</v>
      </c>
      <c r="DN2" s="5">
        <v>31.7</v>
      </c>
      <c r="DO2" s="5">
        <f>DL2+DM2+DN2</f>
        <v>70.5</v>
      </c>
      <c r="DP2" s="5"/>
      <c r="DQ2" s="5" t="s">
        <v>200</v>
      </c>
      <c r="DR2" s="5"/>
      <c r="DS2" s="71">
        <v>0.2986111111111111</v>
      </c>
      <c r="DT2" s="66">
        <v>322</v>
      </c>
      <c r="DU2" s="59">
        <f>INDEX('1回目結果'!DR:DR,MATCH($DT2,'1回目結果'!$A:$A,0))</f>
        <v>0.63200000000000001</v>
      </c>
      <c r="DV2" s="59">
        <f>INDEX('1回目結果'!DS:DS,MATCH($DT2,'1回目結果'!$A:$A,0))</f>
        <v>71.75</v>
      </c>
      <c r="DW2" s="59">
        <f>INDEX('1回目結果'!DT:DT,MATCH($DT2,'1回目結果'!$A:$A,0))</f>
        <v>0.88</v>
      </c>
      <c r="DX2" s="59">
        <f>INDEX('1回目結果'!DU:DU,MATCH($DT2,'1回目結果'!$A:$A,0))</f>
        <v>44</v>
      </c>
      <c r="DY2" s="59">
        <f>IFERROR(INDEX('1回目結果'!DL:DL,MATCH('2回目結果'!$DT2,'1回目結果'!$A:$A,0)),"")</f>
        <v>20.8</v>
      </c>
      <c r="DZ2" s="59">
        <f>IFERROR(INDEX('1回目結果'!DM:DM,MATCH('2回目結果'!$DT2,'1回目結果'!$A:$A,0)),"")</f>
        <v>15.8</v>
      </c>
      <c r="EA2" s="59">
        <f>IFERROR(INDEX('1回目結果'!DN:DN,MATCH('2回目結果'!$DT2,'1回目結果'!$A:$A,0)),"")</f>
        <v>10.9</v>
      </c>
      <c r="EB2" s="59">
        <f>IFERROR(INDEX('1回目結果'!DO:DO,MATCH('2回目結果'!$DT2,'1回目結果'!$A:$A,0)),"")</f>
        <v>47.5</v>
      </c>
      <c r="EC2" s="59">
        <f>IFERROR(INDEX('1回目結果'!DP:DP,MATCH('2回目結果'!$DT2,'1回目結果'!$A:$A,0)),"")</f>
        <v>0</v>
      </c>
      <c r="ED2" s="59">
        <f>IFERROR(INDEX('1回目結果'!DQ:DQ,MATCH('2回目結果'!$DT2,'1回目結果'!$A:$A,0)),"")</f>
        <v>0</v>
      </c>
      <c r="EE2" s="54">
        <v>1.5920000000000001</v>
      </c>
      <c r="EF2" s="54">
        <v>99.15</v>
      </c>
      <c r="EG2" s="54">
        <v>1.61</v>
      </c>
      <c r="EH2" s="54">
        <v>77</v>
      </c>
      <c r="EI2" s="55" t="s">
        <v>245</v>
      </c>
      <c r="EJ2" s="44">
        <f>EH2/DX2</f>
        <v>1.75</v>
      </c>
      <c r="EK2" s="44">
        <f>EG2/DW2</f>
        <v>1.8295454545454546</v>
      </c>
      <c r="EL2">
        <f>DO2-EB2</f>
        <v>23</v>
      </c>
      <c r="EM2">
        <f>DN2-EA2</f>
        <v>20.799999999999997</v>
      </c>
    </row>
    <row r="3" spans="1:143" ht="15.75" customHeight="1">
      <c r="A3" s="1">
        <v>321</v>
      </c>
      <c r="B3" s="24" t="s">
        <v>140</v>
      </c>
      <c r="C3" s="52">
        <v>34254</v>
      </c>
      <c r="D3" s="38">
        <v>30</v>
      </c>
      <c r="E3" s="1">
        <f>IF(('2回目フォームの回答 '!C3="そうだ"),1,(IF(('2回目フォームの回答 '!C3="まぁそうだ"),2,(IF(('2回目フォームの回答 '!C3="ややちがう"),3,(IF(('2回目フォームの回答 '!C3="ちがう"),4,"")))))))</f>
        <v>2</v>
      </c>
      <c r="F3" s="1">
        <f>IF(('2回目フォームの回答 '!D3="そうだ"),1,(IF(('2回目フォームの回答 '!D3="まぁそうだ"),2,(IF(('2回目フォームの回答 '!D3="ややちがう"),3,(IF(('2回目フォームの回答 '!D3="ちがう"),4,"")))))))</f>
        <v>2</v>
      </c>
      <c r="G3" s="1">
        <f>IF(('2回目フォームの回答 '!E3="そうだ"),1,(IF(('2回目フォームの回答 '!E3="まぁそうだ"),2,(IF(('2回目フォームの回答 '!E3="ややちがう"),3,(IF(('2回目フォームの回答 '!E3="ちがう"),4,"")))))))</f>
        <v>2</v>
      </c>
      <c r="H3" s="1">
        <f>IF(('2回目フォームの回答 '!F3="そうだ"),1,(IF(('2回目フォームの回答 '!F3="まぁそうだ"),2,(IF(('2回目フォームの回答 '!F3="ややちがう"),3,(IF(('2回目フォームの回答 '!F3="ちがう"),4,"")))))))</f>
        <v>2</v>
      </c>
      <c r="I3" s="1">
        <f>IF(('2回目フォームの回答 '!G3="そうだ"),1,(IF(('2回目フォームの回答 '!G3="まぁそうだ"),2,(IF(('2回目フォームの回答 '!G3="ややちがう"),3,(IF(('2回目フォームの回答 '!G3="ちがう"),4,"")))))))</f>
        <v>2</v>
      </c>
      <c r="J3" s="1">
        <f>IF(('2回目フォームの回答 '!H3="そうだ"),1,(IF(('2回目フォームの回答 '!H3="まぁそうだ"),2,(IF(('2回目フォームの回答 '!H3="ややちがう"),3,(IF(('2回目フォームの回答 '!H3="ちがう"),4,"")))))))</f>
        <v>1</v>
      </c>
      <c r="K3" s="1">
        <f>IF(('2回目フォームの回答 '!I3="そうだ"),1,(IF(('2回目フォームの回答 '!I3="まぁそうだ"),2,(IF(('2回目フォームの回答 '!I3="ややちがう"),3,(IF(('2回目フォームの回答 '!I3="ちがう"),4,"")))))))</f>
        <v>4</v>
      </c>
      <c r="L3" s="1">
        <f>IF(('2回目フォームの回答 '!J3="そうだ"),1,(IF(('2回目フォームの回答 '!J3="まぁそうだ"),2,(IF(('2回目フォームの回答 '!J3="ややちがう"),3,(IF(('2回目フォームの回答 '!J3="ちがう"),4,"")))))))</f>
        <v>3</v>
      </c>
      <c r="M3" s="1">
        <f>IF(('2回目フォームの回答 '!K3="そうだ"),1,(IF(('2回目フォームの回答 '!K3="まぁそうだ"),2,(IF(('2回目フォームの回答 '!K3="ややちがう"),3,(IF(('2回目フォームの回答 '!K3="ちがう"),4,"")))))))</f>
        <v>3</v>
      </c>
      <c r="N3" s="1">
        <f>IF(('2回目フォームの回答 '!L3="そうだ"),1,(IF(('2回目フォームの回答 '!L3="まぁそうだ"),2,(IF(('2回目フォームの回答 '!L3="ややちがう"),3,(IF(('2回目フォームの回答 '!L3="ちがう"),4,"")))))))</f>
        <v>2</v>
      </c>
      <c r="O3" s="1">
        <f>IF(('2回目フォームの回答 '!M3="そうだ"),1,(IF(('2回目フォームの回答 '!M3="まぁそうだ"),2,(IF(('2回目フォームの回答 '!M3="ややちがう"),3,(IF(('2回目フォームの回答 '!M3="ちがう"),4,"")))))))</f>
        <v>3</v>
      </c>
      <c r="P3" s="1">
        <f>IF(('2回目フォームの回答 '!N3="そうだ"),1,(IF(('2回目フォームの回答 '!N3="まぁそうだ"),2,(IF(('2回目フォームの回答 '!N3="ややちがう"),3,(IF(('2回目フォームの回答 '!N3="ちがう"),4,"")))))))</f>
        <v>3</v>
      </c>
      <c r="Q3" s="1">
        <f>IF(('2回目フォームの回答 '!O3="そうだ"),1,(IF(('2回目フォームの回答 '!O3="まぁそうだ"),2,(IF(('2回目フォームの回答 '!O3="ややちがう"),3,(IF(('2回目フォームの回答 '!O3="ちがう"),4,"")))))))</f>
        <v>3</v>
      </c>
      <c r="R3" s="1">
        <f>IF(('2回目フォームの回答 '!P3="そうだ"),1,(IF(('2回目フォームの回答 '!P3="まぁそうだ"),2,(IF(('2回目フォームの回答 '!P3="ややちがう"),3,(IF(('2回目フォームの回答 '!P3="ちがう"),4,"")))))))</f>
        <v>2</v>
      </c>
      <c r="S3" s="1">
        <f>IF(('2回目フォームの回答 '!Q3="そうだ"),1,(IF(('2回目フォームの回答 '!Q3="まぁそうだ"),2,(IF(('2回目フォームの回答 '!Q3="ややちがう"),3,(IF(('2回目フォームの回答 '!Q3="ちがう"),4,"")))))))</f>
        <v>2</v>
      </c>
      <c r="T3" s="1">
        <f>IF(('2回目フォームの回答 '!R3="そうだ"),1,(IF(('2回目フォームの回答 '!R3="まぁそうだ"),2,(IF(('2回目フォームの回答 '!R3="ややちがう"),3,(IF(('2回目フォームの回答 '!R3="ちがう"),4,"")))))))</f>
        <v>2</v>
      </c>
      <c r="U3" s="1">
        <f>IF(('2回目フォームの回答 '!S3="そうだ"),1,(IF(('2回目フォームの回答 '!S3="まぁそうだ"),2,(IF(('2回目フォームの回答 '!S3="ややちがう"),3,(IF(('2回目フォームの回答 '!S3="ちがう"),4,"")))))))</f>
        <v>2</v>
      </c>
      <c r="V3" s="1">
        <f>15-($E3+$F3+$G3)</f>
        <v>9</v>
      </c>
      <c r="W3" s="1">
        <f t="shared" ref="W3:W29" si="11">IF(AND(B3="male",V3&lt;=5),1,(IF(AND(B3="male",V3&gt;=6,V3&lt;=7),2,(IF(AND(B3="male",V3&gt;=8,V3&lt;=9),3,(IF(AND(B3="male",V3&gt;=10,V3&lt;=11),4,IF(AND(B3="male",V3&gt;=12),5,IF(AND(B3="female",V3&lt;=4),1,(IF(AND(B3="female",V3&gt;=5,V3&lt;=6),2,(IF(AND(B3="female",V3&gt;=7,V3&lt;=9),3,(IF(AND(B3="female",V3&gt;=10,V3&lt;=11),4,IF(AND(B3="female",V3&gt;=12),5,""))))))))))))))))</f>
        <v>3</v>
      </c>
      <c r="X3" s="1">
        <f t="shared" ref="X3:X29" si="12">15-($H3+$I3+$J3)</f>
        <v>10</v>
      </c>
      <c r="Y3" s="1">
        <f t="shared" ref="Y3:Y29" si="13">IF(AND(B3="male",X3&lt;=5),1,(IF(AND(B3="male",X3&gt;=6,X3&lt;=7),2,(IF(AND(B3="male",X3&gt;=8,X3&lt;=9),3,(IF(AND(B3="male",X3&gt;=10,X3&lt;=11),4,IF(AND(B3="male",X3&gt;=12),5,IF(AND(B3="female",X3&lt;=4),1,(IF(AND(B3="female",X3&gt;=5,X3&lt;=6),2,(IF(AND(B3="female",X3&gt;=7,X3&lt;=8),3,(IF(AND(B3="female",X3&gt;=9,X3&lt;=10),4,IF(AND(B3="female",X3&gt;=11),5,""))))))))))))))))</f>
        <v>4</v>
      </c>
      <c r="Z3" s="1">
        <f t="shared" ref="Z3:Z29" si="14">5-$K3</f>
        <v>1</v>
      </c>
      <c r="AA3" s="1">
        <f t="shared" ref="AA3:AA29" si="15">IF(Z3=1,2,IF(Z3=2,3,(IF(Z3=3,4,(IF(Z3=4,5,""))))))</f>
        <v>2</v>
      </c>
      <c r="AB3" s="1">
        <f t="shared" ref="AB3:AB29" si="16">10-($P3+Q3)+$R3</f>
        <v>6</v>
      </c>
      <c r="AC3" s="1">
        <f t="shared" ref="AC3:AC29" si="17">IF((AB3=3),1,(IF(AND(AB3&gt;=4,AB3&lt;=5),2,(IF(AND(AB3&gt;=6,AB3&lt;=7),3,(IF(AND(AB3&gt;=8,AB3&lt;=9),4,IF(AB3&gt;=10,5,""))))))))</f>
        <v>3</v>
      </c>
      <c r="AD3" s="1">
        <f t="shared" ref="AD3:AD29" si="18">5-$S3</f>
        <v>3</v>
      </c>
      <c r="AE3" s="1">
        <f t="shared" si="0"/>
        <v>4</v>
      </c>
      <c r="AF3" s="1">
        <f t="shared" ref="AF3:AF29" si="19">15-($L3+$M3+$N3)</f>
        <v>7</v>
      </c>
      <c r="AG3" s="1">
        <f t="shared" si="1"/>
        <v>3</v>
      </c>
      <c r="AH3" s="1">
        <f t="shared" ref="AH3:AH29" si="20">$O3</f>
        <v>3</v>
      </c>
      <c r="AI3" s="1">
        <f t="shared" ref="AI3:AI29" si="21">IF(AH3=1,5,IF(AH3=2,4,(IF(AH3=3,3,(IF(AH3=4,2,""))))))</f>
        <v>3</v>
      </c>
      <c r="AJ3" s="1">
        <f t="shared" ref="AJ3:AJ29" si="22">5-$T3</f>
        <v>3</v>
      </c>
      <c r="AK3" s="1">
        <f t="shared" ref="AK3:AK29" si="23">IF(AJ3=1,5,IF(AJ3=2,4,(IF(AJ3=3,3,(IF(AJ3=4,1,""))))))</f>
        <v>3</v>
      </c>
      <c r="AL3" s="1">
        <f t="shared" ref="AL3:AL29" si="24">5-$U3</f>
        <v>3</v>
      </c>
      <c r="AM3" s="1">
        <f t="shared" ref="AM3:AM29" si="25">IF(AL3=1,5,IF(AL3=2,4,(IF(AL3=3,3,(IF(AL3=4,1,""))))))</f>
        <v>3</v>
      </c>
      <c r="AN3" s="1">
        <f>IF(('2回目フォームの回答 '!T3="ほとんどなかった"),1,(IF(('2回目フォームの回答 '!T3="ときどきあった"),2,(IF(('2回目フォームの回答 '!T3="しばしばあった"),3,(IF(('2回目フォームの回答 '!T3="ほとんどいつもあった"),4,"")))))))</f>
        <v>2</v>
      </c>
      <c r="AO3" s="1">
        <f>IF(('2回目フォームの回答 '!U3="ほとんどなかった"),1,(IF(('2回目フォームの回答 '!U3="ときどきあった"),2,(IF(('2回目フォームの回答 '!U3="しばしばあった"),3,(IF(('2回目フォームの回答 '!U3="ほとんどいつもあった"),4,"")))))))</f>
        <v>2</v>
      </c>
      <c r="AP3" s="1">
        <f>IF(('2回目フォームの回答 '!V3="ほとんどなかった"),1,(IF(('2回目フォームの回答 '!V3="ときどきあった"),2,(IF(('2回目フォームの回答 '!V3="しばしばあった"),3,(IF(('2回目フォームの回答 '!V3="ほとんどいつもあった"),4,"")))))))</f>
        <v>2</v>
      </c>
      <c r="AQ3" s="1">
        <f>IF(('2回目フォームの回答 '!W3="ほとんどなかった"),1,(IF(('2回目フォームの回答 '!W3="ときどきあった"),2,(IF(('2回目フォームの回答 '!W3="しばしばあった"),3,(IF(('2回目フォームの回答 '!W3="ほとんどいつもあった"),4,"")))))))</f>
        <v>2</v>
      </c>
      <c r="AR3" s="1">
        <f>IF(('2回目フォームの回答 '!X3="ほとんどなかった"),1,(IF(('2回目フォームの回答 '!X3="ときどきあった"),2,(IF(('2回目フォームの回答 '!X3="しばしばあった"),3,(IF(('2回目フォームの回答 '!X3="ほとんどいつもあった"),4,"")))))))</f>
        <v>2</v>
      </c>
      <c r="AS3" s="1">
        <f>IF(('2回目フォームの回答 '!Y3="ほとんどなかった"),1,(IF(('2回目フォームの回答 '!Y3="ときどきあった"),2,(IF(('2回目フォームの回答 '!Y3="しばしばあった"),3,(IF(('2回目フォームの回答 '!Y3="ほとんどいつもあった"),4,"")))))))</f>
        <v>2</v>
      </c>
      <c r="AT3" s="1">
        <f>IF(('2回目フォームの回答 '!Z3="ほとんどなかった"),1,(IF(('2回目フォームの回答 '!Z3="ときどきあった"),2,(IF(('2回目フォームの回答 '!Z3="しばしばあった"),3,(IF(('2回目フォームの回答 '!Z3="ほとんどいつもあった"),4,"")))))))</f>
        <v>3</v>
      </c>
      <c r="AU3" s="1">
        <f>IF(('2回目フォームの回答 '!AA3="ほとんどなかった"),1,(IF(('2回目フォームの回答 '!AA3="ときどきあった"),2,(IF(('2回目フォームの回答 '!AA3="しばしばあった"),3,(IF(('2回目フォームの回答 '!AA3="ほとんどいつもあった"),4,"")))))))</f>
        <v>3</v>
      </c>
      <c r="AV3" s="1">
        <f>IF(('2回目フォームの回答 '!AB3="ほとんどなかった"),1,(IF(('2回目フォームの回答 '!AB3="ときどきばあった"),2,(IF(('2回目フォームの回答 '!AB3="しばしばあった"),3,(IF(('2回目フォームの回答 '!AB3="ほとんどいつもあった"),4,"")))))))</f>
        <v>3</v>
      </c>
      <c r="AW3" s="1">
        <f>IF(('2回目フォームの回答 '!AC3="ほとんどなかった"),1,(IF(('2回目フォームの回答 '!AC3="ときどきあった"),2,(IF(('2回目フォームの回答 '!AC3="しばしばあった"),3,(IF(('2回目フォームの回答 '!AC3="ほとんどいつもあった"),4,"")))))))</f>
        <v>3</v>
      </c>
      <c r="AX3" s="1">
        <f>IF(('2回目フォームの回答 '!AD3="ほとんどなかった"),1,(IF(('2回目フォームの回答 '!AD3="ときどきあった"),2,(IF(('2回目フォームの回答 '!AD3="しばしばあった"),3,(IF(('2回目フォームの回答 '!AD3="ほとんどいつもあった"),4,"")))))))</f>
        <v>2</v>
      </c>
      <c r="AY3" s="1">
        <f>IF(('2回目フォームの回答 '!AE3="ほとんどなかった"),1,(IF(('2回目フォームの回答 '!AE3="ときどきあった"),2,(IF(('2回目フォームの回答 '!AE3="しばしばあった"),3,(IF(('2回目フォームの回答 '!AE3="ほとんどいつもあった"),4,"")))))))</f>
        <v>1</v>
      </c>
      <c r="AZ3" s="1">
        <f>IF(('2回目フォームの回答 '!AF3="ほとんどなかった"),1,(IF(('2回目フォームの回答 '!AF3="ときどきあった"),2,(IF(('2回目フォームの回答 '!AF3="しばしばあった"),3,(IF(('2回目フォームの回答 '!AF3="ほとんどいつもあった"),4,"")))))))</f>
        <v>2</v>
      </c>
      <c r="BA3" s="1">
        <f>IF(('2回目フォームの回答 '!AG3="ほとんどなかった"),1,(IF(('2回目フォームの回答 '!AG3="ときどきあった"),2,(IF(('2回目フォームの回答 '!AG3="しばしばあった"),3,(IF(('2回目フォームの回答 '!AG3="ほとんどいつもあった"),4,"")))))))</f>
        <v>3</v>
      </c>
      <c r="BB3" s="1">
        <f>IF(('2回目フォームの回答 '!AH3="ほとんどなかった"),1,(IF(('2回目フォームの回答 '!AH3="ときどきあった"),2,(IF(('2回目フォームの回答 '!AH3="しばしばあった"),3,(IF(('2回目フォームの回答 '!AH3="ほとんどいつもあった"),4,"")))))))</f>
        <v>3</v>
      </c>
      <c r="BC3" s="1">
        <f>IF(('2回目フォームの回答 '!AI3="ほとんどなかった"),1,(IF(('2回目フォームの回答 '!AI3="ときどきあった"),2,(IF(('2回目フォームの回答 '!AI3="しばしばあった"),3,(IF(('2回目フォームの回答 '!AI3="ほとんどいつもあった"),4,"")))))))</f>
        <v>2</v>
      </c>
      <c r="BD3" s="1">
        <f>IF(('2回目フォームの回答 '!AJ3="ほとんどなかった"),1,(IF(('2回目フォームの回答 '!AJ3="ときどきあった"),2,(IF(('2回目フォームの回答 '!AJ3="しばしばあった"),3,(IF(('2回目フォームの回答 '!AJ3="ほとんどいつもあった"),4,"")))))))</f>
        <v>1</v>
      </c>
      <c r="BE3" s="1">
        <f>IF(('2回目フォームの回答 '!AK3="ほとんどなかった"),1,(IF(('2回目フォームの回答 '!AK3="ときどきあった"),2,(IF(('2回目フォームの回答 '!AK3="しばしばあった"),3,(IF(('2回目フォームの回答 '!AK3="ほとんどいつもあった"),4,"")))))))</f>
        <v>1</v>
      </c>
      <c r="BF3" s="1">
        <f>IF(('2回目フォームの回答 '!AL3="ほとんどなかった"),1,(IF(('2回目フォームの回答 '!AL3="ときどきあった"),2,(IF(('2回目フォームの回答 '!AL3="しばしばあった"),3,(IF(('2回目フォームの回答 '!AL3="ほとんどいつもあった"),4,"")))))))</f>
        <v>3</v>
      </c>
      <c r="BG3" s="1">
        <f>IF(('2回目フォームの回答 '!AM3="ほとんどなかった"),1,(IF(('2回目フォームの回答 '!AM3="ときどきあった"),2,(IF(('2回目フォームの回答 '!AM3="しばしばあった"),3,(IF(('2回目フォームの回答 '!AM3="ほとんどいつもあった"),4,"")))))))</f>
        <v>1</v>
      </c>
      <c r="BH3" s="1">
        <f>IF(('2回目フォームの回答 '!AN3="ほとんどなかった"),1,(IF(('2回目フォームの回答 '!AN3="ときどきあった"),2,(IF(('2回目フォームの回答 '!AN3="しばしばあった"),3,(IF(('2回目フォームの回答 '!AN3="ほとんどいつもあった"),4,"")))))))</f>
        <v>4</v>
      </c>
      <c r="BI3" s="1">
        <f>IF(('2回目フォームの回答 '!AO3="ほとんどなかった"),1,(IF(('2回目フォームの回答 '!AO3="ときどきあった"),2,(IF(('2回目フォームの回答 '!AO3="しばしばあった"),3,(IF(('2回目フォームの回答 '!AO3="ほとんどいつもあった"),4,"")))))))</f>
        <v>4</v>
      </c>
      <c r="BJ3" s="1">
        <f>IF(('2回目フォームの回答 '!AP3="ほとんどなかった"),1,(IF(('2回目フォームの回答 '!AP3="ときどきあった"),2,(IF(('2回目フォームの回答 '!AP3="しばしばあった"),3,(IF(('2回目フォームの回答 '!AP3="ほとんどいつもあった"),4,"")))))))</f>
        <v>2</v>
      </c>
      <c r="BK3" s="1">
        <f>IF(('2回目フォームの回答 '!AQ3="ほとんどなかった"),1,(IF(('2回目フォームの回答 '!AQ3="ときどきあった"),2,(IF(('2回目フォームの回答 '!AQ3="しばしばあった"),3,(IF(('2回目フォームの回答 '!AQ3="ほとんどいつもあった"),4,"")))))))</f>
        <v>3</v>
      </c>
      <c r="BL3" s="1">
        <f>IF(('2回目フォームの回答 '!AR3="ほとんどなかった"),1,(IF(('2回目フォームの回答 '!AR3="ときどきあった"),2,(IF(('2回目フォームの回答 '!AR3="しばしばあった"),3,(IF(('2回目フォームの回答 '!AR3="ほとんどいつもあった"),4,"")))))))</f>
        <v>3</v>
      </c>
      <c r="BM3" s="1">
        <f>IF(('2回目フォームの回答 '!AS3="ほとんどなかった"),1,(IF(('2回目フォームの回答 '!AS3="ときどきあった"),2,(IF(('2回目フォームの回答 '!AS3="しばしばあった"),3,(IF(('2回目フォームの回答 '!AS3="ほとんどいつもあった"),4,"")))))))</f>
        <v>1</v>
      </c>
      <c r="BN3" s="1">
        <f>IF(('2回目フォームの回答 '!AT3="ほとんどなかった"),1,(IF(('2回目フォームの回答 '!AT3="ときどきあった"),2,(IF(('2回目フォームの回答 '!AT3="しばしばあった"),3,(IF(('2回目フォームの回答 '!AT3="ほとんどいつもあった"),4,"")))))))</f>
        <v>2</v>
      </c>
      <c r="BO3" s="1">
        <f>IF(('2回目フォームの回答 '!AU3="ほとんどなかった"),1,(IF(('2回目フォームの回答 '!AU3="ときどきあった"),2,(IF(('2回目フォームの回答 '!AU3="しばしばあった"),3,(IF(('2回目フォームの回答 '!AU3="ほとんどいつもあった"),4,"")))))))</f>
        <v>2</v>
      </c>
      <c r="BP3" s="1">
        <f>IF(('2回目フォームの回答 '!AV3="ほとんどなかった"),1,(IF(('2回目フォームの回答 '!AV3="ときどきあった"),2,(IF(('2回目フォームの回答 '!AV3="しばしばあった"),3,(IF(('2回目フォームの回答 '!AV3="ほとんどいつもあった"),4,"")))))))</f>
        <v>3</v>
      </c>
      <c r="BQ3" s="1">
        <f t="shared" ref="BQ3:BQ29" si="26">$AN3+$AO3+$AP3</f>
        <v>6</v>
      </c>
      <c r="BR3" s="1">
        <f t="shared" ref="BR3:BR29" si="27">IF((BQ3=3),5,(IF(AND(BQ3&gt;=4,BQ3&lt;=5),4,(IF(AND(BQ3&gt;=6,BQ3&lt;=7),3,(IF(AND(BQ3&gt;=8,BQ3&lt;=9),2,IF(BQ3&gt;=10,1,""))))))))</f>
        <v>3</v>
      </c>
      <c r="BS3" s="1">
        <f t="shared" ref="BS3:BS29" si="28">$AQ3+$AR3+$AS3</f>
        <v>6</v>
      </c>
      <c r="BT3" s="1">
        <f t="shared" si="2"/>
        <v>3</v>
      </c>
      <c r="BU3" s="1">
        <f t="shared" si="3"/>
        <v>9</v>
      </c>
      <c r="BV3" s="1">
        <f t="shared" si="4"/>
        <v>4</v>
      </c>
      <c r="BW3" s="1">
        <f t="shared" ref="BW3:BW29" si="29">$AW3+$AX3+$AY3</f>
        <v>6</v>
      </c>
      <c r="BX3" s="1">
        <f t="shared" si="5"/>
        <v>3</v>
      </c>
      <c r="BY3" s="1">
        <f t="shared" ref="BY3:BY29" si="30">SUM($AZ3:$BE3)</f>
        <v>12</v>
      </c>
      <c r="BZ3" s="1">
        <f t="shared" si="6"/>
        <v>3</v>
      </c>
      <c r="CA3" s="1">
        <f t="shared" ref="CA3:CA29" si="31">SUM($BF3:$BP3)</f>
        <v>28</v>
      </c>
      <c r="CB3" s="1">
        <f t="shared" ref="CB3:CB29" si="32">IF(AND(B3="male",CA3=11),1,(IF(AND(B3="male",CA3&gt;=12,CA3&lt;=15),2,(IF(AND(B3="male",CA3&gt;=16,CA3&lt;=21),3,(IF(AND(B3="male",CA3&gt;=22,CA3&lt;=26),4,IF(AND(B3="male",CA3&gt;=27),5,IF(AND(B3="female",CA3&lt;=13),1,(IF(AND(B3="female",CA3&gt;=14,CA3&lt;=17),2,(IF(AND(B3="female",CA3&gt;=18,CA3&lt;=23),3,(IF(AND(B3="female",CA3&gt;=24,CA3&lt;=29),4,IF(AND(B3="female",CA3&gt;=30),5,""))))))))))))))))</f>
        <v>4</v>
      </c>
      <c r="CC3" s="1">
        <f>IF(('2回目フォームの回答 '!AW3="非常に"),1,(IF(('2回目フォームの回答 '!AW3="かなり"),2,(IF(('2回目フォームの回答 '!AW3="多少"),3,(IF(('2回目フォームの回答 '!AW3="全くない"),4,"")))))))</f>
        <v>3</v>
      </c>
      <c r="CD3" s="1">
        <f>IF(('2回目フォームの回答 '!AX3="非常に"),1,(IF(('2回目フォームの回答 '!AX3="かなり"),2,(IF(('2回目フォームの回答 '!AX3="多少"),3,(IF(('2回目フォームの回答 '!AX3="全くない"),4,"")))))))</f>
        <v>2</v>
      </c>
      <c r="CE3" s="1">
        <f>IF(('2回目フォームの回答 '!AY3="非常に"),1,(IF(('2回目フォームの回答 '!AY3="かなり"),2,(IF(('2回目フォームの回答 '!AY3="多少"),3,(IF(('2回目フォームの回答 '!AY3="全くない"),4,"")))))))</f>
        <v>2</v>
      </c>
      <c r="CF3" s="1">
        <f>IF(('2回目フォームの回答 '!AZ3="非常に"),1,(IF(('2回目フォームの回答 '!AZ3="かなり"),2,(IF(('2回目フォームの回答 '!AZ3="多少"),3,(IF(('2回目フォームの回答 '!AZ3="全くない"),4,"")))))))</f>
        <v>2</v>
      </c>
      <c r="CG3" s="1">
        <f>IF(('2回目フォームの回答 '!BA3="非常に"),1,(IF(('2回目フォームの回答 '!BA3="かなり"),2,(IF(('2回目フォームの回答 '!BA3="多少"),3,(IF(('2回目フォームの回答 '!BA3="全くない"),4,"")))))))</f>
        <v>2</v>
      </c>
      <c r="CH3" s="1">
        <f>IF(('2回目フォームの回答 '!BB3="非常に"),1,(IF(('2回目フォームの回答 '!BB3="かなり"),2,(IF(('2回目フォームの回答 '!BB3="多少"),3,(IF(('2回目フォームの回答 '!BB3="全くない"),4,"")))))))</f>
        <v>2</v>
      </c>
      <c r="CI3" s="1">
        <f>IF(('2回目フォームの回答 '!BC3="非常に"),1,(IF(('2回目フォームの回答 '!BC3="かなり"),2,(IF(('2回目フォームの回答 '!BC3="多少"),3,(IF(('2回目フォームの回答 '!BC3="全くない"),4,"")))))))</f>
        <v>2</v>
      </c>
      <c r="CJ3" s="1">
        <f>IF(('2回目フォームの回答 '!BD3="非常に"),1,(IF(('2回目フォームの回答 '!BD3="かなり"),2,(IF(('2回目フォームの回答 '!BD3="多少"),3,(IF(('2回目フォームの回答 '!BD3="全くない"),4,"")))))))</f>
        <v>2</v>
      </c>
      <c r="CK3" s="1">
        <f>IF(('2回目フォームの回答 '!BE3="非常に"),1,(IF(('2回目フォームの回答 '!BE3="かなり"),2,(IF(('2回目フォームの回答 '!BE3="多少"),3,(IF(('2回目フォームの回答 '!BE3="全くない"),4,"")))))))</f>
        <v>2</v>
      </c>
      <c r="CL3" s="1">
        <f>IF(('2回目フォームの回答 '!BF3="満足"),1,(IF(('2回目フォームの回答 '!BF3="まぁ満足"),2,(IF(('2回目フォームの回答 '!BF3="やや満足"),3,(IF(('2回目フォームの回答 '!BF3="不満足"),4,"")))))))</f>
        <v>2</v>
      </c>
      <c r="CM3" s="1">
        <f>IF(('2回目フォームの回答 '!BG3="満足"),1,(IF(('2回目フォームの回答 '!BG3="まぁ満足"),2,(IF(('2回目フォームの回答 '!BG3="やや満足"),3,(IF(('2回目フォームの回答 '!BG3="不満足"),4,"")))))))</f>
        <v>2</v>
      </c>
      <c r="CN3" s="1">
        <f t="shared" ref="CN3:CN29" si="33">15-($CC3+$CF3+$CI3)</f>
        <v>8</v>
      </c>
      <c r="CO3" s="1">
        <f t="shared" si="7"/>
        <v>2</v>
      </c>
      <c r="CP3" s="1">
        <f t="shared" ref="CP3:CP29" si="34">15-($CD3+$CG3+$CJ3)</f>
        <v>9</v>
      </c>
      <c r="CQ3" s="1">
        <f t="shared" si="8"/>
        <v>3</v>
      </c>
      <c r="CR3" s="1">
        <f t="shared" ref="CR3:CR29" si="35">15-($CE3+$CH3+$CK3)</f>
        <v>9</v>
      </c>
      <c r="CS3" s="1">
        <f t="shared" ref="CS3:CS29" si="36">IF((CR3&lt;=6),5,(IF(AND(CR3&gt;=7,CR3&lt;=8),4,IF((CR3=9),3,IF(AND(CR3&gt;=10,CR3&lt;=11),2,IF(CR3&gt;=12,1,""))))))</f>
        <v>3</v>
      </c>
      <c r="CT3" s="1">
        <f t="shared" ref="CT3:CT29" si="37">10-($CL3+$CM3)</f>
        <v>6</v>
      </c>
      <c r="CU3" s="1">
        <f t="shared" si="9"/>
        <v>3</v>
      </c>
      <c r="CV3" s="1">
        <f t="shared" ref="CV3:CV29" si="38">BR3+BT3+BV3+BX3+BZ3+CB3</f>
        <v>20</v>
      </c>
      <c r="CW3" s="1">
        <f t="shared" ref="CW3:CW29" si="39">W3+Y3+AA3+AC3+AE3+AG3+AI3+AK3+AM3</f>
        <v>28</v>
      </c>
      <c r="CX3" s="1">
        <f t="shared" si="10"/>
        <v>8</v>
      </c>
      <c r="CY3" s="29" t="str">
        <f t="shared" ref="CY3:CY29" si="40">IF((CV3&gt;=24),"高",IF(AND(CV3&gt;=19,CV3&lt;=23,(CW3+CX3)&gt;=46),"高",IF(AND(CV3&gt;=19,CV3&lt;=23,(CW3+CX3)&gt;=12,(CW3+CX3)&lt;=45),"中①",IF(AND(CV3&gt;=6,CV3&lt;=18,(CW3+CX3)&gt;=46),"中②","低"))))</f>
        <v>中①</v>
      </c>
      <c r="CZ3" s="1">
        <f>'2回目フォームの回答 '!BH3</f>
        <v>0.7</v>
      </c>
      <c r="DA3" s="2">
        <f t="shared" ref="DA3:DA29" si="41">1-CZ3</f>
        <v>0.30000000000000004</v>
      </c>
      <c r="DB3" s="1">
        <f>IF(('2回目フォームの回答 '!BI3="いつもより寝つきは良い"),0,(IF(('2回目フォームの回答 '!BI3="いつもより少し時間がかかった"),1,(IF(('2回目フォームの回答 '!BI3="いつもよりかなり時間がかかった"),2,(IF(('2回目フォームの回答 '!BI3="いつもより非常に時間がかかった、あるいは全く眠れなかった"),3,"")))))))</f>
        <v>2</v>
      </c>
      <c r="DC3" s="1">
        <f>IF(('2回目フォームの回答 '!BJ3="問題になるほどのことはなかった"),0,(IF(('2回目フォームの回答 '!BJ3="少し困ることがある"),1,(IF(('2回目フォームの回答 '!BJ3="かなり困っている"),2,(IF(('2回目フォームの回答 '!BJ3="深刻な状態、あるいは全く眠れなかった"),3,"")))))))</f>
        <v>2</v>
      </c>
      <c r="DD3" s="1">
        <f>IF(('2回目フォームの回答 '!BK3="そのようなことはなかった"),0,(IF(('2回目フォームの回答 '!BK3="少し早かった"),1,(IF(('2回目フォームの回答 '!BK3="かなり早かった"),2,(IF(('2回目フォームの回答 '!BK3="非常に早かった、あるいは全く眠れなかった"),3,"")))))))</f>
        <v>0</v>
      </c>
      <c r="DE3" s="1">
        <f>IF(('2回目フォームの回答 '!BL3="十分である"),0,(IF(('2回目フォームの回答 '!BL3="少し足りない"),1,(IF(('2回目フォームの回答 '!BL3="かなり足りない"),2,(IF(('2回目フォームの回答 '!BL3="全く足りない、あるいは全く眠れなかった"),3,"")))))))</f>
        <v>2</v>
      </c>
      <c r="DF3" s="1">
        <f>IF(('2回目フォームの回答 '!BM3="満足している"),0,(IF(('2回目フォームの回答 '!BM3="少し不満である"),1,(IF(('2回目フォームの回答 '!BM3="かなり不満である"),2,(IF(('2回目フォームの回答 '!BM3="非常に不満である、あるいは全く眠れなかった"),3,"")))))))</f>
        <v>2</v>
      </c>
      <c r="DG3" s="1">
        <f>IF(('2回目フォームの回答 '!BN3="いつもどおり"),0,(IF(('2回目フォームの回答 '!BN3="少し滅入った"),1,(IF(('2回目フォームの回答 '!BN3="かなり滅入った"),2,(IF(('2回目フォームの回答 '!BN3="非常に滅入った"),3,"")))))))</f>
        <v>1</v>
      </c>
      <c r="DH3" s="1">
        <f>IF(('2回目フォームの回答 '!BO3="いつもどおり"),0,(IF(('2回目フォームの回答 '!BO3="少し低下した"),1,(IF(('2回目フォームの回答 '!BO3="かなり低下した"),2,(IF(('2回目フォームの回答 '!BO3="非常に低下した"),3,"")))))))</f>
        <v>1</v>
      </c>
      <c r="DI3" s="1">
        <f>IF(('2回目フォームの回答 '!BP3="全くなかった"),0,(IF(('2回目フォームの回答 '!BP3="少しあった"),1,(IF(('2回目フォームの回答 '!BP3="かなりあった"),2,(IF(('2回目フォームの回答 '!BP3="激しかった"),3,"")))))))</f>
        <v>1</v>
      </c>
      <c r="DJ3">
        <f t="shared" ref="DJ3:DJ29" si="42">SUM(DB3:DI3)</f>
        <v>11</v>
      </c>
      <c r="DK3" s="4" t="str">
        <f t="shared" ref="DK3:DK29" si="43">IF((DJ3&lt;=3),"低",(IF(AND(DJ3&gt;=4,DJ3&lt;=5),"中",(IF((DJ3&gt;=6),"高","")))))</f>
        <v>高</v>
      </c>
      <c r="DL3" s="5">
        <v>1.4</v>
      </c>
      <c r="DM3" s="5">
        <v>20.399999999999999</v>
      </c>
      <c r="DN3" s="5">
        <v>19.399999999999999</v>
      </c>
      <c r="DO3" s="5">
        <f t="shared" ref="DO3:DO29" si="44">DL3+DM3+DN3</f>
        <v>41.199999999999996</v>
      </c>
      <c r="DP3" s="5" t="s">
        <v>200</v>
      </c>
      <c r="DQ3" s="5"/>
      <c r="DR3" s="5" t="s">
        <v>200</v>
      </c>
      <c r="DS3" s="71">
        <v>0.29166666666666669</v>
      </c>
      <c r="DT3" s="66">
        <v>310</v>
      </c>
      <c r="DU3" s="59">
        <f>INDEX('1回目結果'!DR:DR,MATCH($DT3,'1回目結果'!$A:$A,0))</f>
        <v>0.24</v>
      </c>
      <c r="DV3" s="59">
        <f>INDEX('1回目結果'!DS:DS,MATCH($DT3,'1回目結果'!$A:$A,0))</f>
        <v>42.5</v>
      </c>
      <c r="DW3" s="59">
        <f>INDEX('1回目結果'!DT:DT,MATCH($DT3,'1回目結果'!$A:$A,0))</f>
        <v>0.56000000000000005</v>
      </c>
      <c r="DX3" s="59">
        <f>INDEX('1回目結果'!DU:DU,MATCH($DT3,'1回目結果'!$A:$A,0))</f>
        <v>10</v>
      </c>
      <c r="DY3" s="59">
        <f>IFERROR(INDEX('1回目結果'!DL:DL,MATCH('2回目結果'!$DT3,'1回目結果'!$A:$A,0)),"")</f>
        <v>15.7</v>
      </c>
      <c r="DZ3" s="59">
        <f>IFERROR(INDEX('1回目結果'!DM:DM,MATCH('2回目結果'!$DT3,'1回目結果'!$A:$A,0)),"")</f>
        <v>0</v>
      </c>
      <c r="EA3" s="59">
        <f>IFERROR(INDEX('1回目結果'!DN:DN,MATCH('2回目結果'!$DT3,'1回目結果'!$A:$A,0)),"")</f>
        <v>2.6</v>
      </c>
      <c r="EB3" s="59">
        <f>IFERROR(INDEX('1回目結果'!DO:DO,MATCH('2回目結果'!$DT3,'1回目結果'!$A:$A,0)),"")</f>
        <v>18.3</v>
      </c>
      <c r="EC3" s="59">
        <f>IFERROR(INDEX('1回目結果'!DP:DP,MATCH('2回目結果'!$DT3,'1回目結果'!$A:$A,0)),"")</f>
        <v>0</v>
      </c>
      <c r="ED3" s="59" t="str">
        <f>IFERROR(INDEX('1回目結果'!DQ:DQ,MATCH('2回目結果'!$DT3,'1回目結果'!$A:$A,0)),"")</f>
        <v>〇</v>
      </c>
      <c r="EE3" s="54">
        <v>1.1040000000000001</v>
      </c>
      <c r="EF3" s="54">
        <v>186.64</v>
      </c>
      <c r="EG3" s="54">
        <v>0.59</v>
      </c>
      <c r="EH3" s="54">
        <v>30</v>
      </c>
      <c r="EI3" s="43" t="s">
        <v>232</v>
      </c>
      <c r="EJ3" s="44">
        <f t="shared" ref="EJ3:EJ29" si="45">EH3/DX3</f>
        <v>3</v>
      </c>
      <c r="EK3" s="44"/>
      <c r="EL3">
        <f t="shared" ref="EL3:EL29" si="46">DO3-EB3</f>
        <v>22.899999999999995</v>
      </c>
      <c r="EM3">
        <f t="shared" ref="EM3:EM29" si="47">DN3-EA3</f>
        <v>16.799999999999997</v>
      </c>
    </row>
    <row r="4" spans="1:143" ht="15.75" customHeight="1">
      <c r="A4" s="1">
        <v>323</v>
      </c>
      <c r="B4" s="24" t="s">
        <v>140</v>
      </c>
      <c r="C4" s="52">
        <v>32706</v>
      </c>
      <c r="D4" s="38">
        <v>35</v>
      </c>
      <c r="E4" s="1">
        <f>IF(('2回目フォームの回答 '!C4="そうだ"),1,(IF(('2回目フォームの回答 '!C4="まぁそうだ"),2,(IF(('2回目フォームの回答 '!C4="ややちがう"),3,(IF(('2回目フォームの回答 '!C4="ちがう"),4,"")))))))</f>
        <v>3</v>
      </c>
      <c r="F4" s="1">
        <f>IF(('2回目フォームの回答 '!D4="そうだ"),1,(IF(('2回目フォームの回答 '!D4="まぁそうだ"),2,(IF(('2回目フォームの回答 '!D4="ややちがう"),3,(IF(('2回目フォームの回答 '!D4="ちがう"),4,"")))))))</f>
        <v>3</v>
      </c>
      <c r="G4" s="1">
        <f>IF(('2回目フォームの回答 '!E4="そうだ"),1,(IF(('2回目フォームの回答 '!E4="まぁそうだ"),2,(IF(('2回目フォームの回答 '!E4="ややちがう"),3,(IF(('2回目フォームの回答 '!E4="ちがう"),4,"")))))))</f>
        <v>2</v>
      </c>
      <c r="H4" s="1">
        <f>IF(('2回目フォームの回答 '!F4="そうだ"),1,(IF(('2回目フォームの回答 '!F4="まぁそうだ"),2,(IF(('2回目フォームの回答 '!F4="ややちがう"),3,(IF(('2回目フォームの回答 '!F4="ちがう"),4,"")))))))</f>
        <v>3</v>
      </c>
      <c r="I4" s="1">
        <f>IF(('2回目フォームの回答 '!G4="そうだ"),1,(IF(('2回目フォームの回答 '!G4="まぁそうだ"),2,(IF(('2回目フォームの回答 '!G4="ややちがう"),3,(IF(('2回目フォームの回答 '!G4="ちがう"),4,"")))))))</f>
        <v>3</v>
      </c>
      <c r="J4" s="1">
        <f>IF(('2回目フォームの回答 '!H4="そうだ"),1,(IF(('2回目フォームの回答 '!H4="まぁそうだ"),2,(IF(('2回目フォームの回答 '!H4="ややちがう"),3,(IF(('2回目フォームの回答 '!H4="ちがう"),4,"")))))))</f>
        <v>2</v>
      </c>
      <c r="K4" s="1">
        <f>IF(('2回目フォームの回答 '!I4="そうだ"),1,(IF(('2回目フォームの回答 '!I4="まぁそうだ"),2,(IF(('2回目フォームの回答 '!I4="ややちがう"),3,(IF(('2回目フォームの回答 '!I4="ちがう"),4,"")))))))</f>
        <v>4</v>
      </c>
      <c r="L4" s="1">
        <f>IF(('2回目フォームの回答 '!J4="そうだ"),1,(IF(('2回目フォームの回答 '!J4="まぁそうだ"),2,(IF(('2回目フォームの回答 '!J4="ややちがう"),3,(IF(('2回目フォームの回答 '!J4="ちがう"),4,"")))))))</f>
        <v>2</v>
      </c>
      <c r="M4" s="1">
        <f>IF(('2回目フォームの回答 '!K4="そうだ"),1,(IF(('2回目フォームの回答 '!K4="まぁそうだ"),2,(IF(('2回目フォームの回答 '!K4="ややちがう"),3,(IF(('2回目フォームの回答 '!K4="ちがう"),4,"")))))))</f>
        <v>2</v>
      </c>
      <c r="N4" s="1">
        <f>IF(('2回目フォームの回答 '!L4="そうだ"),1,(IF(('2回目フォームの回答 '!L4="まぁそうだ"),2,(IF(('2回目フォームの回答 '!L4="ややちがう"),3,(IF(('2回目フォームの回答 '!L4="ちがう"),4,"")))))))</f>
        <v>2</v>
      </c>
      <c r="O4" s="1">
        <f>IF(('2回目フォームの回答 '!M4="そうだ"),1,(IF(('2回目フォームの回答 '!M4="まぁそうだ"),2,(IF(('2回目フォームの回答 '!M4="ややちがう"),3,(IF(('2回目フォームの回答 '!M4="ちがう"),4,"")))))))</f>
        <v>3</v>
      </c>
      <c r="P4" s="1">
        <f>IF(('2回目フォームの回答 '!N4="そうだ"),1,(IF(('2回目フォームの回答 '!N4="まぁそうだ"),2,(IF(('2回目フォームの回答 '!N4="ややちがう"),3,(IF(('2回目フォームの回答 '!N4="ちがう"),4,"")))))))</f>
        <v>3</v>
      </c>
      <c r="Q4" s="1">
        <f>IF(('2回目フォームの回答 '!O4="そうだ"),1,(IF(('2回目フォームの回答 '!O4="まぁそうだ"),2,(IF(('2回目フォームの回答 '!O4="ややちがう"),3,(IF(('2回目フォームの回答 '!O4="ちがう"),4,"")))))))</f>
        <v>3</v>
      </c>
      <c r="R4" s="1">
        <f>IF(('2回目フォームの回答 '!P4="そうだ"),1,(IF(('2回目フォームの回答 '!P4="まぁそうだ"),2,(IF(('2回目フォームの回答 '!P4="ややちがう"),3,(IF(('2回目フォームの回答 '!P4="ちがう"),4,"")))))))</f>
        <v>2</v>
      </c>
      <c r="S4" s="1">
        <f>IF(('2回目フォームの回答 '!Q4="そうだ"),1,(IF(('2回目フォームの回答 '!Q4="まぁそうだ"),2,(IF(('2回目フォームの回答 '!Q4="ややちがう"),3,(IF(('2回目フォームの回答 '!Q4="ちがう"),4,"")))))))</f>
        <v>2</v>
      </c>
      <c r="T4" s="1">
        <f>IF(('2回目フォームの回答 '!R4="そうだ"),1,(IF(('2回目フォームの回答 '!R4="まぁそうだ"),2,(IF(('2回目フォームの回答 '!R4="ややちがう"),3,(IF(('2回目フォームの回答 '!R4="ちがう"),4,"")))))))</f>
        <v>3</v>
      </c>
      <c r="U4" s="1">
        <f>IF(('2回目フォームの回答 '!S4="そうだ"),1,(IF(('2回目フォームの回答 '!S4="まぁそうだ"),2,(IF(('2回目フォームの回答 '!S4="ややちがう"),3,(IF(('2回目フォームの回答 '!S4="ちがう"),4,"")))))))</f>
        <v>3</v>
      </c>
      <c r="V4" s="1">
        <f t="shared" ref="V4:V29" si="48">15-($E4+$F4+$G4)</f>
        <v>7</v>
      </c>
      <c r="W4" s="1">
        <f t="shared" si="11"/>
        <v>3</v>
      </c>
      <c r="X4" s="1">
        <f t="shared" si="12"/>
        <v>7</v>
      </c>
      <c r="Y4" s="1">
        <f t="shared" si="13"/>
        <v>3</v>
      </c>
      <c r="Z4" s="1">
        <f t="shared" si="14"/>
        <v>1</v>
      </c>
      <c r="AA4" s="1">
        <f t="shared" si="15"/>
        <v>2</v>
      </c>
      <c r="AB4" s="1">
        <f t="shared" si="16"/>
        <v>6</v>
      </c>
      <c r="AC4" s="1">
        <f t="shared" si="17"/>
        <v>3</v>
      </c>
      <c r="AD4" s="1">
        <f t="shared" si="18"/>
        <v>3</v>
      </c>
      <c r="AE4" s="1">
        <f t="shared" si="0"/>
        <v>4</v>
      </c>
      <c r="AF4" s="1">
        <f t="shared" si="19"/>
        <v>9</v>
      </c>
      <c r="AG4" s="1">
        <f t="shared" si="1"/>
        <v>2</v>
      </c>
      <c r="AH4" s="1">
        <f t="shared" si="20"/>
        <v>3</v>
      </c>
      <c r="AI4" s="1">
        <f t="shared" si="21"/>
        <v>3</v>
      </c>
      <c r="AJ4" s="1">
        <f t="shared" si="22"/>
        <v>2</v>
      </c>
      <c r="AK4" s="1">
        <f t="shared" si="23"/>
        <v>4</v>
      </c>
      <c r="AL4" s="1">
        <f t="shared" si="24"/>
        <v>2</v>
      </c>
      <c r="AM4" s="1">
        <f t="shared" si="25"/>
        <v>4</v>
      </c>
      <c r="AN4" s="1">
        <f>IF(('2回目フォームの回答 '!T4="ほとんどなかった"),1,(IF(('2回目フォームの回答 '!T4="ときどきあった"),2,(IF(('2回目フォームの回答 '!T4="しばしばあった"),3,(IF(('2回目フォームの回答 '!T4="ほとんどいつもあった"),4,"")))))))</f>
        <v>2</v>
      </c>
      <c r="AO4" s="1">
        <f>IF(('2回目フォームの回答 '!U4="ほとんどなかった"),1,(IF(('2回目フォームの回答 '!U4="ときどきあった"),2,(IF(('2回目フォームの回答 '!U4="しばしばあった"),3,(IF(('2回目フォームの回答 '!U4="ほとんどいつもあった"),4,"")))))))</f>
        <v>2</v>
      </c>
      <c r="AP4" s="1">
        <f>IF(('2回目フォームの回答 '!V4="ほとんどなかった"),1,(IF(('2回目フォームの回答 '!V4="ときどきあった"),2,(IF(('2回目フォームの回答 '!V4="しばしばあった"),3,(IF(('2回目フォームの回答 '!V4="ほとんどいつもあった"),4,"")))))))</f>
        <v>2</v>
      </c>
      <c r="AQ4" s="1">
        <f>IF(('2回目フォームの回答 '!W4="ほとんどなかった"),1,(IF(('2回目フォームの回答 '!W4="ときどきあった"),2,(IF(('2回目フォームの回答 '!W4="しばしばあった"),3,(IF(('2回目フォームの回答 '!W4="ほとんどいつもあった"),4,"")))))))</f>
        <v>3</v>
      </c>
      <c r="AR4" s="1">
        <f>IF(('2回目フォームの回答 '!X4="ほとんどなかった"),1,(IF(('2回目フォームの回答 '!X4="ときどきあった"),2,(IF(('2回目フォームの回答 '!X4="しばしばあった"),3,(IF(('2回目フォームの回答 '!X4="ほとんどいつもあった"),4,"")))))))</f>
        <v>3</v>
      </c>
      <c r="AS4" s="1">
        <f>IF(('2回目フォームの回答 '!Y4="ほとんどなかった"),1,(IF(('2回目フォームの回答 '!Y4="ときどきあった"),2,(IF(('2回目フォームの回答 '!Y4="しばしばあった"),3,(IF(('2回目フォームの回答 '!Y4="ほとんどいつもあった"),4,"")))))))</f>
        <v>4</v>
      </c>
      <c r="AT4" s="1">
        <f>IF(('2回目フォームの回答 '!Z4="ほとんどなかった"),1,(IF(('2回目フォームの回答 '!Z4="ときどきあった"),2,(IF(('2回目フォームの回答 '!Z4="しばしばあった"),3,(IF(('2回目フォームの回答 '!Z4="ほとんどいつもあった"),4,"")))))))</f>
        <v>4</v>
      </c>
      <c r="AU4" s="1">
        <f>IF(('2回目フォームの回答 '!AA4="ほとんどなかった"),1,(IF(('2回目フォームの回答 '!AA4="ときどきあった"),2,(IF(('2回目フォームの回答 '!AA4="しばしばあった"),3,(IF(('2回目フォームの回答 '!AA4="ほとんどいつもあった"),4,"")))))))</f>
        <v>4</v>
      </c>
      <c r="AV4" s="1">
        <f>IF(('2回目フォームの回答 '!AB4="ほとんどなかった"),1,(IF(('2回目フォームの回答 '!AB4="ときどきばあった"),2,(IF(('2回目フォームの回答 '!AB4="しばしばあった"),3,(IF(('2回目フォームの回答 '!AB4="ほとんどいつもあった"),4,"")))))))</f>
        <v>4</v>
      </c>
      <c r="AW4" s="1">
        <f>IF(('2回目フォームの回答 '!AC4="ほとんどなかった"),1,(IF(('2回目フォームの回答 '!AC4="ときどきあった"),2,(IF(('2回目フォームの回答 '!AC4="しばしばあった"),3,(IF(('2回目フォームの回答 '!AC4="ほとんどいつもあった"),4,"")))))))</f>
        <v>4</v>
      </c>
      <c r="AX4" s="1">
        <f>IF(('2回目フォームの回答 '!AD4="ほとんどなかった"),1,(IF(('2回目フォームの回答 '!AD4="ときどきあった"),2,(IF(('2回目フォームの回答 '!AD4="しばしばあった"),3,(IF(('2回目フォームの回答 '!AD4="ほとんどいつもあった"),4,"")))))))</f>
        <v>3</v>
      </c>
      <c r="AY4" s="1">
        <f>IF(('2回目フォームの回答 '!AE4="ほとんどなかった"),1,(IF(('2回目フォームの回答 '!AE4="ときどきあった"),2,(IF(('2回目フォームの回答 '!AE4="しばしばあった"),3,(IF(('2回目フォームの回答 '!AE4="ほとんどいつもあった"),4,"")))))))</f>
        <v>2</v>
      </c>
      <c r="AZ4" s="1">
        <f>IF(('2回目フォームの回答 '!AF4="ほとんどなかった"),1,(IF(('2回目フォームの回答 '!AF4="ときどきあった"),2,(IF(('2回目フォームの回答 '!AF4="しばしばあった"),3,(IF(('2回目フォームの回答 '!AF4="ほとんどいつもあった"),4,"")))))))</f>
        <v>2</v>
      </c>
      <c r="BA4" s="1">
        <f>IF(('2回目フォームの回答 '!AG4="ほとんどなかった"),1,(IF(('2回目フォームの回答 '!AG4="ときどきあった"),2,(IF(('2回目フォームの回答 '!AG4="しばしばあった"),3,(IF(('2回目フォームの回答 '!AG4="ほとんどいつもあった"),4,"")))))))</f>
        <v>2</v>
      </c>
      <c r="BB4" s="1">
        <f>IF(('2回目フォームの回答 '!AH4="ほとんどなかった"),1,(IF(('2回目フォームの回答 '!AH4="ときどきあった"),2,(IF(('2回目フォームの回答 '!AH4="しばしばあった"),3,(IF(('2回目フォームの回答 '!AH4="ほとんどいつもあった"),4,"")))))))</f>
        <v>2</v>
      </c>
      <c r="BC4" s="1">
        <f>IF(('2回目フォームの回答 '!AI4="ほとんどなかった"),1,(IF(('2回目フォームの回答 '!AI4="ときどきあった"),2,(IF(('2回目フォームの回答 '!AI4="しばしばあった"),3,(IF(('2回目フォームの回答 '!AI4="ほとんどいつもあった"),4,"")))))))</f>
        <v>3</v>
      </c>
      <c r="BD4" s="1">
        <f>IF(('2回目フォームの回答 '!AJ4="ほとんどなかった"),1,(IF(('2回目フォームの回答 '!AJ4="ときどきあった"),2,(IF(('2回目フォームの回答 '!AJ4="しばしばあった"),3,(IF(('2回目フォームの回答 '!AJ4="ほとんどいつもあった"),4,"")))))))</f>
        <v>2</v>
      </c>
      <c r="BE4" s="1">
        <f>IF(('2回目フォームの回答 '!AK4="ほとんどなかった"),1,(IF(('2回目フォームの回答 '!AK4="ときどきあった"),2,(IF(('2回目フォームの回答 '!AK4="しばしばあった"),3,(IF(('2回目フォームの回答 '!AK4="ほとんどいつもあった"),4,"")))))))</f>
        <v>1</v>
      </c>
      <c r="BF4" s="1">
        <f>IF(('2回目フォームの回答 '!AL4="ほとんどなかった"),1,(IF(('2回目フォームの回答 '!AL4="ときどきあった"),2,(IF(('2回目フォームの回答 '!AL4="しばしばあった"),3,(IF(('2回目フォームの回答 '!AL4="ほとんどいつもあった"),4,"")))))))</f>
        <v>3</v>
      </c>
      <c r="BG4" s="1">
        <f>IF(('2回目フォームの回答 '!AM4="ほとんどなかった"),1,(IF(('2回目フォームの回答 '!AM4="ときどきあった"),2,(IF(('2回目フォームの回答 '!AM4="しばしばあった"),3,(IF(('2回目フォームの回答 '!AM4="ほとんどいつもあった"),4,"")))))))</f>
        <v>1</v>
      </c>
      <c r="BH4" s="1">
        <f>IF(('2回目フォームの回答 '!AN4="ほとんどなかった"),1,(IF(('2回目フォームの回答 '!AN4="ときどきあった"),2,(IF(('2回目フォームの回答 '!AN4="しばしばあった"),3,(IF(('2回目フォームの回答 '!AN4="ほとんどいつもあった"),4,"")))))))</f>
        <v>2</v>
      </c>
      <c r="BI4" s="1">
        <f>IF(('2回目フォームの回答 '!AO4="ほとんどなかった"),1,(IF(('2回目フォームの回答 '!AO4="ときどきあった"),2,(IF(('2回目フォームの回答 '!AO4="しばしばあった"),3,(IF(('2回目フォームの回答 '!AO4="ほとんどいつもあった"),4,"")))))))</f>
        <v>4</v>
      </c>
      <c r="BJ4" s="1">
        <f>IF(('2回目フォームの回答 '!AP4="ほとんどなかった"),1,(IF(('2回目フォームの回答 '!AP4="ときどきあった"),2,(IF(('2回目フォームの回答 '!AP4="しばしばあった"),3,(IF(('2回目フォームの回答 '!AP4="ほとんどいつもあった"),4,"")))))))</f>
        <v>1</v>
      </c>
      <c r="BK4" s="1">
        <f>IF(('2回目フォームの回答 '!AQ4="ほとんどなかった"),1,(IF(('2回目フォームの回答 '!AQ4="ときどきあった"),2,(IF(('2回目フォームの回答 '!AQ4="しばしばあった"),3,(IF(('2回目フォームの回答 '!AQ4="ほとんどいつもあった"),4,"")))))))</f>
        <v>2</v>
      </c>
      <c r="BL4" s="1">
        <f>IF(('2回目フォームの回答 '!AR4="ほとんどなかった"),1,(IF(('2回目フォームの回答 '!AR4="ときどきあった"),2,(IF(('2回目フォームの回答 '!AR4="しばしばあった"),3,(IF(('2回目フォームの回答 '!AR4="ほとんどいつもあった"),4,"")))))))</f>
        <v>2</v>
      </c>
      <c r="BM4" s="1">
        <f>IF(('2回目フォームの回答 '!AS4="ほとんどなかった"),1,(IF(('2回目フォームの回答 '!AS4="ときどきあった"),2,(IF(('2回目フォームの回答 '!AS4="しばしばあった"),3,(IF(('2回目フォームの回答 '!AS4="ほとんどいつもあった"),4,"")))))))</f>
        <v>3</v>
      </c>
      <c r="BN4" s="1">
        <f>IF(('2回目フォームの回答 '!AT4="ほとんどなかった"),1,(IF(('2回目フォームの回答 '!AT4="ときどきあった"),2,(IF(('2回目フォームの回答 '!AT4="しばしばあった"),3,(IF(('2回目フォームの回答 '!AT4="ほとんどいつもあった"),4,"")))))))</f>
        <v>1</v>
      </c>
      <c r="BO4" s="1">
        <f>IF(('2回目フォームの回答 '!AU4="ほとんどなかった"),1,(IF(('2回目フォームの回答 '!AU4="ときどきあった"),2,(IF(('2回目フォームの回答 '!AU4="しばしばあった"),3,(IF(('2回目フォームの回答 '!AU4="ほとんどいつもあった"),4,"")))))))</f>
        <v>4</v>
      </c>
      <c r="BP4" s="1">
        <f>IF(('2回目フォームの回答 '!AV4="ほとんどなかった"),1,(IF(('2回目フォームの回答 '!AV4="ときどきあった"),2,(IF(('2回目フォームの回答 '!AV4="しばしばあった"),3,(IF(('2回目フォームの回答 '!AV4="ほとんどいつもあった"),4,"")))))))</f>
        <v>4</v>
      </c>
      <c r="BQ4" s="1">
        <f t="shared" si="26"/>
        <v>6</v>
      </c>
      <c r="BR4" s="1">
        <f t="shared" si="27"/>
        <v>3</v>
      </c>
      <c r="BS4" s="1">
        <f t="shared" si="28"/>
        <v>10</v>
      </c>
      <c r="BT4" s="1">
        <f t="shared" si="2"/>
        <v>4</v>
      </c>
      <c r="BU4" s="1">
        <f t="shared" si="3"/>
        <v>12</v>
      </c>
      <c r="BV4" s="1">
        <f t="shared" si="4"/>
        <v>5</v>
      </c>
      <c r="BW4" s="1">
        <f t="shared" si="29"/>
        <v>9</v>
      </c>
      <c r="BX4" s="1">
        <f t="shared" si="5"/>
        <v>4</v>
      </c>
      <c r="BY4" s="1">
        <f t="shared" si="30"/>
        <v>12</v>
      </c>
      <c r="BZ4" s="1">
        <f t="shared" si="6"/>
        <v>3</v>
      </c>
      <c r="CA4" s="1">
        <f t="shared" si="31"/>
        <v>27</v>
      </c>
      <c r="CB4" s="1">
        <f t="shared" si="32"/>
        <v>4</v>
      </c>
      <c r="CC4" s="1">
        <f>IF(('2回目フォームの回答 '!AW4="非常に"),1,(IF(('2回目フォームの回答 '!AW4="かなり"),2,(IF(('2回目フォームの回答 '!AW4="多少"),3,(IF(('2回目フォームの回答 '!AW4="全くない"),4,"")))))))</f>
        <v>3</v>
      </c>
      <c r="CD4" s="1">
        <f>IF(('2回目フォームの回答 '!AX4="非常に"),1,(IF(('2回目フォームの回答 '!AX4="かなり"),2,(IF(('2回目フォームの回答 '!AX4="多少"),3,(IF(('2回目フォームの回答 '!AX4="全くない"),4,"")))))))</f>
        <v>2</v>
      </c>
      <c r="CE4" s="1">
        <f>IF(('2回目フォームの回答 '!AY4="非常に"),1,(IF(('2回目フォームの回答 '!AY4="かなり"),2,(IF(('2回目フォームの回答 '!AY4="多少"),3,(IF(('2回目フォームの回答 '!AY4="全くない"),4,"")))))))</f>
        <v>1</v>
      </c>
      <c r="CF4" s="1">
        <f>IF(('2回目フォームの回答 '!AZ4="非常に"),1,(IF(('2回目フォームの回答 '!AZ4="かなり"),2,(IF(('2回目フォームの回答 '!AZ4="多少"),3,(IF(('2回目フォームの回答 '!AZ4="全くない"),4,"")))))))</f>
        <v>2</v>
      </c>
      <c r="CG4" s="1">
        <f>IF(('2回目フォームの回答 '!BA4="非常に"),1,(IF(('2回目フォームの回答 '!BA4="かなり"),2,(IF(('2回目フォームの回答 '!BA4="多少"),3,(IF(('2回目フォームの回答 '!BA4="全くない"),4,"")))))))</f>
        <v>1</v>
      </c>
      <c r="CH4" s="1">
        <f>IF(('2回目フォームの回答 '!BB4="非常に"),1,(IF(('2回目フォームの回答 '!BB4="かなり"),2,(IF(('2回目フォームの回答 '!BB4="多少"),3,(IF(('2回目フォームの回答 '!BB4="全くない"),4,"")))))))</f>
        <v>1</v>
      </c>
      <c r="CI4" s="1">
        <f>IF(('2回目フォームの回答 '!BC4="非常に"),1,(IF(('2回目フォームの回答 '!BC4="かなり"),2,(IF(('2回目フォームの回答 '!BC4="多少"),3,(IF(('2回目フォームの回答 '!BC4="全くない"),4,"")))))))</f>
        <v>3</v>
      </c>
      <c r="CJ4" s="1">
        <f>IF(('2回目フォームの回答 '!BD4="非常に"),1,(IF(('2回目フォームの回答 '!BD4="かなり"),2,(IF(('2回目フォームの回答 '!BD4="多少"),3,(IF(('2回目フォームの回答 '!BD4="全くない"),4,"")))))))</f>
        <v>2</v>
      </c>
      <c r="CK4" s="1">
        <f>IF(('2回目フォームの回答 '!BE4="非常に"),1,(IF(('2回目フォームの回答 '!BE4="かなり"),2,(IF(('2回目フォームの回答 '!BE4="多少"),3,(IF(('2回目フォームの回答 '!BE4="全くない"),4,"")))))))</f>
        <v>1</v>
      </c>
      <c r="CL4" s="1">
        <f>IF(('2回目フォームの回答 '!BF4="満足"),1,(IF(('2回目フォームの回答 '!BF4="まぁ満足"),2,(IF(('2回目フォームの回答 '!BF4="やや満足"),3,(IF(('2回目フォームの回答 '!BF4="不満足"),4,"")))))))</f>
        <v>3</v>
      </c>
      <c r="CM4" s="1">
        <f>IF(('2回目フォームの回答 '!BG4="満足"),1,(IF(('2回目フォームの回答 '!BG4="まぁ満足"),2,(IF(('2回目フォームの回答 '!BG4="やや満足"),3,(IF(('2回目フォームの回答 '!BG4="不満足"),4,"")))))))</f>
        <v>1</v>
      </c>
      <c r="CN4" s="1">
        <f t="shared" si="33"/>
        <v>7</v>
      </c>
      <c r="CO4" s="1">
        <f t="shared" si="7"/>
        <v>3</v>
      </c>
      <c r="CP4" s="1">
        <f t="shared" si="34"/>
        <v>10</v>
      </c>
      <c r="CQ4" s="1">
        <f t="shared" si="8"/>
        <v>2</v>
      </c>
      <c r="CR4" s="1">
        <f t="shared" si="35"/>
        <v>12</v>
      </c>
      <c r="CS4" s="1">
        <f t="shared" si="36"/>
        <v>1</v>
      </c>
      <c r="CT4" s="1">
        <f t="shared" si="37"/>
        <v>6</v>
      </c>
      <c r="CU4" s="1">
        <f t="shared" si="9"/>
        <v>3</v>
      </c>
      <c r="CV4" s="1">
        <f t="shared" si="38"/>
        <v>23</v>
      </c>
      <c r="CW4" s="1">
        <f t="shared" si="39"/>
        <v>28</v>
      </c>
      <c r="CX4" s="1">
        <f t="shared" si="10"/>
        <v>6</v>
      </c>
      <c r="CY4" s="29" t="str">
        <f t="shared" si="40"/>
        <v>中①</v>
      </c>
      <c r="CZ4" s="1">
        <f>'2回目フォームの回答 '!BH4</f>
        <v>0.7</v>
      </c>
      <c r="DA4" s="2">
        <f t="shared" si="41"/>
        <v>0.30000000000000004</v>
      </c>
      <c r="DB4" s="1">
        <f>IF(('2回目フォームの回答 '!BI4="いつもより寝つきは良い"),0,(IF(('2回目フォームの回答 '!BI4="いつもより少し時間がかかった"),1,(IF(('2回目フォームの回答 '!BI4="いつもよりかなり時間がかかった"),2,(IF(('2回目フォームの回答 '!BI4="いつもより非常に時間がかかった、あるいは全く眠れなかった"),3,"")))))))</f>
        <v>1</v>
      </c>
      <c r="DC4" s="1">
        <f>IF(('2回目フォームの回答 '!BJ4="問題になるほどのことはなかった"),0,(IF(('2回目フォームの回答 '!BJ4="少し困ることがある"),1,(IF(('2回目フォームの回答 '!BJ4="かなり困っている"),2,(IF(('2回目フォームの回答 '!BJ4="深刻な状態、あるいは全く眠れなかった"),3,"")))))))</f>
        <v>2</v>
      </c>
      <c r="DD4" s="1">
        <f>IF(('2回目フォームの回答 '!BK4="そのようなことはなかった"),0,(IF(('2回目フォームの回答 '!BK4="少し早かった"),1,(IF(('2回目フォームの回答 '!BK4="かなり早かった"),2,(IF(('2回目フォームの回答 '!BK4="非常に早かった、あるいは全く眠れなかった"),3,"")))))))</f>
        <v>1</v>
      </c>
      <c r="DE4" s="1">
        <f>IF(('2回目フォームの回答 '!BL4="十分である"),0,(IF(('2回目フォームの回答 '!BL4="少し足りない"),1,(IF(('2回目フォームの回答 '!BL4="かなり足りない"),2,(IF(('2回目フォームの回答 '!BL4="全く足りない、あるいは全く眠れなかった"),3,"")))))))</f>
        <v>2</v>
      </c>
      <c r="DF4" s="1">
        <f>IF(('2回目フォームの回答 '!BM4="満足している"),0,(IF(('2回目フォームの回答 '!BM4="少し不満である"),1,(IF(('2回目フォームの回答 '!BM4="かなり不満である"),2,(IF(('2回目フォームの回答 '!BM4="非常に不満である、あるいは全く眠れなかった"),3,"")))))))</f>
        <v>2</v>
      </c>
      <c r="DG4" s="1">
        <f>IF(('2回目フォームの回答 '!BN4="いつもどおり"),0,(IF(('2回目フォームの回答 '!BN4="少し滅入った"),1,(IF(('2回目フォームの回答 '!BN4="かなり滅入った"),2,(IF(('2回目フォームの回答 '!BN4="非常に滅入った"),3,"")))))))</f>
        <v>2</v>
      </c>
      <c r="DH4" s="1">
        <f>IF(('2回目フォームの回答 '!BO4="いつもどおり"),0,(IF(('2回目フォームの回答 '!BO4="少し低下した"),1,(IF(('2回目フォームの回答 '!BO4="かなり低下した"),2,(IF(('2回目フォームの回答 '!BO4="非常に低下した"),3,"")))))))</f>
        <v>0</v>
      </c>
      <c r="DI4" s="1">
        <f>IF(('2回目フォームの回答 '!BP4="全くなかった"),0,(IF(('2回目フォームの回答 '!BP4="少しあった"),1,(IF(('2回目フォームの回答 '!BP4="かなりあった"),2,(IF(('2回目フォームの回答 '!BP4="激しかった"),3,"")))))))</f>
        <v>3</v>
      </c>
      <c r="DJ4">
        <f t="shared" si="42"/>
        <v>13</v>
      </c>
      <c r="DK4" s="4" t="str">
        <f t="shared" si="43"/>
        <v>高</v>
      </c>
      <c r="DL4" s="5">
        <v>0.4</v>
      </c>
      <c r="DM4" s="5">
        <v>0.2</v>
      </c>
      <c r="DN4" s="5">
        <v>1.5</v>
      </c>
      <c r="DO4" s="5">
        <f t="shared" si="44"/>
        <v>2.1</v>
      </c>
      <c r="DP4" s="5"/>
      <c r="DQ4" s="5"/>
      <c r="DR4" s="5"/>
      <c r="DS4" s="71">
        <v>0.36944444444444446</v>
      </c>
      <c r="DT4" s="66">
        <v>304</v>
      </c>
      <c r="DU4" s="59">
        <f>INDEX('1回目結果'!DR:DR,MATCH($DT4,'1回目結果'!$A:$A,0))</f>
        <v>0.82399999999999995</v>
      </c>
      <c r="DV4" s="59">
        <f>INDEX('1回目結果'!DS:DS,MATCH($DT4,'1回目結果'!$A:$A,0))</f>
        <v>116.69</v>
      </c>
      <c r="DW4" s="59">
        <f>INDEX('1回目結果'!DT:DT,MATCH($DT4,'1回目結果'!$A:$A,0))</f>
        <v>0.71</v>
      </c>
      <c r="DX4" s="59">
        <f>INDEX('1回目結果'!DU:DU,MATCH($DT4,'1回目結果'!$A:$A,0))</f>
        <v>36</v>
      </c>
      <c r="DY4" s="59">
        <f>IFERROR(INDEX('1回目結果'!DL:DL,MATCH('2回目結果'!$DT4,'1回目結果'!$A:$A,0)),"")</f>
        <v>0.1</v>
      </c>
      <c r="DZ4" s="59">
        <f>IFERROR(INDEX('1回目結果'!DM:DM,MATCH('2回目結果'!$DT4,'1回目結果'!$A:$A,0)),"")</f>
        <v>0.9</v>
      </c>
      <c r="EA4" s="59">
        <f>IFERROR(INDEX('1回目結果'!DN:DN,MATCH('2回目結果'!$DT4,'1回目結果'!$A:$A,0)),"")</f>
        <v>1.2</v>
      </c>
      <c r="EB4" s="59">
        <f>IFERROR(INDEX('1回目結果'!DO:DO,MATCH('2回目結果'!$DT4,'1回目結果'!$A:$A,0)),"")</f>
        <v>2.2000000000000002</v>
      </c>
      <c r="EC4" s="59">
        <f>IFERROR(INDEX('1回目結果'!DP:DP,MATCH('2回目結果'!$DT4,'1回目結果'!$A:$A,0)),"")</f>
        <v>0</v>
      </c>
      <c r="ED4" s="59">
        <f>IFERROR(INDEX('1回目結果'!DQ:DQ,MATCH('2回目結果'!$DT4,'1回目結果'!$A:$A,0)),"")</f>
        <v>0</v>
      </c>
      <c r="EE4" s="54">
        <v>1.3560000000000001</v>
      </c>
      <c r="EF4" s="54">
        <v>253.74</v>
      </c>
      <c r="EG4" s="54">
        <v>0.53</v>
      </c>
      <c r="EH4" s="54">
        <v>27</v>
      </c>
      <c r="EI4" s="43" t="s">
        <v>115</v>
      </c>
      <c r="EJ4" s="44">
        <f t="shared" si="45"/>
        <v>0.75</v>
      </c>
      <c r="EK4" s="44">
        <f t="shared" ref="EK4:EK6" si="49">EG4/DW4</f>
        <v>0.74647887323943674</v>
      </c>
      <c r="EL4">
        <f t="shared" si="46"/>
        <v>-0.10000000000000009</v>
      </c>
      <c r="EM4">
        <f t="shared" si="47"/>
        <v>0.30000000000000004</v>
      </c>
    </row>
    <row r="5" spans="1:143" ht="15.75" customHeight="1">
      <c r="A5" s="1">
        <v>324</v>
      </c>
      <c r="B5" s="24" t="s">
        <v>139</v>
      </c>
      <c r="C5" s="52">
        <v>34739</v>
      </c>
      <c r="D5" s="38">
        <v>29</v>
      </c>
      <c r="E5" s="1">
        <f>IF(('2回目フォームの回答 '!C5="そうだ"),1,(IF(('2回目フォームの回答 '!C5="まぁそうだ"),2,(IF(('2回目フォームの回答 '!C5="ややちがう"),3,(IF(('2回目フォームの回答 '!C5="ちがう"),4,"")))))))</f>
        <v>2</v>
      </c>
      <c r="F5" s="1">
        <f>IF(('2回目フォームの回答 '!D5="そうだ"),1,(IF(('2回目フォームの回答 '!D5="まぁそうだ"),2,(IF(('2回目フォームの回答 '!D5="ややちがう"),3,(IF(('2回目フォームの回答 '!D5="ちがう"),4,"")))))))</f>
        <v>3</v>
      </c>
      <c r="G5" s="1">
        <f>IF(('2回目フォームの回答 '!E5="そうだ"),1,(IF(('2回目フォームの回答 '!E5="まぁそうだ"),2,(IF(('2回目フォームの回答 '!E5="ややちがう"),3,(IF(('2回目フォームの回答 '!E5="ちがう"),4,"")))))))</f>
        <v>1</v>
      </c>
      <c r="H5" s="1">
        <f>IF(('2回目フォームの回答 '!F5="そうだ"),1,(IF(('2回目フォームの回答 '!F5="まぁそうだ"),2,(IF(('2回目フォームの回答 '!F5="ややちがう"),3,(IF(('2回目フォームの回答 '!F5="ちがう"),4,"")))))))</f>
        <v>2</v>
      </c>
      <c r="I5" s="1">
        <f>IF(('2回目フォームの回答 '!G5="そうだ"),1,(IF(('2回目フォームの回答 '!G5="まぁそうだ"),2,(IF(('2回目フォームの回答 '!G5="ややちがう"),3,(IF(('2回目フォームの回答 '!G5="ちがう"),4,"")))))))</f>
        <v>2</v>
      </c>
      <c r="J5" s="1">
        <f>IF(('2回目フォームの回答 '!H5="そうだ"),1,(IF(('2回目フォームの回答 '!H5="まぁそうだ"),2,(IF(('2回目フォームの回答 '!H5="ややちがう"),3,(IF(('2回目フォームの回答 '!H5="ちがう"),4,"")))))))</f>
        <v>2</v>
      </c>
      <c r="K5" s="1">
        <f>IF(('2回目フォームの回答 '!I5="そうだ"),1,(IF(('2回目フォームの回答 '!I5="まぁそうだ"),2,(IF(('2回目フォームの回答 '!I5="ややちがう"),3,(IF(('2回目フォームの回答 '!I5="ちがう"),4,"")))))))</f>
        <v>3</v>
      </c>
      <c r="L5" s="1">
        <f>IF(('2回目フォームの回答 '!J5="そうだ"),1,(IF(('2回目フォームの回答 '!J5="まぁそうだ"),2,(IF(('2回目フォームの回答 '!J5="ややちがう"),3,(IF(('2回目フォームの回答 '!J5="ちがう"),4,"")))))))</f>
        <v>1</v>
      </c>
      <c r="M5" s="1">
        <f>IF(('2回目フォームの回答 '!K5="そうだ"),1,(IF(('2回目フォームの回答 '!K5="まぁそうだ"),2,(IF(('2回目フォームの回答 '!K5="ややちがう"),3,(IF(('2回目フォームの回答 '!K5="ちがう"),4,"")))))))</f>
        <v>1</v>
      </c>
      <c r="N5" s="1">
        <f>IF(('2回目フォームの回答 '!L5="そうだ"),1,(IF(('2回目フォームの回答 '!L5="まぁそうだ"),2,(IF(('2回目フォームの回答 '!L5="ややちがう"),3,(IF(('2回目フォームの回答 '!L5="ちがう"),4,"")))))))</f>
        <v>1</v>
      </c>
      <c r="O5" s="1">
        <f>IF(('2回目フォームの回答 '!M5="そうだ"),1,(IF(('2回目フォームの回答 '!M5="まぁそうだ"),2,(IF(('2回目フォームの回答 '!M5="ややちがう"),3,(IF(('2回目フォームの回答 '!M5="ちがう"),4,"")))))))</f>
        <v>4</v>
      </c>
      <c r="P5" s="1">
        <f>IF(('2回目フォームの回答 '!N5="そうだ"),1,(IF(('2回目フォームの回答 '!N5="まぁそうだ"),2,(IF(('2回目フォームの回答 '!N5="ややちがう"),3,(IF(('2回目フォームの回答 '!N5="ちがう"),4,"")))))))</f>
        <v>3</v>
      </c>
      <c r="Q5" s="1">
        <f>IF(('2回目フォームの回答 '!O5="そうだ"),1,(IF(('2回目フォームの回答 '!O5="まぁそうだ"),2,(IF(('2回目フォームの回答 '!O5="ややちがう"),3,(IF(('2回目フォームの回答 '!O5="ちがう"),4,"")))))))</f>
        <v>3</v>
      </c>
      <c r="R5" s="1">
        <f>IF(('2回目フォームの回答 '!P5="そうだ"),1,(IF(('2回目フォームの回答 '!P5="まぁそうだ"),2,(IF(('2回目フォームの回答 '!P5="ややちがう"),3,(IF(('2回目フォームの回答 '!P5="ちがう"),4,"")))))))</f>
        <v>2</v>
      </c>
      <c r="S5" s="1">
        <f>IF(('2回目フォームの回答 '!Q5="そうだ"),1,(IF(('2回目フォームの回答 '!Q5="まぁそうだ"),2,(IF(('2回目フォームの回答 '!Q5="ややちがう"),3,(IF(('2回目フォームの回答 '!Q5="ちがう"),4,"")))))))</f>
        <v>4</v>
      </c>
      <c r="T5" s="1">
        <f>IF(('2回目フォームの回答 '!R5="そうだ"),1,(IF(('2回目フォームの回答 '!R5="まぁそうだ"),2,(IF(('2回目フォームの回答 '!R5="ややちがう"),3,(IF(('2回目フォームの回答 '!R5="ちがう"),4,"")))))))</f>
        <v>1</v>
      </c>
      <c r="U5" s="1">
        <f>IF(('2回目フォームの回答 '!S5="そうだ"),1,(IF(('2回目フォームの回答 '!S5="まぁそうだ"),2,(IF(('2回目フォームの回答 '!S5="ややちがう"),3,(IF(('2回目フォームの回答 '!S5="ちがう"),4,"")))))))</f>
        <v>1</v>
      </c>
      <c r="V5" s="1">
        <f t="shared" si="48"/>
        <v>9</v>
      </c>
      <c r="W5" s="1">
        <f t="shared" si="11"/>
        <v>3</v>
      </c>
      <c r="X5" s="1">
        <f t="shared" si="12"/>
        <v>9</v>
      </c>
      <c r="Y5" s="1">
        <f t="shared" si="13"/>
        <v>3</v>
      </c>
      <c r="Z5" s="1">
        <f t="shared" si="14"/>
        <v>2</v>
      </c>
      <c r="AA5" s="1">
        <f t="shared" si="15"/>
        <v>3</v>
      </c>
      <c r="AB5" s="1">
        <f t="shared" si="16"/>
        <v>6</v>
      </c>
      <c r="AC5" s="1">
        <f t="shared" si="17"/>
        <v>3</v>
      </c>
      <c r="AD5" s="1">
        <f t="shared" si="18"/>
        <v>1</v>
      </c>
      <c r="AE5" s="1">
        <f t="shared" si="0"/>
        <v>2</v>
      </c>
      <c r="AF5" s="1">
        <f t="shared" si="19"/>
        <v>12</v>
      </c>
      <c r="AG5" s="1">
        <f t="shared" si="1"/>
        <v>1</v>
      </c>
      <c r="AH5" s="1">
        <f t="shared" si="20"/>
        <v>4</v>
      </c>
      <c r="AI5" s="1">
        <f t="shared" si="21"/>
        <v>2</v>
      </c>
      <c r="AJ5" s="1">
        <f t="shared" si="22"/>
        <v>4</v>
      </c>
      <c r="AK5" s="1">
        <f t="shared" si="23"/>
        <v>1</v>
      </c>
      <c r="AL5" s="1">
        <f t="shared" si="24"/>
        <v>4</v>
      </c>
      <c r="AM5" s="1">
        <f t="shared" si="25"/>
        <v>1</v>
      </c>
      <c r="AN5" s="1">
        <f>IF(('2回目フォームの回答 '!T5="ほとんどなかった"),1,(IF(('2回目フォームの回答 '!T5="ときどきあった"),2,(IF(('2回目フォームの回答 '!T5="しばしばあった"),3,(IF(('2回目フォームの回答 '!T5="ほとんどいつもあった"),4,"")))))))</f>
        <v>3</v>
      </c>
      <c r="AO5" s="1">
        <f>IF(('2回目フォームの回答 '!U5="ほとんどなかった"),1,(IF(('2回目フォームの回答 '!U5="ときどきあった"),2,(IF(('2回目フォームの回答 '!U5="しばしばあった"),3,(IF(('2回目フォームの回答 '!U5="ほとんどいつもあった"),4,"")))))))</f>
        <v>4</v>
      </c>
      <c r="AP5" s="1">
        <f>IF(('2回目フォームの回答 '!V5="ほとんどなかった"),1,(IF(('2回目フォームの回答 '!V5="ときどきあった"),2,(IF(('2回目フォームの回答 '!V5="しばしばあった"),3,(IF(('2回目フォームの回答 '!V5="ほとんどいつもあった"),4,"")))))))</f>
        <v>4</v>
      </c>
      <c r="AQ5" s="1">
        <f>IF(('2回目フォームの回答 '!W5="ほとんどなかった"),1,(IF(('2回目フォームの回答 '!W5="ときどきあった"),2,(IF(('2回目フォームの回答 '!W5="しばしばあった"),3,(IF(('2回目フォームの回答 '!W5="ほとんどいつもあった"),4,"")))))))</f>
        <v>2</v>
      </c>
      <c r="AR5" s="1">
        <f>IF(('2回目フォームの回答 '!X5="ほとんどなかった"),1,(IF(('2回目フォームの回答 '!X5="ときどきあった"),2,(IF(('2回目フォームの回答 '!X5="しばしばあった"),3,(IF(('2回目フォームの回答 '!X5="ほとんどいつもあった"),4,"")))))))</f>
        <v>2</v>
      </c>
      <c r="AS5" s="1">
        <f>IF(('2回目フォームの回答 '!Y5="ほとんどなかった"),1,(IF(('2回目フォームの回答 '!Y5="ときどきあった"),2,(IF(('2回目フォームの回答 '!Y5="しばしばあった"),3,(IF(('2回目フォームの回答 '!Y5="ほとんどいつもあった"),4,"")))))))</f>
        <v>2</v>
      </c>
      <c r="AT5" s="1">
        <f>IF(('2回目フォームの回答 '!Z5="ほとんどなかった"),1,(IF(('2回目フォームの回答 '!Z5="ときどきあった"),2,(IF(('2回目フォームの回答 '!Z5="しばしばあった"),3,(IF(('2回目フォームの回答 '!Z5="ほとんどいつもあった"),4,"")))))))</f>
        <v>2</v>
      </c>
      <c r="AU5" s="1">
        <f>IF(('2回目フォームの回答 '!AA5="ほとんどなかった"),1,(IF(('2回目フォームの回答 '!AA5="ときどきあった"),2,(IF(('2回目フォームの回答 '!AA5="しばしばあった"),3,(IF(('2回目フォームの回答 '!AA5="ほとんどいつもあった"),4,"")))))))</f>
        <v>1</v>
      </c>
      <c r="AV5" s="1">
        <f>IF(('2回目フォームの回答 '!AB5="ほとんどなかった"),1,(IF(('2回目フォームの回答 '!AB5="ときどきばあった"),2,(IF(('2回目フォームの回答 '!AB5="しばしばあった"),3,(IF(('2回目フォームの回答 '!AB5="ほとんどいつもあった"),4,"")))))))</f>
        <v>1</v>
      </c>
      <c r="AW5" s="1">
        <f>IF(('2回目フォームの回答 '!AC5="ほとんどなかった"),1,(IF(('2回目フォームの回答 '!AC5="ときどきあった"),2,(IF(('2回目フォームの回答 '!AC5="しばしばあった"),3,(IF(('2回目フォームの回答 '!AC5="ほとんどいつもあった"),4,"")))))))</f>
        <v>2</v>
      </c>
      <c r="AX5" s="1">
        <f>IF(('2回目フォームの回答 '!AD5="ほとんどなかった"),1,(IF(('2回目フォームの回答 '!AD5="ときどきあった"),2,(IF(('2回目フォームの回答 '!AD5="しばしばあった"),3,(IF(('2回目フォームの回答 '!AD5="ほとんどいつもあった"),4,"")))))))</f>
        <v>2</v>
      </c>
      <c r="AY5" s="1">
        <f>IF(('2回目フォームの回答 '!AE5="ほとんどなかった"),1,(IF(('2回目フォームの回答 '!AE5="ときどきあった"),2,(IF(('2回目フォームの回答 '!AE5="しばしばあった"),3,(IF(('2回目フォームの回答 '!AE5="ほとんどいつもあった"),4,"")))))))</f>
        <v>1</v>
      </c>
      <c r="AZ5" s="1">
        <f>IF(('2回目フォームの回答 '!AF5="ほとんどなかった"),1,(IF(('2回目フォームの回答 '!AF5="ときどきあった"),2,(IF(('2回目フォームの回答 '!AF5="しばしばあった"),3,(IF(('2回目フォームの回答 '!AF5="ほとんどいつもあった"),4,"")))))))</f>
        <v>1</v>
      </c>
      <c r="BA5" s="1">
        <f>IF(('2回目フォームの回答 '!AG5="ほとんどなかった"),1,(IF(('2回目フォームの回答 '!AG5="ときどきあった"),2,(IF(('2回目フォームの回答 '!AG5="しばしばあった"),3,(IF(('2回目フォームの回答 '!AG5="ほとんどいつもあった"),4,"")))))))</f>
        <v>1</v>
      </c>
      <c r="BB5" s="1">
        <f>IF(('2回目フォームの回答 '!AH5="ほとんどなかった"),1,(IF(('2回目フォームの回答 '!AH5="ときどきあった"),2,(IF(('2回目フォームの回答 '!AH5="しばしばあった"),3,(IF(('2回目フォームの回答 '!AH5="ほとんどいつもあった"),4,"")))))))</f>
        <v>2</v>
      </c>
      <c r="BC5" s="1">
        <f>IF(('2回目フォームの回答 '!AI5="ほとんどなかった"),1,(IF(('2回目フォームの回答 '!AI5="ときどきあった"),2,(IF(('2回目フォームの回答 '!AI5="しばしばあった"),3,(IF(('2回目フォームの回答 '!AI5="ほとんどいつもあった"),4,"")))))))</f>
        <v>2</v>
      </c>
      <c r="BD5" s="1">
        <f>IF(('2回目フォームの回答 '!AJ5="ほとんどなかった"),1,(IF(('2回目フォームの回答 '!AJ5="ときどきあった"),2,(IF(('2回目フォームの回答 '!AJ5="しばしばあった"),3,(IF(('2回目フォームの回答 '!AJ5="ほとんどいつもあった"),4,"")))))))</f>
        <v>1</v>
      </c>
      <c r="BE5" s="1">
        <f>IF(('2回目フォームの回答 '!AK5="ほとんどなかった"),1,(IF(('2回目フォームの回答 '!AK5="ときどきあった"),2,(IF(('2回目フォームの回答 '!AK5="しばしばあった"),3,(IF(('2回目フォームの回答 '!AK5="ほとんどいつもあった"),4,"")))))))</f>
        <v>2</v>
      </c>
      <c r="BF5" s="1">
        <f>IF(('2回目フォームの回答 '!AL5="ほとんどなかった"),1,(IF(('2回目フォームの回答 '!AL5="ときどきあった"),2,(IF(('2回目フォームの回答 '!AL5="しばしばあった"),3,(IF(('2回目フォームの回答 '!AL5="ほとんどいつもあった"),4,"")))))))</f>
        <v>1</v>
      </c>
      <c r="BG5" s="1">
        <f>IF(('2回目フォームの回答 '!AM5="ほとんどなかった"),1,(IF(('2回目フォームの回答 '!AM5="ときどきあった"),2,(IF(('2回目フォームの回答 '!AM5="しばしばあった"),3,(IF(('2回目フォームの回答 '!AM5="ほとんどいつもあった"),4,"")))))))</f>
        <v>1</v>
      </c>
      <c r="BH5" s="1">
        <f>IF(('2回目フォームの回答 '!AN5="ほとんどなかった"),1,(IF(('2回目フォームの回答 '!AN5="ときどきあった"),2,(IF(('2回目フォームの回答 '!AN5="しばしばあった"),3,(IF(('2回目フォームの回答 '!AN5="ほとんどいつもあった"),4,"")))))))</f>
        <v>1</v>
      </c>
      <c r="BI5" s="1">
        <f>IF(('2回目フォームの回答 '!AO5="ほとんどなかった"),1,(IF(('2回目フォームの回答 '!AO5="ときどきあった"),2,(IF(('2回目フォームの回答 '!AO5="しばしばあった"),3,(IF(('2回目フォームの回答 '!AO5="ほとんどいつもあった"),4,"")))))))</f>
        <v>1</v>
      </c>
      <c r="BJ5" s="1">
        <f>IF(('2回目フォームの回答 '!AP5="ほとんどなかった"),1,(IF(('2回目フォームの回答 '!AP5="ときどきあった"),2,(IF(('2回目フォームの回答 '!AP5="しばしばあった"),3,(IF(('2回目フォームの回答 '!AP5="ほとんどいつもあった"),4,"")))))))</f>
        <v>1</v>
      </c>
      <c r="BK5" s="1">
        <f>IF(('2回目フォームの回答 '!AQ5="ほとんどなかった"),1,(IF(('2回目フォームの回答 '!AQ5="ときどきあった"),2,(IF(('2回目フォームの回答 '!AQ5="しばしばあった"),3,(IF(('2回目フォームの回答 '!AQ5="ほとんどいつもあった"),4,"")))))))</f>
        <v>2</v>
      </c>
      <c r="BL5" s="1">
        <f>IF(('2回目フォームの回答 '!AR5="ほとんどなかった"),1,(IF(('2回目フォームの回答 '!AR5="ときどきあった"),2,(IF(('2回目フォームの回答 '!AR5="しばしばあった"),3,(IF(('2回目フォームの回答 '!AR5="ほとんどいつもあった"),4,"")))))))</f>
        <v>1</v>
      </c>
      <c r="BM5" s="1">
        <f>IF(('2回目フォームの回答 '!AS5="ほとんどなかった"),1,(IF(('2回目フォームの回答 '!AS5="ときどきあった"),2,(IF(('2回目フォームの回答 '!AS5="しばしばあった"),3,(IF(('2回目フォームの回答 '!AS5="ほとんどいつもあった"),4,"")))))))</f>
        <v>1</v>
      </c>
      <c r="BN5" s="1">
        <f>IF(('2回目フォームの回答 '!AT5="ほとんどなかった"),1,(IF(('2回目フォームの回答 '!AT5="ときどきあった"),2,(IF(('2回目フォームの回答 '!AT5="しばしばあった"),3,(IF(('2回目フォームの回答 '!AT5="ほとんどいつもあった"),4,"")))))))</f>
        <v>1</v>
      </c>
      <c r="BO5" s="1">
        <f>IF(('2回目フォームの回答 '!AU5="ほとんどなかった"),1,(IF(('2回目フォームの回答 '!AU5="ときどきあった"),2,(IF(('2回目フォームの回答 '!AU5="しばしばあった"),3,(IF(('2回目フォームの回答 '!AU5="ほとんどいつもあった"),4,"")))))))</f>
        <v>1</v>
      </c>
      <c r="BP5" s="1">
        <f>IF(('2回目フォームの回答 '!AV5="ほとんどなかった"),1,(IF(('2回目フォームの回答 '!AV5="ときどきあった"),2,(IF(('2回目フォームの回答 '!AV5="しばしばあった"),3,(IF(('2回目フォームの回答 '!AV5="ほとんどいつもあった"),4,"")))))))</f>
        <v>1</v>
      </c>
      <c r="BQ5" s="1">
        <f t="shared" si="26"/>
        <v>11</v>
      </c>
      <c r="BR5" s="1">
        <f t="shared" si="27"/>
        <v>1</v>
      </c>
      <c r="BS5" s="1">
        <f t="shared" si="28"/>
        <v>6</v>
      </c>
      <c r="BT5" s="1">
        <f t="shared" si="2"/>
        <v>3</v>
      </c>
      <c r="BU5" s="1">
        <f t="shared" si="3"/>
        <v>4</v>
      </c>
      <c r="BV5" s="1">
        <f t="shared" si="4"/>
        <v>2</v>
      </c>
      <c r="BW5" s="1">
        <f t="shared" si="29"/>
        <v>5</v>
      </c>
      <c r="BX5" s="1">
        <f t="shared" si="5"/>
        <v>3</v>
      </c>
      <c r="BY5" s="1">
        <f t="shared" si="30"/>
        <v>9</v>
      </c>
      <c r="BZ5" s="1">
        <f t="shared" si="6"/>
        <v>3</v>
      </c>
      <c r="CA5" s="1">
        <f t="shared" si="31"/>
        <v>12</v>
      </c>
      <c r="CB5" s="1">
        <f t="shared" si="32"/>
        <v>2</v>
      </c>
      <c r="CC5" s="1">
        <f>IF(('2回目フォームの回答 '!AW5="非常に"),1,(IF(('2回目フォームの回答 '!AW5="かなり"),2,(IF(('2回目フォームの回答 '!AW5="多少"),3,(IF(('2回目フォームの回答 '!AW5="全くない"),4,"")))))))</f>
        <v>1</v>
      </c>
      <c r="CD5" s="1">
        <f>IF(('2回目フォームの回答 '!AX5="非常に"),1,(IF(('2回目フォームの回答 '!AX5="かなり"),2,(IF(('2回目フォームの回答 '!AX5="多少"),3,(IF(('2回目フォームの回答 '!AX5="全くない"),4,"")))))))</f>
        <v>1</v>
      </c>
      <c r="CE5" s="1">
        <f>IF(('2回目フォームの回答 '!AY5="非常に"),1,(IF(('2回目フォームの回答 '!AY5="かなり"),2,(IF(('2回目フォームの回答 '!AY5="多少"),3,(IF(('2回目フォームの回答 '!AY5="全くない"),4,"")))))))</f>
        <v>1</v>
      </c>
      <c r="CF5" s="1">
        <f>IF(('2回目フォームの回答 '!AZ5="非常に"),1,(IF(('2回目フォームの回答 '!AZ5="かなり"),2,(IF(('2回目フォームの回答 '!AZ5="多少"),3,(IF(('2回目フォームの回答 '!AZ5="全くない"),4,"")))))))</f>
        <v>3</v>
      </c>
      <c r="CG5" s="1">
        <f>IF(('2回目フォームの回答 '!BA5="非常に"),1,(IF(('2回目フォームの回答 '!BA5="かなり"),2,(IF(('2回目フォームの回答 '!BA5="多少"),3,(IF(('2回目フォームの回答 '!BA5="全くない"),4,"")))))))</f>
        <v>3</v>
      </c>
      <c r="CH5" s="1">
        <f>IF(('2回目フォームの回答 '!BB5="非常に"),1,(IF(('2回目フォームの回答 '!BB5="かなり"),2,(IF(('2回目フォームの回答 '!BB5="多少"),3,(IF(('2回目フォームの回答 '!BB5="全くない"),4,"")))))))</f>
        <v>3</v>
      </c>
      <c r="CI5" s="1">
        <f>IF(('2回目フォームの回答 '!BC5="非常に"),1,(IF(('2回目フォームの回答 '!BC5="かなり"),2,(IF(('2回目フォームの回答 '!BC5="多少"),3,(IF(('2回目フォームの回答 '!BC5="全くない"),4,"")))))))</f>
        <v>2</v>
      </c>
      <c r="CJ5" s="1">
        <f>IF(('2回目フォームの回答 '!BD5="非常に"),1,(IF(('2回目フォームの回答 '!BD5="かなり"),2,(IF(('2回目フォームの回答 '!BD5="多少"),3,(IF(('2回目フォームの回答 '!BD5="全くない"),4,"")))))))</f>
        <v>2</v>
      </c>
      <c r="CK5" s="1">
        <f>IF(('2回目フォームの回答 '!BE5="非常に"),1,(IF(('2回目フォームの回答 '!BE5="かなり"),2,(IF(('2回目フォームの回答 '!BE5="多少"),3,(IF(('2回目フォームの回答 '!BE5="全くない"),4,"")))))))</f>
        <v>2</v>
      </c>
      <c r="CL5" s="1">
        <f>IF(('2回目フォームの回答 '!BF5="満足"),1,(IF(('2回目フォームの回答 '!BF5="まぁ満足"),2,(IF(('2回目フォームの回答 '!BF5="やや満足"),3,(IF(('2回目フォームの回答 '!BF5="不満足"),4,"")))))))</f>
        <v>1</v>
      </c>
      <c r="CM5" s="1">
        <f>IF(('2回目フォームの回答 '!BG5="満足"),1,(IF(('2回目フォームの回答 '!BG5="まぁ満足"),2,(IF(('2回目フォームの回答 '!BG5="やや満足"),3,(IF(('2回目フォームの回答 '!BG5="不満足"),4,"")))))))</f>
        <v>3</v>
      </c>
      <c r="CN5" s="1">
        <f t="shared" si="33"/>
        <v>9</v>
      </c>
      <c r="CO5" s="1">
        <f t="shared" si="7"/>
        <v>2</v>
      </c>
      <c r="CP5" s="1">
        <f t="shared" si="34"/>
        <v>9</v>
      </c>
      <c r="CQ5" s="1">
        <f t="shared" si="8"/>
        <v>3</v>
      </c>
      <c r="CR5" s="1">
        <f t="shared" si="35"/>
        <v>9</v>
      </c>
      <c r="CS5" s="1">
        <f t="shared" si="36"/>
        <v>3</v>
      </c>
      <c r="CT5" s="1">
        <f t="shared" si="37"/>
        <v>6</v>
      </c>
      <c r="CU5" s="1">
        <f t="shared" si="9"/>
        <v>3</v>
      </c>
      <c r="CV5" s="1">
        <f t="shared" si="38"/>
        <v>14</v>
      </c>
      <c r="CW5" s="1">
        <f t="shared" si="39"/>
        <v>19</v>
      </c>
      <c r="CX5" s="1">
        <f t="shared" si="10"/>
        <v>8</v>
      </c>
      <c r="CY5" s="29" t="str">
        <f t="shared" si="40"/>
        <v>低</v>
      </c>
      <c r="CZ5" s="1">
        <f>'2回目フォームの回答 '!BH5</f>
        <v>0.9</v>
      </c>
      <c r="DA5" s="2">
        <f t="shared" si="41"/>
        <v>9.9999999999999978E-2</v>
      </c>
      <c r="DB5" s="1">
        <f>IF(('2回目フォームの回答 '!BI5="いつもより寝つきは良い"),0,(IF(('2回目フォームの回答 '!BI5="いつもより少し時間がかかった"),1,(IF(('2回目フォームの回答 '!BI5="いつもよりかなり時間がかかった"),2,(IF(('2回目フォームの回答 '!BI5="いつもより非常に時間がかかった、あるいは全く眠れなかった"),3,"")))))))</f>
        <v>1</v>
      </c>
      <c r="DC5" s="1">
        <f>IF(('2回目フォームの回答 '!BJ5="問題になるほどのことはなかった"),0,(IF(('2回目フォームの回答 '!BJ5="少し困ることがある"),1,(IF(('2回目フォームの回答 '!BJ5="かなり困っている"),2,(IF(('2回目フォームの回答 '!BJ5="深刻な状態、あるいは全く眠れなかった"),3,"")))))))</f>
        <v>0</v>
      </c>
      <c r="DD5" s="1">
        <f>IF(('2回目フォームの回答 '!BK5="そのようなことはなかった"),0,(IF(('2回目フォームの回答 '!BK5="少し早かった"),1,(IF(('2回目フォームの回答 '!BK5="かなり早かった"),2,(IF(('2回目フォームの回答 '!BK5="非常に早かった、あるいは全く眠れなかった"),3,"")))))))</f>
        <v>1</v>
      </c>
      <c r="DE5" s="1">
        <f>IF(('2回目フォームの回答 '!BL5="十分である"),0,(IF(('2回目フォームの回答 '!BL5="少し足りない"),1,(IF(('2回目フォームの回答 '!BL5="かなり足りない"),2,(IF(('2回目フォームの回答 '!BL5="全く足りない、あるいは全く眠れなかった"),3,"")))))))</f>
        <v>1</v>
      </c>
      <c r="DF5" s="1">
        <f>IF(('2回目フォームの回答 '!BM5="満足している"),0,(IF(('2回目フォームの回答 '!BM5="少し不満である"),1,(IF(('2回目フォームの回答 '!BM5="かなり不満である"),2,(IF(('2回目フォームの回答 '!BM5="非常に不満である、あるいは全く眠れなかった"),3,"")))))))</f>
        <v>1</v>
      </c>
      <c r="DG5" s="1">
        <f>IF(('2回目フォームの回答 '!BN5="いつもどおり"),0,(IF(('2回目フォームの回答 '!BN5="少し滅入った"),1,(IF(('2回目フォームの回答 '!BN5="かなり滅入った"),2,(IF(('2回目フォームの回答 '!BN5="非常に滅入った"),3,"")))))))</f>
        <v>0</v>
      </c>
      <c r="DH5" s="1">
        <f>IF(('2回目フォームの回答 '!BO5="いつもどおり"),0,(IF(('2回目フォームの回答 '!BO5="少し低下した"),1,(IF(('2回目フォームの回答 '!BO5="かなり低下した"),2,(IF(('2回目フォームの回答 '!BO5="非常に低下した"),3,"")))))))</f>
        <v>0</v>
      </c>
      <c r="DI5" s="1">
        <f>IF(('2回目フォームの回答 '!BP5="全くなかった"),0,(IF(('2回目フォームの回答 '!BP5="少しあった"),1,(IF(('2回目フォームの回答 '!BP5="かなりあった"),2,(IF(('2回目フォームの回答 '!BP5="激しかった"),3,"")))))))</f>
        <v>1</v>
      </c>
      <c r="DJ5">
        <f t="shared" si="42"/>
        <v>5</v>
      </c>
      <c r="DK5" s="4" t="str">
        <f t="shared" si="43"/>
        <v>中</v>
      </c>
      <c r="DL5" s="5">
        <v>9.5</v>
      </c>
      <c r="DM5" s="5">
        <v>9.1999999999999993</v>
      </c>
      <c r="DN5" s="5">
        <v>9.6</v>
      </c>
      <c r="DO5" s="5">
        <f t="shared" si="44"/>
        <v>28.299999999999997</v>
      </c>
      <c r="DP5" s="5"/>
      <c r="DQ5" s="5" t="s">
        <v>200</v>
      </c>
      <c r="DR5" s="5"/>
      <c r="DS5" s="71"/>
      <c r="DT5" s="66" t="e">
        <v>#N/A</v>
      </c>
      <c r="DU5" s="59" t="e">
        <f>INDEX('1回目結果'!DR:DR,MATCH($DT5,'1回目結果'!$A:$A,0))</f>
        <v>#N/A</v>
      </c>
      <c r="DV5" s="59" t="e">
        <f>INDEX('1回目結果'!DS:DS,MATCH($DT5,'1回目結果'!$A:$A,0))</f>
        <v>#N/A</v>
      </c>
      <c r="DW5" s="59" t="e">
        <f>INDEX('1回目結果'!DT:DT,MATCH($DT5,'1回目結果'!$A:$A,0))</f>
        <v>#N/A</v>
      </c>
      <c r="DX5" s="59" t="e">
        <f>INDEX('1回目結果'!DU:DU,MATCH($DT5,'1回目結果'!$A:$A,0))</f>
        <v>#N/A</v>
      </c>
      <c r="DY5" s="59" t="str">
        <f>IFERROR(INDEX('1回目結果'!DL:DL,MATCH('2回目結果'!$DT5,'1回目結果'!$A:$A,0)),"")</f>
        <v/>
      </c>
      <c r="DZ5" s="59" t="str">
        <f>IFERROR(INDEX('1回目結果'!DM:DM,MATCH('2回目結果'!$DT5,'1回目結果'!$A:$A,0)),"")</f>
        <v/>
      </c>
      <c r="EA5" s="59" t="str">
        <f>IFERROR(INDEX('1回目結果'!DN:DN,MATCH('2回目結果'!$DT5,'1回目結果'!$A:$A,0)),"")</f>
        <v/>
      </c>
      <c r="EB5" s="59" t="str">
        <f>IFERROR(INDEX('1回目結果'!DO:DO,MATCH('2回目結果'!$DT5,'1回目結果'!$A:$A,0)),"")</f>
        <v/>
      </c>
      <c r="EC5" s="59" t="str">
        <f>IFERROR(INDEX('1回目結果'!DP:DP,MATCH('2回目結果'!$DT5,'1回目結果'!$A:$A,0)),"")</f>
        <v/>
      </c>
      <c r="ED5" s="59" t="str">
        <f>IFERROR(INDEX('1回目結果'!DQ:DQ,MATCH('2回目結果'!$DT5,'1回目結果'!$A:$A,0)),"")</f>
        <v/>
      </c>
      <c r="EE5" s="54">
        <v>2.028</v>
      </c>
      <c r="EF5" s="54">
        <v>204.98</v>
      </c>
      <c r="EG5" s="54">
        <v>0.99</v>
      </c>
      <c r="EH5" s="54">
        <v>50</v>
      </c>
      <c r="EI5" s="43" t="s">
        <v>115</v>
      </c>
      <c r="EJ5" s="44" t="e">
        <f t="shared" si="45"/>
        <v>#N/A</v>
      </c>
      <c r="EK5" s="44" t="e">
        <f t="shared" si="49"/>
        <v>#N/A</v>
      </c>
      <c r="EL5" t="e">
        <f t="shared" si="46"/>
        <v>#VALUE!</v>
      </c>
      <c r="EM5" t="e">
        <f t="shared" si="47"/>
        <v>#VALUE!</v>
      </c>
    </row>
    <row r="6" spans="1:143" ht="15.75" customHeight="1">
      <c r="A6" s="1">
        <v>325</v>
      </c>
      <c r="B6" s="24" t="s">
        <v>140</v>
      </c>
      <c r="C6" s="52">
        <v>35811</v>
      </c>
      <c r="D6" s="38">
        <v>26</v>
      </c>
      <c r="E6" s="1">
        <f>IF(('2回目フォームの回答 '!C6="そうだ"),1,(IF(('2回目フォームの回答 '!C6="まぁそうだ"),2,(IF(('2回目フォームの回答 '!C6="ややちがう"),3,(IF(('2回目フォームの回答 '!C6="ちがう"),4,"")))))))</f>
        <v>1</v>
      </c>
      <c r="F6" s="1">
        <f>IF(('2回目フォームの回答 '!D6="そうだ"),1,(IF(('2回目フォームの回答 '!D6="まぁそうだ"),2,(IF(('2回目フォームの回答 '!D6="ややちがう"),3,(IF(('2回目フォームの回答 '!D6="ちがう"),4,"")))))))</f>
        <v>2</v>
      </c>
      <c r="G6" s="1">
        <f>IF(('2回目フォームの回答 '!E6="そうだ"),1,(IF(('2回目フォームの回答 '!E6="まぁそうだ"),2,(IF(('2回目フォームの回答 '!E6="ややちがう"),3,(IF(('2回目フォームの回答 '!E6="ちがう"),4,"")))))))</f>
        <v>2</v>
      </c>
      <c r="H6" s="1">
        <f>IF(('2回目フォームの回答 '!F6="そうだ"),1,(IF(('2回目フォームの回答 '!F6="まぁそうだ"),2,(IF(('2回目フォームの回答 '!F6="ややちがう"),3,(IF(('2回目フォームの回答 '!F6="ちがう"),4,"")))))))</f>
        <v>2</v>
      </c>
      <c r="I6" s="1">
        <f>IF(('2回目フォームの回答 '!G6="そうだ"),1,(IF(('2回目フォームの回答 '!G6="まぁそうだ"),2,(IF(('2回目フォームの回答 '!G6="ややちがう"),3,(IF(('2回目フォームの回答 '!G6="ちがう"),4,"")))))))</f>
        <v>3</v>
      </c>
      <c r="J6" s="1">
        <f>IF(('2回目フォームの回答 '!H6="そうだ"),1,(IF(('2回目フォームの回答 '!H6="まぁそうだ"),2,(IF(('2回目フォームの回答 '!H6="ややちがう"),3,(IF(('2回目フォームの回答 '!H6="ちがう"),4,"")))))))</f>
        <v>3</v>
      </c>
      <c r="K6" s="1">
        <f>IF(('2回目フォームの回答 '!I6="そうだ"),1,(IF(('2回目フォームの回答 '!I6="まぁそうだ"),2,(IF(('2回目フォームの回答 '!I6="ややちがう"),3,(IF(('2回目フォームの回答 '!I6="ちがう"),4,"")))))))</f>
        <v>3</v>
      </c>
      <c r="L6" s="1">
        <f>IF(('2回目フォームの回答 '!J6="そうだ"),1,(IF(('2回目フォームの回答 '!J6="まぁそうだ"),2,(IF(('2回目フォームの回答 '!J6="ややちがう"),3,(IF(('2回目フォームの回答 '!J6="ちがう"),4,"")))))))</f>
        <v>2</v>
      </c>
      <c r="M6" s="1">
        <f>IF(('2回目フォームの回答 '!K6="そうだ"),1,(IF(('2回目フォームの回答 '!K6="まぁそうだ"),2,(IF(('2回目フォームの回答 '!K6="ややちがう"),3,(IF(('2回目フォームの回答 '!K6="ちがう"),4,"")))))))</f>
        <v>1</v>
      </c>
      <c r="N6" s="1">
        <f>IF(('2回目フォームの回答 '!L6="そうだ"),1,(IF(('2回目フォームの回答 '!L6="まぁそうだ"),2,(IF(('2回目フォームの回答 '!L6="ややちがう"),3,(IF(('2回目フォームの回答 '!L6="ちがう"),4,"")))))))</f>
        <v>1</v>
      </c>
      <c r="O6" s="1">
        <f>IF(('2回目フォームの回答 '!M6="そうだ"),1,(IF(('2回目フォームの回答 '!M6="まぁそうだ"),2,(IF(('2回目フォームの回答 '!M6="ややちがう"),3,(IF(('2回目フォームの回答 '!M6="ちがう"),4,"")))))))</f>
        <v>4</v>
      </c>
      <c r="P6" s="1">
        <f>IF(('2回目フォームの回答 '!N6="そうだ"),1,(IF(('2回目フォームの回答 '!N6="まぁそうだ"),2,(IF(('2回目フォームの回答 '!N6="ややちがう"),3,(IF(('2回目フォームの回答 '!N6="ちがう"),4,"")))))))</f>
        <v>2</v>
      </c>
      <c r="Q6" s="1">
        <f>IF(('2回目フォームの回答 '!O6="そうだ"),1,(IF(('2回目フォームの回答 '!O6="まぁそうだ"),2,(IF(('2回目フォームの回答 '!O6="ややちがう"),3,(IF(('2回目フォームの回答 '!O6="ちがう"),4,"")))))))</f>
        <v>4</v>
      </c>
      <c r="R6" s="1">
        <f>IF(('2回目フォームの回答 '!P6="そうだ"),1,(IF(('2回目フォームの回答 '!P6="まぁそうだ"),2,(IF(('2回目フォームの回答 '!P6="ややちがう"),3,(IF(('2回目フォームの回答 '!P6="ちがう"),4,"")))))))</f>
        <v>1</v>
      </c>
      <c r="S6" s="1">
        <f>IF(('2回目フォームの回答 '!Q6="そうだ"),1,(IF(('2回目フォームの回答 '!Q6="まぁそうだ"),2,(IF(('2回目フォームの回答 '!Q6="ややちがう"),3,(IF(('2回目フォームの回答 '!Q6="ちがう"),4,"")))))))</f>
        <v>4</v>
      </c>
      <c r="T6" s="1">
        <f>IF(('2回目フォームの回答 '!R6="そうだ"),1,(IF(('2回目フォームの回答 '!R6="まぁそうだ"),2,(IF(('2回目フォームの回答 '!R6="ややちがう"),3,(IF(('2回目フォームの回答 '!R6="ちがう"),4,"")))))))</f>
        <v>2</v>
      </c>
      <c r="U6" s="1">
        <f>IF(('2回目フォームの回答 '!S6="そうだ"),1,(IF(('2回目フォームの回答 '!S6="まぁそうだ"),2,(IF(('2回目フォームの回答 '!S6="ややちがう"),3,(IF(('2回目フォームの回答 '!S6="ちがう"),4,"")))))))</f>
        <v>2</v>
      </c>
      <c r="V6" s="1">
        <f t="shared" si="48"/>
        <v>10</v>
      </c>
      <c r="W6" s="1">
        <f t="shared" si="11"/>
        <v>4</v>
      </c>
      <c r="X6" s="1">
        <f t="shared" si="12"/>
        <v>7</v>
      </c>
      <c r="Y6" s="1">
        <f t="shared" si="13"/>
        <v>3</v>
      </c>
      <c r="Z6" s="1">
        <f t="shared" si="14"/>
        <v>2</v>
      </c>
      <c r="AA6" s="1">
        <f t="shared" si="15"/>
        <v>3</v>
      </c>
      <c r="AB6" s="1">
        <f t="shared" si="16"/>
        <v>5</v>
      </c>
      <c r="AC6" s="1">
        <f t="shared" si="17"/>
        <v>2</v>
      </c>
      <c r="AD6" s="1">
        <f t="shared" si="18"/>
        <v>1</v>
      </c>
      <c r="AE6" s="1">
        <f t="shared" si="0"/>
        <v>1</v>
      </c>
      <c r="AF6" s="1">
        <f t="shared" si="19"/>
        <v>11</v>
      </c>
      <c r="AG6" s="1">
        <f t="shared" si="1"/>
        <v>1</v>
      </c>
      <c r="AH6" s="1">
        <f t="shared" si="20"/>
        <v>4</v>
      </c>
      <c r="AI6" s="1">
        <f t="shared" si="21"/>
        <v>2</v>
      </c>
      <c r="AJ6" s="1">
        <f t="shared" si="22"/>
        <v>3</v>
      </c>
      <c r="AK6" s="1">
        <f t="shared" si="23"/>
        <v>3</v>
      </c>
      <c r="AL6" s="1">
        <f t="shared" si="24"/>
        <v>3</v>
      </c>
      <c r="AM6" s="1">
        <f t="shared" si="25"/>
        <v>3</v>
      </c>
      <c r="AN6" s="1">
        <f>IF(('2回目フォームの回答 '!T6="ほとんどなかった"),1,(IF(('2回目フォームの回答 '!T6="ときどきあった"),2,(IF(('2回目フォームの回答 '!T6="しばしばあった"),3,(IF(('2回目フォームの回答 '!T6="ほとんどいつもあった"),4,"")))))))</f>
        <v>2</v>
      </c>
      <c r="AO6" s="1">
        <f>IF(('2回目フォームの回答 '!U6="ほとんどなかった"),1,(IF(('2回目フォームの回答 '!U6="ときどきあった"),2,(IF(('2回目フォームの回答 '!U6="しばしばあった"),3,(IF(('2回目フォームの回答 '!U6="ほとんどいつもあった"),4,"")))))))</f>
        <v>2</v>
      </c>
      <c r="AP6" s="1">
        <f>IF(('2回目フォームの回答 '!V6="ほとんどなかった"),1,(IF(('2回目フォームの回答 '!V6="ときどきあった"),2,(IF(('2回目フォームの回答 '!V6="しばしばあった"),3,(IF(('2回目フォームの回答 '!V6="ほとんどいつもあった"),4,"")))))))</f>
        <v>2</v>
      </c>
      <c r="AQ6" s="1">
        <f>IF(('2回目フォームの回答 '!W6="ほとんどなかった"),1,(IF(('2回目フォームの回答 '!W6="ときどきあった"),2,(IF(('2回目フォームの回答 '!W6="しばしばあった"),3,(IF(('2回目フォームの回答 '!W6="ほとんどいつもあった"),4,"")))))))</f>
        <v>1</v>
      </c>
      <c r="AR6" s="1">
        <f>IF(('2回目フォームの回答 '!X6="ほとんどなかった"),1,(IF(('2回目フォームの回答 '!X6="ときどきあった"),2,(IF(('2回目フォームの回答 '!X6="しばしばあった"),3,(IF(('2回目フォームの回答 '!X6="ほとんどいつもあった"),4,"")))))))</f>
        <v>1</v>
      </c>
      <c r="AS6" s="1">
        <f>IF(('2回目フォームの回答 '!Y6="ほとんどなかった"),1,(IF(('2回目フォームの回答 '!Y6="ときどきあった"),2,(IF(('2回目フォームの回答 '!Y6="しばしばあった"),3,(IF(('2回目フォームの回答 '!Y6="ほとんどいつもあった"),4,"")))))))</f>
        <v>2</v>
      </c>
      <c r="AT6" s="1">
        <f>IF(('2回目フォームの回答 '!Z6="ほとんどなかった"),1,(IF(('2回目フォームの回答 '!Z6="ときどきあった"),2,(IF(('2回目フォームの回答 '!Z6="しばしばあった"),3,(IF(('2回目フォームの回答 '!Z6="ほとんどいつもあった"),4,"")))))))</f>
        <v>2</v>
      </c>
      <c r="AU6" s="1">
        <f>IF(('2回目フォームの回答 '!AA6="ほとんどなかった"),1,(IF(('2回目フォームの回答 '!AA6="ときどきあった"),2,(IF(('2回目フォームの回答 '!AA6="しばしばあった"),3,(IF(('2回目フォームの回答 '!AA6="ほとんどいつもあった"),4,"")))))))</f>
        <v>2</v>
      </c>
      <c r="AV6" s="1">
        <f>IF(('2回目フォームの回答 '!AB6="ほとんどなかった"),1,(IF(('2回目フォームの回答 '!AB6="ときどきばあった"),2,(IF(('2回目フォームの回答 '!AB6="しばしばあった"),3,(IF(('2回目フォームの回答 '!AB6="ほとんどいつもあった"),4,"")))))))</f>
        <v>2</v>
      </c>
      <c r="AW6" s="1">
        <f>IF(('2回目フォームの回答 '!AC6="ほとんどなかった"),1,(IF(('2回目フォームの回答 '!AC6="ときどきあった"),2,(IF(('2回目フォームの回答 '!AC6="しばしばあった"),3,(IF(('2回目フォームの回答 '!AC6="ほとんどいつもあった"),4,"")))))))</f>
        <v>1</v>
      </c>
      <c r="AX6" s="1">
        <f>IF(('2回目フォームの回答 '!AD6="ほとんどなかった"),1,(IF(('2回目フォームの回答 '!AD6="ときどきあった"),2,(IF(('2回目フォームの回答 '!AD6="しばしばあった"),3,(IF(('2回目フォームの回答 '!AD6="ほとんどいつもあった"),4,"")))))))</f>
        <v>1</v>
      </c>
      <c r="AY6" s="1">
        <f>IF(('2回目フォームの回答 '!AE6="ほとんどなかった"),1,(IF(('2回目フォームの回答 '!AE6="ときどきあった"),2,(IF(('2回目フォームの回答 '!AE6="しばしばあった"),3,(IF(('2回目フォームの回答 '!AE6="ほとんどいつもあった"),4,"")))))))</f>
        <v>1</v>
      </c>
      <c r="AZ6" s="1">
        <f>IF(('2回目フォームの回答 '!AF6="ほとんどなかった"),1,(IF(('2回目フォームの回答 '!AF6="ときどきあった"),2,(IF(('2回目フォームの回答 '!AF6="しばしばあった"),3,(IF(('2回目フォームの回答 '!AF6="ほとんどいつもあった"),4,"")))))))</f>
        <v>2</v>
      </c>
      <c r="BA6" s="1">
        <f>IF(('2回目フォームの回答 '!AG6="ほとんどなかった"),1,(IF(('2回目フォームの回答 '!AG6="ときどきあった"),2,(IF(('2回目フォームの回答 '!AG6="しばしばあった"),3,(IF(('2回目フォームの回答 '!AG6="ほとんどいつもあった"),4,"")))))))</f>
        <v>1</v>
      </c>
      <c r="BB6" s="1">
        <f>IF(('2回目フォームの回答 '!AH6="ほとんどなかった"),1,(IF(('2回目フォームの回答 '!AH6="ときどきあった"),2,(IF(('2回目フォームの回答 '!AH6="しばしばあった"),3,(IF(('2回目フォームの回答 '!AH6="ほとんどいつもあった"),4,"")))))))</f>
        <v>2</v>
      </c>
      <c r="BC6" s="1">
        <f>IF(('2回目フォームの回答 '!AI6="ほとんどなかった"),1,(IF(('2回目フォームの回答 '!AI6="ときどきあった"),2,(IF(('2回目フォームの回答 '!AI6="しばしばあった"),3,(IF(('2回目フォームの回答 '!AI6="ほとんどいつもあった"),4,"")))))))</f>
        <v>2</v>
      </c>
      <c r="BD6" s="1">
        <f>IF(('2回目フォームの回答 '!AJ6="ほとんどなかった"),1,(IF(('2回目フォームの回答 '!AJ6="ときどきあった"),2,(IF(('2回目フォームの回答 '!AJ6="しばしばあった"),3,(IF(('2回目フォームの回答 '!AJ6="ほとんどいつもあった"),4,"")))))))</f>
        <v>1</v>
      </c>
      <c r="BE6" s="1">
        <f>IF(('2回目フォームの回答 '!AK6="ほとんどなかった"),1,(IF(('2回目フォームの回答 '!AK6="ときどきあった"),2,(IF(('2回目フォームの回答 '!AK6="しばしばあった"),3,(IF(('2回目フォームの回答 '!AK6="ほとんどいつもあった"),4,"")))))))</f>
        <v>1</v>
      </c>
      <c r="BF6" s="1">
        <f>IF(('2回目フォームの回答 '!AL6="ほとんどなかった"),1,(IF(('2回目フォームの回答 '!AL6="ときどきあった"),2,(IF(('2回目フォームの回答 '!AL6="しばしばあった"),3,(IF(('2回目フォームの回答 '!AL6="ほとんどいつもあった"),4,"")))))))</f>
        <v>1</v>
      </c>
      <c r="BG6" s="1">
        <f>IF(('2回目フォームの回答 '!AM6="ほとんどなかった"),1,(IF(('2回目フォームの回答 '!AM6="ときどきあった"),2,(IF(('2回目フォームの回答 '!AM6="しばしばあった"),3,(IF(('2回目フォームの回答 '!AM6="ほとんどいつもあった"),4,"")))))))</f>
        <v>1</v>
      </c>
      <c r="BH6" s="1">
        <f>IF(('2回目フォームの回答 '!AN6="ほとんどなかった"),1,(IF(('2回目フォームの回答 '!AN6="ときどきあった"),2,(IF(('2回目フォームの回答 '!AN6="しばしばあった"),3,(IF(('2回目フォームの回答 '!AN6="ほとんどいつもあった"),4,"")))))))</f>
        <v>2</v>
      </c>
      <c r="BI6" s="1">
        <f>IF(('2回目フォームの回答 '!AO6="ほとんどなかった"),1,(IF(('2回目フォームの回答 '!AO6="ときどきあった"),2,(IF(('2回目フォームの回答 '!AO6="しばしばあった"),3,(IF(('2回目フォームの回答 '!AO6="ほとんどいつもあった"),4,"")))))))</f>
        <v>3</v>
      </c>
      <c r="BJ6" s="1">
        <f>IF(('2回目フォームの回答 '!AP6="ほとんどなかった"),1,(IF(('2回目フォームの回答 '!AP6="ときどきあった"),2,(IF(('2回目フォームの回答 '!AP6="しばしばあった"),3,(IF(('2回目フォームの回答 '!AP6="ほとんどいつもあった"),4,"")))))))</f>
        <v>3</v>
      </c>
      <c r="BK6" s="1">
        <f>IF(('2回目フォームの回答 '!AQ6="ほとんどなかった"),1,(IF(('2回目フォームの回答 '!AQ6="ときどきあった"),2,(IF(('2回目フォームの回答 '!AQ6="しばしばあった"),3,(IF(('2回目フォームの回答 '!AQ6="ほとんどいつもあった"),4,"")))))))</f>
        <v>3</v>
      </c>
      <c r="BL6" s="1">
        <f>IF(('2回目フォームの回答 '!AR6="ほとんどなかった"),1,(IF(('2回目フォームの回答 '!AR6="ときどきあった"),2,(IF(('2回目フォームの回答 '!AR6="しばしばあった"),3,(IF(('2回目フォームの回答 '!AR6="ほとんどいつもあった"),4,"")))))))</f>
        <v>1</v>
      </c>
      <c r="BM6" s="1">
        <f>IF(('2回目フォームの回答 '!AS6="ほとんどなかった"),1,(IF(('2回目フォームの回答 '!AS6="ときどきあった"),2,(IF(('2回目フォームの回答 '!AS6="しばしばあった"),3,(IF(('2回目フォームの回答 '!AS6="ほとんどいつもあった"),4,"")))))))</f>
        <v>2</v>
      </c>
      <c r="BN6" s="1">
        <f>IF(('2回目フォームの回答 '!AT6="ほとんどなかった"),1,(IF(('2回目フォームの回答 '!AT6="ときどきあった"),2,(IF(('2回目フォームの回答 '!AT6="しばしばあった"),3,(IF(('2回目フォームの回答 '!AT6="ほとんどいつもあった"),4,"")))))))</f>
        <v>1</v>
      </c>
      <c r="BO6" s="1">
        <f>IF(('2回目フォームの回答 '!AU6="ほとんどなかった"),1,(IF(('2回目フォームの回答 '!AU6="ときどきあった"),2,(IF(('2回目フォームの回答 '!AU6="しばしばあった"),3,(IF(('2回目フォームの回答 '!AU6="ほとんどいつもあった"),4,"")))))))</f>
        <v>3</v>
      </c>
      <c r="BP6" s="1">
        <f>IF(('2回目フォームの回答 '!AV6="ほとんどなかった"),1,(IF(('2回目フォームの回答 '!AV6="ときどきあった"),2,(IF(('2回目フォームの回答 '!AV6="しばしばあった"),3,(IF(('2回目フォームの回答 '!AV6="ほとんどいつもあった"),4,"")))))))</f>
        <v>1</v>
      </c>
      <c r="BQ6" s="1">
        <f t="shared" si="26"/>
        <v>6</v>
      </c>
      <c r="BR6" s="1">
        <f t="shared" si="27"/>
        <v>3</v>
      </c>
      <c r="BS6" s="1">
        <f t="shared" si="28"/>
        <v>4</v>
      </c>
      <c r="BT6" s="1">
        <f t="shared" si="2"/>
        <v>2</v>
      </c>
      <c r="BU6" s="1">
        <f t="shared" si="3"/>
        <v>6</v>
      </c>
      <c r="BV6" s="1">
        <f t="shared" si="4"/>
        <v>3</v>
      </c>
      <c r="BW6" s="1">
        <f t="shared" si="29"/>
        <v>3</v>
      </c>
      <c r="BX6" s="1">
        <f t="shared" si="5"/>
        <v>1</v>
      </c>
      <c r="BY6" s="1">
        <f t="shared" si="30"/>
        <v>9</v>
      </c>
      <c r="BZ6" s="1">
        <f t="shared" si="6"/>
        <v>3</v>
      </c>
      <c r="CA6" s="1">
        <f t="shared" si="31"/>
        <v>21</v>
      </c>
      <c r="CB6" s="1">
        <f t="shared" si="32"/>
        <v>3</v>
      </c>
      <c r="CC6" s="1">
        <f>IF(('2回目フォームの回答 '!AW6="非常に"),1,(IF(('2回目フォームの回答 '!AW6="かなり"),2,(IF(('2回目フォームの回答 '!AW6="多少"),3,(IF(('2回目フォームの回答 '!AW6="全くない"),4,"")))))))</f>
        <v>1</v>
      </c>
      <c r="CD6" s="1">
        <f>IF(('2回目フォームの回答 '!AX6="非常に"),1,(IF(('2回目フォームの回答 '!AX6="かなり"),2,(IF(('2回目フォームの回答 '!AX6="多少"),3,(IF(('2回目フォームの回答 '!AX6="全くない"),4,"")))))))</f>
        <v>1</v>
      </c>
      <c r="CE6" s="1">
        <f>IF(('2回目フォームの回答 '!AY6="非常に"),1,(IF(('2回目フォームの回答 '!AY6="かなり"),2,(IF(('2回目フォームの回答 '!AY6="多少"),3,(IF(('2回目フォームの回答 '!AY6="全くない"),4,"")))))))</f>
        <v>1</v>
      </c>
      <c r="CF6" s="1">
        <f>IF(('2回目フォームの回答 '!AZ6="非常に"),1,(IF(('2回目フォームの回答 '!AZ6="かなり"),2,(IF(('2回目フォームの回答 '!AZ6="多少"),3,(IF(('2回目フォームの回答 '!AZ6="全くない"),4,"")))))))</f>
        <v>2</v>
      </c>
      <c r="CG6" s="1">
        <f>IF(('2回目フォームの回答 '!BA6="非常に"),1,(IF(('2回目フォームの回答 '!BA6="かなり"),2,(IF(('2回目フォームの回答 '!BA6="多少"),3,(IF(('2回目フォームの回答 '!BA6="全くない"),4,"")))))))</f>
        <v>2</v>
      </c>
      <c r="CH6" s="1">
        <f>IF(('2回目フォームの回答 '!BB6="非常に"),1,(IF(('2回目フォームの回答 '!BB6="かなり"),2,(IF(('2回目フォームの回答 '!BB6="多少"),3,(IF(('2回目フォームの回答 '!BB6="全くない"),4,"")))))))</f>
        <v>1</v>
      </c>
      <c r="CI6" s="1">
        <f>IF(('2回目フォームの回答 '!BC6="非常に"),1,(IF(('2回目フォームの回答 '!BC6="かなり"),2,(IF(('2回目フォームの回答 '!BC6="多少"),3,(IF(('2回目フォームの回答 '!BC6="全くない"),4,"")))))))</f>
        <v>2</v>
      </c>
      <c r="CJ6" s="1">
        <f>IF(('2回目フォームの回答 '!BD6="非常に"),1,(IF(('2回目フォームの回答 '!BD6="かなり"),2,(IF(('2回目フォームの回答 '!BD6="多少"),3,(IF(('2回目フォームの回答 '!BD6="全くない"),4,"")))))))</f>
        <v>2</v>
      </c>
      <c r="CK6" s="1">
        <f>IF(('2回目フォームの回答 '!BE6="非常に"),1,(IF(('2回目フォームの回答 '!BE6="かなり"),2,(IF(('2回目フォームの回答 '!BE6="多少"),3,(IF(('2回目フォームの回答 '!BE6="全くない"),4,"")))))))</f>
        <v>1</v>
      </c>
      <c r="CL6" s="1">
        <f>IF(('2回目フォームの回答 '!BF6="満足"),1,(IF(('2回目フォームの回答 '!BF6="まぁ満足"),2,(IF(('2回目フォームの回答 '!BF6="やや満足"),3,(IF(('2回目フォームの回答 '!BF6="不満足"),4,"")))))))</f>
        <v>2</v>
      </c>
      <c r="CM6" s="1">
        <f>IF(('2回目フォームの回答 '!BG6="満足"),1,(IF(('2回目フォームの回答 '!BG6="まぁ満足"),2,(IF(('2回目フォームの回答 '!BG6="やや満足"),3,(IF(('2回目フォームの回答 '!BG6="不満足"),4,"")))))))</f>
        <v>1</v>
      </c>
      <c r="CN6" s="1">
        <f t="shared" si="33"/>
        <v>10</v>
      </c>
      <c r="CO6" s="1">
        <f t="shared" si="7"/>
        <v>2</v>
      </c>
      <c r="CP6" s="1">
        <f t="shared" si="34"/>
        <v>10</v>
      </c>
      <c r="CQ6" s="1">
        <f t="shared" si="8"/>
        <v>2</v>
      </c>
      <c r="CR6" s="1">
        <f t="shared" si="35"/>
        <v>12</v>
      </c>
      <c r="CS6" s="1">
        <f t="shared" si="36"/>
        <v>1</v>
      </c>
      <c r="CT6" s="1">
        <f t="shared" si="37"/>
        <v>7</v>
      </c>
      <c r="CU6" s="1">
        <f t="shared" si="9"/>
        <v>2</v>
      </c>
      <c r="CV6" s="1">
        <f t="shared" si="38"/>
        <v>15</v>
      </c>
      <c r="CW6" s="1">
        <f t="shared" si="39"/>
        <v>22</v>
      </c>
      <c r="CX6" s="1">
        <f t="shared" si="10"/>
        <v>5</v>
      </c>
      <c r="CY6" s="29" t="str">
        <f t="shared" si="40"/>
        <v>低</v>
      </c>
      <c r="CZ6" s="1">
        <f>'2回目フォームの回答 '!BH6</f>
        <v>0.6</v>
      </c>
      <c r="DA6" s="2">
        <f t="shared" si="41"/>
        <v>0.4</v>
      </c>
      <c r="DB6" s="1">
        <f>IF(('2回目フォームの回答 '!BI6="いつもより寝つきは良い"),0,(IF(('2回目フォームの回答 '!BI6="いつもより少し時間がかかった"),1,(IF(('2回目フォームの回答 '!BI6="いつもよりかなり時間がかかった"),2,(IF(('2回目フォームの回答 '!BI6="いつもより非常に時間がかかった、あるいは全く眠れなかった"),3,"")))))))</f>
        <v>0</v>
      </c>
      <c r="DC6" s="1">
        <f>IF(('2回目フォームの回答 '!BJ6="問題になるほどのことはなかった"),0,(IF(('2回目フォームの回答 '!BJ6="少し困ることがある"),1,(IF(('2回目フォームの回答 '!BJ6="かなり困っている"),2,(IF(('2回目フォームの回答 '!BJ6="深刻な状態、あるいは全く眠れなかった"),3,"")))))))</f>
        <v>0</v>
      </c>
      <c r="DD6" s="1">
        <f>IF(('2回目フォームの回答 '!BK6="そのようなことはなかった"),0,(IF(('2回目フォームの回答 '!BK6="少し早かった"),1,(IF(('2回目フォームの回答 '!BK6="かなり早かった"),2,(IF(('2回目フォームの回答 '!BK6="非常に早かった、あるいは全く眠れなかった"),3,"")))))))</f>
        <v>0</v>
      </c>
      <c r="DE6" s="1">
        <f>IF(('2回目フォームの回答 '!BL6="十分である"),0,(IF(('2回目フォームの回答 '!BL6="少し足りない"),1,(IF(('2回目フォームの回答 '!BL6="かなり足りない"),2,(IF(('2回目フォームの回答 '!BL6="全く足りない、あるいは全く眠れなかった"),3,"")))))))</f>
        <v>2</v>
      </c>
      <c r="DF6" s="1">
        <f>IF(('2回目フォームの回答 '!BM6="満足している"),0,(IF(('2回目フォームの回答 '!BM6="少し不満である"),1,(IF(('2回目フォームの回答 '!BM6="かなり不満である"),2,(IF(('2回目フォームの回答 '!BM6="非常に不満である、あるいは全く眠れなかった"),3,"")))))))</f>
        <v>0</v>
      </c>
      <c r="DG6" s="1">
        <f>IF(('2回目フォームの回答 '!BN6="いつもどおり"),0,(IF(('2回目フォームの回答 '!BN6="少し滅入った"),1,(IF(('2回目フォームの回答 '!BN6="かなり滅入った"),2,(IF(('2回目フォームの回答 '!BN6="非常に滅入った"),3,"")))))))</f>
        <v>1</v>
      </c>
      <c r="DH6" s="1">
        <f>IF(('2回目フォームの回答 '!BO6="いつもどおり"),0,(IF(('2回目フォームの回答 '!BO6="少し低下した"),1,(IF(('2回目フォームの回答 '!BO6="かなり低下した"),2,(IF(('2回目フォームの回答 '!BO6="非常に低下した"),3,"")))))))</f>
        <v>1</v>
      </c>
      <c r="DI6" s="1">
        <f>IF(('2回目フォームの回答 '!BP6="全くなかった"),0,(IF(('2回目フォームの回答 '!BP6="少しあった"),1,(IF(('2回目フォームの回答 '!BP6="かなりあった"),2,(IF(('2回目フォームの回答 '!BP6="激しかった"),3,"")))))))</f>
        <v>1</v>
      </c>
      <c r="DJ6">
        <f t="shared" si="42"/>
        <v>5</v>
      </c>
      <c r="DK6" s="4" t="str">
        <f t="shared" si="43"/>
        <v>中</v>
      </c>
      <c r="DL6" s="5">
        <v>6</v>
      </c>
      <c r="DM6" s="5">
        <v>14.6</v>
      </c>
      <c r="DN6" s="5">
        <v>40.200000000000003</v>
      </c>
      <c r="DO6" s="5">
        <f t="shared" si="44"/>
        <v>60.800000000000004</v>
      </c>
      <c r="DP6" s="5"/>
      <c r="DQ6" s="5" t="s">
        <v>200</v>
      </c>
      <c r="DR6" s="5"/>
      <c r="DS6" s="71"/>
      <c r="DT6" s="66">
        <v>305</v>
      </c>
      <c r="DU6" s="59">
        <f>INDEX('1回目結果'!DR:DR,MATCH($DT6,'1回目結果'!$A:$A,0))</f>
        <v>4.8159999999999998</v>
      </c>
      <c r="DV6" s="59">
        <f>INDEX('1回目結果'!DS:DS,MATCH($DT6,'1回目結果'!$A:$A,0))</f>
        <v>389.76</v>
      </c>
      <c r="DW6" s="59">
        <f>INDEX('1回目結果'!DT:DT,MATCH($DT6,'1回目結果'!$A:$A,0))</f>
        <v>1.24</v>
      </c>
      <c r="DX6" s="59">
        <f>INDEX('1回目結果'!DU:DU,MATCH($DT6,'1回目結果'!$A:$A,0))</f>
        <v>62</v>
      </c>
      <c r="DY6" s="59">
        <f>IFERROR(INDEX('1回目結果'!DL:DL,MATCH('2回目結果'!$DT6,'1回目結果'!$A:$A,0)),"")</f>
        <v>5.4</v>
      </c>
      <c r="DZ6" s="59">
        <f>IFERROR(INDEX('1回目結果'!DM:DM,MATCH('2回目結果'!$DT6,'1回目結果'!$A:$A,0)),"")</f>
        <v>24.8</v>
      </c>
      <c r="EA6" s="59">
        <f>IFERROR(INDEX('1回目結果'!DN:DN,MATCH('2回目結果'!$DT6,'1回目結果'!$A:$A,0)),"")</f>
        <v>32.5</v>
      </c>
      <c r="EB6" s="59">
        <f>IFERROR(INDEX('1回目結果'!DO:DO,MATCH('2回目結果'!$DT6,'1回目結果'!$A:$A,0)),"")</f>
        <v>62.7</v>
      </c>
      <c r="EC6" s="59">
        <f>IFERROR(INDEX('1回目結果'!DP:DP,MATCH('2回目結果'!$DT6,'1回目結果'!$A:$A,0)),"")</f>
        <v>0</v>
      </c>
      <c r="ED6" s="59">
        <f>IFERROR(INDEX('1回目結果'!DQ:DQ,MATCH('2回目結果'!$DT6,'1回目結果'!$A:$A,0)),"")</f>
        <v>0</v>
      </c>
      <c r="EE6" s="54">
        <v>1.1719999999999999</v>
      </c>
      <c r="EF6" s="54">
        <v>113.47</v>
      </c>
      <c r="EG6" s="54">
        <v>1.03</v>
      </c>
      <c r="EH6" s="54">
        <v>52</v>
      </c>
      <c r="EI6" s="43" t="s">
        <v>115</v>
      </c>
      <c r="EJ6" s="44">
        <f t="shared" si="45"/>
        <v>0.83870967741935487</v>
      </c>
      <c r="EK6" s="44">
        <f t="shared" si="49"/>
        <v>0.83064516129032262</v>
      </c>
      <c r="EL6">
        <f t="shared" si="46"/>
        <v>-1.8999999999999986</v>
      </c>
      <c r="EM6">
        <f t="shared" si="47"/>
        <v>7.7000000000000028</v>
      </c>
    </row>
    <row r="7" spans="1:143" ht="15.75" hidden="1" customHeight="1">
      <c r="A7" s="1">
        <v>326</v>
      </c>
      <c r="B7" s="24" t="s">
        <v>139</v>
      </c>
      <c r="C7" s="52">
        <v>28227</v>
      </c>
      <c r="D7" s="38">
        <v>47</v>
      </c>
      <c r="E7" s="1">
        <f>IF(('2回目フォームの回答 '!C7="そうだ"),1,(IF(('2回目フォームの回答 '!C7="まぁそうだ"),2,(IF(('2回目フォームの回答 '!C7="ややちがう"),3,(IF(('2回目フォームの回答 '!C7="ちがう"),4,"")))))))</f>
        <v>2</v>
      </c>
      <c r="F7" s="1">
        <f>IF(('2回目フォームの回答 '!D7="そうだ"),1,(IF(('2回目フォームの回答 '!D7="まぁそうだ"),2,(IF(('2回目フォームの回答 '!D7="ややちがう"),3,(IF(('2回目フォームの回答 '!D7="ちがう"),4,"")))))))</f>
        <v>2</v>
      </c>
      <c r="G7" s="1">
        <f>IF(('2回目フォームの回答 '!E7="そうだ"),1,(IF(('2回目フォームの回答 '!E7="まぁそうだ"),2,(IF(('2回目フォームの回答 '!E7="ややちがう"),3,(IF(('2回目フォームの回答 '!E7="ちがう"),4,"")))))))</f>
        <v>3</v>
      </c>
      <c r="H7" s="1">
        <f>IF(('2回目フォームの回答 '!F7="そうだ"),1,(IF(('2回目フォームの回答 '!F7="まぁそうだ"),2,(IF(('2回目フォームの回答 '!F7="ややちがう"),3,(IF(('2回目フォームの回答 '!F7="ちがう"),4,"")))))))</f>
        <v>2</v>
      </c>
      <c r="I7" s="1">
        <f>IF(('2回目フォームの回答 '!G7="そうだ"),1,(IF(('2回目フォームの回答 '!G7="まぁそうだ"),2,(IF(('2回目フォームの回答 '!G7="ややちがう"),3,(IF(('2回目フォームの回答 '!G7="ちがう"),4,"")))))))</f>
        <v>3</v>
      </c>
      <c r="J7" s="1">
        <f>IF(('2回目フォームの回答 '!H7="そうだ"),1,(IF(('2回目フォームの回答 '!H7="まぁそうだ"),2,(IF(('2回目フォームの回答 '!H7="ややちがう"),3,(IF(('2回目フォームの回答 '!H7="ちがう"),4,"")))))))</f>
        <v>3</v>
      </c>
      <c r="K7" s="1">
        <f>IF(('2回目フォームの回答 '!I7="そうだ"),1,(IF(('2回目フォームの回答 '!I7="まぁそうだ"),2,(IF(('2回目フォームの回答 '!I7="ややちがう"),3,(IF(('2回目フォームの回答 '!I7="ちがう"),4,"")))))))</f>
        <v>4</v>
      </c>
      <c r="L7" s="1">
        <f>IF(('2回目フォームの回答 '!J7="そうだ"),1,(IF(('2回目フォームの回答 '!J7="まぁそうだ"),2,(IF(('2回目フォームの回答 '!J7="ややちがう"),3,(IF(('2回目フォームの回答 '!J7="ちがう"),4,"")))))))</f>
        <v>2</v>
      </c>
      <c r="M7" s="1">
        <f>IF(('2回目フォームの回答 '!K7="そうだ"),1,(IF(('2回目フォームの回答 '!K7="まぁそうだ"),2,(IF(('2回目フォームの回答 '!K7="ややちがう"),3,(IF(('2回目フォームの回答 '!K7="ちがう"),4,"")))))))</f>
        <v>2</v>
      </c>
      <c r="N7" s="1">
        <f>IF(('2回目フォームの回答 '!L7="そうだ"),1,(IF(('2回目フォームの回答 '!L7="まぁそうだ"),2,(IF(('2回目フォームの回答 '!L7="ややちがう"),3,(IF(('2回目フォームの回答 '!L7="ちがう"),4,"")))))))</f>
        <v>3</v>
      </c>
      <c r="O7" s="1">
        <f>IF(('2回目フォームの回答 '!M7="そうだ"),1,(IF(('2回目フォームの回答 '!M7="まぁそうだ"),2,(IF(('2回目フォームの回答 '!M7="ややちがう"),3,(IF(('2回目フォームの回答 '!M7="ちがう"),4,"")))))))</f>
        <v>2</v>
      </c>
      <c r="P7" s="1">
        <f>IF(('2回目フォームの回答 '!N7="そうだ"),1,(IF(('2回目フォームの回答 '!N7="まぁそうだ"),2,(IF(('2回目フォームの回答 '!N7="ややちがう"),3,(IF(('2回目フォームの回答 '!N7="ちがう"),4,"")))))))</f>
        <v>3</v>
      </c>
      <c r="Q7" s="1">
        <f>IF(('2回目フォームの回答 '!O7="そうだ"),1,(IF(('2回目フォームの回答 '!O7="まぁそうだ"),2,(IF(('2回目フォームの回答 '!O7="ややちがう"),3,(IF(('2回目フォームの回答 '!O7="ちがう"),4,"")))))))</f>
        <v>3</v>
      </c>
      <c r="R7" s="1">
        <f>IF(('2回目フォームの回答 '!P7="そうだ"),1,(IF(('2回目フォームの回答 '!P7="まぁそうだ"),2,(IF(('2回目フォームの回答 '!P7="ややちがう"),3,(IF(('2回目フォームの回答 '!P7="ちがう"),4,"")))))))</f>
        <v>2</v>
      </c>
      <c r="S7" s="1">
        <f>IF(('2回目フォームの回答 '!Q7="そうだ"),1,(IF(('2回目フォームの回答 '!Q7="まぁそうだ"),2,(IF(('2回目フォームの回答 '!Q7="ややちがう"),3,(IF(('2回目フォームの回答 '!Q7="ちがう"),4,"")))))))</f>
        <v>2</v>
      </c>
      <c r="T7" s="1">
        <f>IF(('2回目フォームの回答 '!R7="そうだ"),1,(IF(('2回目フォームの回答 '!R7="まぁそうだ"),2,(IF(('2回目フォームの回答 '!R7="ややちがう"),3,(IF(('2回目フォームの回答 '!R7="ちがう"),4,"")))))))</f>
        <v>3</v>
      </c>
      <c r="U7" s="1">
        <f>IF(('2回目フォームの回答 '!S7="そうだ"),1,(IF(('2回目フォームの回答 '!S7="まぁそうだ"),2,(IF(('2回目フォームの回答 '!S7="ややちがう"),3,(IF(('2回目フォームの回答 '!S7="ちがう"),4,"")))))))</f>
        <v>3</v>
      </c>
      <c r="V7" s="1">
        <f t="shared" si="48"/>
        <v>8</v>
      </c>
      <c r="W7" s="1">
        <f t="shared" si="11"/>
        <v>3</v>
      </c>
      <c r="X7" s="1">
        <f t="shared" si="12"/>
        <v>7</v>
      </c>
      <c r="Y7" s="1">
        <f t="shared" si="13"/>
        <v>2</v>
      </c>
      <c r="Z7" s="1">
        <f t="shared" si="14"/>
        <v>1</v>
      </c>
      <c r="AA7" s="1">
        <f t="shared" si="15"/>
        <v>2</v>
      </c>
      <c r="AB7" s="1">
        <f t="shared" si="16"/>
        <v>6</v>
      </c>
      <c r="AC7" s="1">
        <f t="shared" si="17"/>
        <v>3</v>
      </c>
      <c r="AD7" s="1">
        <f t="shared" si="18"/>
        <v>3</v>
      </c>
      <c r="AE7" s="1">
        <f t="shared" si="0"/>
        <v>4</v>
      </c>
      <c r="AF7" s="1">
        <f t="shared" si="19"/>
        <v>8</v>
      </c>
      <c r="AG7" s="1">
        <f t="shared" si="1"/>
        <v>3</v>
      </c>
      <c r="AH7" s="1">
        <f t="shared" si="20"/>
        <v>2</v>
      </c>
      <c r="AI7" s="1">
        <f t="shared" si="21"/>
        <v>4</v>
      </c>
      <c r="AJ7" s="1">
        <f t="shared" si="22"/>
        <v>2</v>
      </c>
      <c r="AK7" s="1">
        <f t="shared" si="23"/>
        <v>4</v>
      </c>
      <c r="AL7" s="1">
        <f t="shared" si="24"/>
        <v>2</v>
      </c>
      <c r="AM7" s="1">
        <f t="shared" si="25"/>
        <v>4</v>
      </c>
      <c r="AN7" s="1">
        <f>IF(('2回目フォームの回答 '!T7="ほとんどなかった"),1,(IF(('2回目フォームの回答 '!T7="ときどきあった"),2,(IF(('2回目フォームの回答 '!T7="しばしばあった"),3,(IF(('2回目フォームの回答 '!T7="ほとんどいつもあった"),4,"")))))))</f>
        <v>2</v>
      </c>
      <c r="AO7" s="1">
        <f>IF(('2回目フォームの回答 '!U7="ほとんどなかった"),1,(IF(('2回目フォームの回答 '!U7="ときどきあった"),2,(IF(('2回目フォームの回答 '!U7="しばしばあった"),3,(IF(('2回目フォームの回答 '!U7="ほとんどいつもあった"),4,"")))))))</f>
        <v>2</v>
      </c>
      <c r="AP7" s="1">
        <f>IF(('2回目フォームの回答 '!V7="ほとんどなかった"),1,(IF(('2回目フォームの回答 '!V7="ときどきあった"),2,(IF(('2回目フォームの回答 '!V7="しばしばあった"),3,(IF(('2回目フォームの回答 '!V7="ほとんどいつもあった"),4,"")))))))</f>
        <v>2</v>
      </c>
      <c r="AQ7" s="1">
        <f>IF(('2回目フォームの回答 '!W7="ほとんどなかった"),1,(IF(('2回目フォームの回答 '!W7="ときどきあった"),2,(IF(('2回目フォームの回答 '!W7="しばしばあった"),3,(IF(('2回目フォームの回答 '!W7="ほとんどいつもあった"),4,"")))))))</f>
        <v>1</v>
      </c>
      <c r="AR7" s="1">
        <f>IF(('2回目フォームの回答 '!X7="ほとんどなかった"),1,(IF(('2回目フォームの回答 '!X7="ときどきあった"),2,(IF(('2回目フォームの回答 '!X7="しばしばあった"),3,(IF(('2回目フォームの回答 '!X7="ほとんどいつもあった"),4,"")))))))</f>
        <v>1</v>
      </c>
      <c r="AS7" s="1">
        <f>IF(('2回目フォームの回答 '!Y7="ほとんどなかった"),1,(IF(('2回目フォームの回答 '!Y7="ときどきあった"),2,(IF(('2回目フォームの回答 '!Y7="しばしばあった"),3,(IF(('2回目フォームの回答 '!Y7="ほとんどいつもあった"),4,"")))))))</f>
        <v>1</v>
      </c>
      <c r="AT7" s="1">
        <f>IF(('2回目フォームの回答 '!Z7="ほとんどなかった"),1,(IF(('2回目フォームの回答 '!Z7="ときどきあった"),2,(IF(('2回目フォームの回答 '!Z7="しばしばあった"),3,(IF(('2回目フォームの回答 '!Z7="ほとんどいつもあった"),4,"")))))))</f>
        <v>3</v>
      </c>
      <c r="AU7" s="1">
        <f>IF(('2回目フォームの回答 '!AA7="ほとんどなかった"),1,(IF(('2回目フォームの回答 '!AA7="ときどきあった"),2,(IF(('2回目フォームの回答 '!AA7="しばしばあった"),3,(IF(('2回目フォームの回答 '!AA7="ほとんどいつもあった"),4,"")))))))</f>
        <v>2</v>
      </c>
      <c r="AV7" s="1">
        <f>IF(('2回目フォームの回答 '!AB7="ほとんどなかった"),1,(IF(('2回目フォームの回答 '!AB7="ときどきばあった"),2,(IF(('2回目フォームの回答 '!AB7="しばしばあった"),3,(IF(('2回目フォームの回答 '!AB7="ほとんどいつもあった"),4,"")))))))</f>
        <v>3</v>
      </c>
      <c r="AW7" s="1">
        <f>IF(('2回目フォームの回答 '!AC7="ほとんどなかった"),1,(IF(('2回目フォームの回答 '!AC7="ときどきあった"),2,(IF(('2回目フォームの回答 '!AC7="しばしばあった"),3,(IF(('2回目フォームの回答 '!AC7="ほとんどいつもあった"),4,"")))))))</f>
        <v>2</v>
      </c>
      <c r="AX7" s="1">
        <f>IF(('2回目フォームの回答 '!AD7="ほとんどなかった"),1,(IF(('2回目フォームの回答 '!AD7="ときどきあった"),2,(IF(('2回目フォームの回答 '!AD7="しばしばあった"),3,(IF(('2回目フォームの回答 '!AD7="ほとんどいつもあった"),4,"")))))))</f>
        <v>2</v>
      </c>
      <c r="AY7" s="1">
        <f>IF(('2回目フォームの回答 '!AE7="ほとんどなかった"),1,(IF(('2回目フォームの回答 '!AE7="ときどきあった"),2,(IF(('2回目フォームの回答 '!AE7="しばしばあった"),3,(IF(('2回目フォームの回答 '!AE7="ほとんどいつもあった"),4,"")))))))</f>
        <v>3</v>
      </c>
      <c r="AZ7" s="1">
        <f>IF(('2回目フォームの回答 '!AF7="ほとんどなかった"),1,(IF(('2回目フォームの回答 '!AF7="ときどきあった"),2,(IF(('2回目フォームの回答 '!AF7="しばしばあった"),3,(IF(('2回目フォームの回答 '!AF7="ほとんどいつもあった"),4,"")))))))</f>
        <v>2</v>
      </c>
      <c r="BA7" s="1">
        <f>IF(('2回目フォームの回答 '!AG7="ほとんどなかった"),1,(IF(('2回目フォームの回答 '!AG7="ときどきあった"),2,(IF(('2回目フォームの回答 '!AG7="しばしばあった"),3,(IF(('2回目フォームの回答 '!AG7="ほとんどいつもあった"),4,"")))))))</f>
        <v>3</v>
      </c>
      <c r="BB7" s="1">
        <f>IF(('2回目フォームの回答 '!AH7="ほとんどなかった"),1,(IF(('2回目フォームの回答 '!AH7="ときどきあった"),2,(IF(('2回目フォームの回答 '!AH7="しばしばあった"),3,(IF(('2回目フォームの回答 '!AH7="ほとんどいつもあった"),4,"")))))))</f>
        <v>2</v>
      </c>
      <c r="BC7" s="1">
        <f>IF(('2回目フォームの回答 '!AI7="ほとんどなかった"),1,(IF(('2回目フォームの回答 '!AI7="ときどきあった"),2,(IF(('2回目フォームの回答 '!AI7="しばしばあった"),3,(IF(('2回目フォームの回答 '!AI7="ほとんどいつもあった"),4,"")))))))</f>
        <v>2</v>
      </c>
      <c r="BD7" s="1">
        <f>IF(('2回目フォームの回答 '!AJ7="ほとんどなかった"),1,(IF(('2回目フォームの回答 '!AJ7="ときどきあった"),2,(IF(('2回目フォームの回答 '!AJ7="しばしばあった"),3,(IF(('2回目フォームの回答 '!AJ7="ほとんどいつもあった"),4,"")))))))</f>
        <v>2</v>
      </c>
      <c r="BE7" s="1">
        <f>IF(('2回目フォームの回答 '!AK7="ほとんどなかった"),1,(IF(('2回目フォームの回答 '!AK7="ときどきあった"),2,(IF(('2回目フォームの回答 '!AK7="しばしばあった"),3,(IF(('2回目フォームの回答 '!AK7="ほとんどいつもあった"),4,"")))))))</f>
        <v>1</v>
      </c>
      <c r="BF7" s="1">
        <f>IF(('2回目フォームの回答 '!AL7="ほとんどなかった"),1,(IF(('2回目フォームの回答 '!AL7="ときどきあった"),2,(IF(('2回目フォームの回答 '!AL7="しばしばあった"),3,(IF(('2回目フォームの回答 '!AL7="ほとんどいつもあった"),4,"")))))))</f>
        <v>3</v>
      </c>
      <c r="BG7" s="1">
        <f>IF(('2回目フォームの回答 '!AM7="ほとんどなかった"),1,(IF(('2回目フォームの回答 '!AM7="ときどきあった"),2,(IF(('2回目フォームの回答 '!AM7="しばしばあった"),3,(IF(('2回目フォームの回答 '!AM7="ほとんどいつもあった"),4,"")))))))</f>
        <v>2</v>
      </c>
      <c r="BH7" s="1">
        <f>IF(('2回目フォームの回答 '!AN7="ほとんどなかった"),1,(IF(('2回目フォームの回答 '!AN7="ときどきあった"),2,(IF(('2回目フォームの回答 '!AN7="しばしばあった"),3,(IF(('2回目フォームの回答 '!AN7="ほとんどいつもあった"),4,"")))))))</f>
        <v>3</v>
      </c>
      <c r="BI7" s="1">
        <f>IF(('2回目フォームの回答 '!AO7="ほとんどなかった"),1,(IF(('2回目フォームの回答 '!AO7="ときどきあった"),2,(IF(('2回目フォームの回答 '!AO7="しばしばあった"),3,(IF(('2回目フォームの回答 '!AO7="ほとんどいつもあった"),4,"")))))))</f>
        <v>2</v>
      </c>
      <c r="BJ7" s="1">
        <f>IF(('2回目フォームの回答 '!AP7="ほとんどなかった"),1,(IF(('2回目フォームの回答 '!AP7="ときどきあった"),2,(IF(('2回目フォームの回答 '!AP7="しばしばあった"),3,(IF(('2回目フォームの回答 '!AP7="ほとんどいつもあった"),4,"")))))))</f>
        <v>2</v>
      </c>
      <c r="BK7" s="1">
        <f>IF(('2回目フォームの回答 '!AQ7="ほとんどなかった"),1,(IF(('2回目フォームの回答 '!AQ7="ときどきあった"),2,(IF(('2回目フォームの回答 '!AQ7="しばしばあった"),3,(IF(('2回目フォームの回答 '!AQ7="ほとんどいつもあった"),4,"")))))))</f>
        <v>3</v>
      </c>
      <c r="BL7" s="1">
        <f>IF(('2回目フォームの回答 '!AR7="ほとんどなかった"),1,(IF(('2回目フォームの回答 '!AR7="ときどきあった"),2,(IF(('2回目フォームの回答 '!AR7="しばしばあった"),3,(IF(('2回目フォームの回答 '!AR7="ほとんどいつもあった"),4,"")))))))</f>
        <v>1</v>
      </c>
      <c r="BM7" s="1">
        <f>IF(('2回目フォームの回答 '!AS7="ほとんどなかった"),1,(IF(('2回目フォームの回答 '!AS7="ときどきあった"),2,(IF(('2回目フォームの回答 '!AS7="しばしばあった"),3,(IF(('2回目フォームの回答 '!AS7="ほとんどいつもあった"),4,"")))))))</f>
        <v>4</v>
      </c>
      <c r="BN7" s="1">
        <f>IF(('2回目フォームの回答 '!AT7="ほとんどなかった"),1,(IF(('2回目フォームの回答 '!AT7="ときどきあった"),2,(IF(('2回目フォームの回答 '!AT7="しばしばあった"),3,(IF(('2回目フォームの回答 '!AT7="ほとんどいつもあった"),4,"")))))))</f>
        <v>2</v>
      </c>
      <c r="BO7" s="1">
        <f>IF(('2回目フォームの回答 '!AU7="ほとんどなかった"),1,(IF(('2回目フォームの回答 '!AU7="ときどきあった"),2,(IF(('2回目フォームの回答 '!AU7="しばしばあった"),3,(IF(('2回目フォームの回答 '!AU7="ほとんどいつもあった"),4,"")))))))</f>
        <v>3</v>
      </c>
      <c r="BP7" s="1">
        <f>IF(('2回目フォームの回答 '!AV7="ほとんどなかった"),1,(IF(('2回目フォームの回答 '!AV7="ときどきあった"),2,(IF(('2回目フォームの回答 '!AV7="しばしばあった"),3,(IF(('2回目フォームの回答 '!AV7="ほとんどいつもあった"),4,"")))))))</f>
        <v>3</v>
      </c>
      <c r="BQ7" s="1">
        <f t="shared" si="26"/>
        <v>6</v>
      </c>
      <c r="BR7" s="1">
        <f t="shared" si="27"/>
        <v>3</v>
      </c>
      <c r="BS7" s="1">
        <f t="shared" si="28"/>
        <v>3</v>
      </c>
      <c r="BT7" s="1">
        <f t="shared" si="2"/>
        <v>1</v>
      </c>
      <c r="BU7" s="1">
        <f t="shared" si="3"/>
        <v>8</v>
      </c>
      <c r="BV7" s="1">
        <f t="shared" si="4"/>
        <v>4</v>
      </c>
      <c r="BW7" s="1">
        <f t="shared" si="29"/>
        <v>7</v>
      </c>
      <c r="BX7" s="1">
        <f t="shared" si="5"/>
        <v>3</v>
      </c>
      <c r="BY7" s="1">
        <f t="shared" si="30"/>
        <v>12</v>
      </c>
      <c r="BZ7" s="1">
        <f t="shared" si="6"/>
        <v>3</v>
      </c>
      <c r="CA7" s="1">
        <f t="shared" si="31"/>
        <v>28</v>
      </c>
      <c r="CB7" s="1">
        <f t="shared" si="32"/>
        <v>5</v>
      </c>
      <c r="CC7" s="1">
        <f>IF(('2回目フォームの回答 '!AW7="非常に"),1,(IF(('2回目フォームの回答 '!AW7="かなり"),2,(IF(('2回目フォームの回答 '!AW7="多少"),3,(IF(('2回目フォームの回答 '!AW7="全くない"),4,"")))))))</f>
        <v>3</v>
      </c>
      <c r="CD7" s="1">
        <f>IF(('2回目フォームの回答 '!AX7="非常に"),1,(IF(('2回目フォームの回答 '!AX7="かなり"),2,(IF(('2回目フォームの回答 '!AX7="多少"),3,(IF(('2回目フォームの回答 '!AX7="全くない"),4,"")))))))</f>
        <v>3</v>
      </c>
      <c r="CE7" s="1">
        <f>IF(('2回目フォームの回答 '!AY7="非常に"),1,(IF(('2回目フォームの回答 '!AY7="かなり"),2,(IF(('2回目フォームの回答 '!AY7="多少"),3,(IF(('2回目フォームの回答 '!AY7="全くない"),4,"")))))))</f>
        <v>3</v>
      </c>
      <c r="CF7" s="1">
        <f>IF(('2回目フォームの回答 '!AZ7="非常に"),1,(IF(('2回目フォームの回答 '!AZ7="かなり"),2,(IF(('2回目フォームの回答 '!AZ7="多少"),3,(IF(('2回目フォームの回答 '!AZ7="全くない"),4,"")))))))</f>
        <v>3</v>
      </c>
      <c r="CG7" s="1">
        <f>IF(('2回目フォームの回答 '!BA7="非常に"),1,(IF(('2回目フォームの回答 '!BA7="かなり"),2,(IF(('2回目フォームの回答 '!BA7="多少"),3,(IF(('2回目フォームの回答 '!BA7="全くない"),4,"")))))))</f>
        <v>3</v>
      </c>
      <c r="CH7" s="1">
        <f>IF(('2回目フォームの回答 '!BB7="非常に"),1,(IF(('2回目フォームの回答 '!BB7="かなり"),2,(IF(('2回目フォームの回答 '!BB7="多少"),3,(IF(('2回目フォームの回答 '!BB7="全くない"),4,"")))))))</f>
        <v>3</v>
      </c>
      <c r="CI7" s="1">
        <f>IF(('2回目フォームの回答 '!BC7="非常に"),1,(IF(('2回目フォームの回答 '!BC7="かなり"),2,(IF(('2回目フォームの回答 '!BC7="多少"),3,(IF(('2回目フォームの回答 '!BC7="全くない"),4,"")))))))</f>
        <v>3</v>
      </c>
      <c r="CJ7" s="1">
        <f>IF(('2回目フォームの回答 '!BD7="非常に"),1,(IF(('2回目フォームの回答 '!BD7="かなり"),2,(IF(('2回目フォームの回答 '!BD7="多少"),3,(IF(('2回目フォームの回答 '!BD7="全くない"),4,"")))))))</f>
        <v>3</v>
      </c>
      <c r="CK7" s="1">
        <f>IF(('2回目フォームの回答 '!BE7="非常に"),1,(IF(('2回目フォームの回答 '!BE7="かなり"),2,(IF(('2回目フォームの回答 '!BE7="多少"),3,(IF(('2回目フォームの回答 '!BE7="全くない"),4,"")))))))</f>
        <v>3</v>
      </c>
      <c r="CL7" s="1">
        <f>IF(('2回目フォームの回答 '!BF7="満足"),1,(IF(('2回目フォームの回答 '!BF7="まぁ満足"),2,(IF(('2回目フォームの回答 '!BF7="やや満足"),3,(IF(('2回目フォームの回答 '!BF7="不満足"),4,"")))))))</f>
        <v>3</v>
      </c>
      <c r="CM7" s="1">
        <f>IF(('2回目フォームの回答 '!BG7="満足"),1,(IF(('2回目フォームの回答 '!BG7="まぁ満足"),2,(IF(('2回目フォームの回答 '!BG7="やや満足"),3,(IF(('2回目フォームの回答 '!BG7="不満足"),4,"")))))))</f>
        <v>3</v>
      </c>
      <c r="CN7" s="1">
        <f t="shared" si="33"/>
        <v>6</v>
      </c>
      <c r="CO7" s="1">
        <f t="shared" si="7"/>
        <v>4</v>
      </c>
      <c r="CP7" s="1">
        <f t="shared" si="34"/>
        <v>6</v>
      </c>
      <c r="CQ7" s="1">
        <f t="shared" si="8"/>
        <v>4</v>
      </c>
      <c r="CR7" s="1">
        <f t="shared" si="35"/>
        <v>6</v>
      </c>
      <c r="CS7" s="1">
        <f t="shared" si="36"/>
        <v>5</v>
      </c>
      <c r="CT7" s="1">
        <f t="shared" si="37"/>
        <v>4</v>
      </c>
      <c r="CU7" s="1">
        <f t="shared" si="9"/>
        <v>4</v>
      </c>
      <c r="CV7" s="1">
        <f t="shared" si="38"/>
        <v>19</v>
      </c>
      <c r="CW7" s="1">
        <f t="shared" si="39"/>
        <v>29</v>
      </c>
      <c r="CX7" s="1">
        <f t="shared" si="10"/>
        <v>13</v>
      </c>
      <c r="CY7" s="29" t="str">
        <f t="shared" si="40"/>
        <v>中①</v>
      </c>
      <c r="CZ7" s="1">
        <f>'2回目フォームの回答 '!BH7</f>
        <v>0.5</v>
      </c>
      <c r="DA7" s="2">
        <f t="shared" si="41"/>
        <v>0.5</v>
      </c>
      <c r="DB7" s="1">
        <f>IF(('2回目フォームの回答 '!BI7="いつもより寝つきは良い"),0,(IF(('2回目フォームの回答 '!BI7="いつもより少し時間がかかった"),1,(IF(('2回目フォームの回答 '!BI7="いつもよりかなり時間がかかった"),2,(IF(('2回目フォームの回答 '!BI7="いつもより非常に時間がかかった、あるいは全く眠れなかった"),3,"")))))))</f>
        <v>1</v>
      </c>
      <c r="DC7" s="1">
        <f>IF(('2回目フォームの回答 '!BJ7="問題になるほどのことはなかった"),0,(IF(('2回目フォームの回答 '!BJ7="少し困ることがある"),1,(IF(('2回目フォームの回答 '!BJ7="かなり困っている"),2,(IF(('2回目フォームの回答 '!BJ7="深刻な状態、あるいは全く眠れなかった"),3,"")))))))</f>
        <v>2</v>
      </c>
      <c r="DD7" s="1">
        <f>IF(('2回目フォームの回答 '!BK7="そのようなことはなかった"),0,(IF(('2回目フォームの回答 '!BK7="少し早かった"),1,(IF(('2回目フォームの回答 '!BK7="かなり早かった"),2,(IF(('2回目フォームの回答 '!BK7="非常に早かった、あるいは全く眠れなかった"),3,"")))))))</f>
        <v>2</v>
      </c>
      <c r="DE7" s="1">
        <f>IF(('2回目フォームの回答 '!BL7="十分である"),0,(IF(('2回目フォームの回答 '!BL7="少し足りない"),1,(IF(('2回目フォームの回答 '!BL7="かなり足りない"),2,(IF(('2回目フォームの回答 '!BL7="全く足りない、あるいは全く眠れなかった"),3,"")))))))</f>
        <v>2</v>
      </c>
      <c r="DF7" s="1">
        <f>IF(('2回目フォームの回答 '!BM7="満足している"),0,(IF(('2回目フォームの回答 '!BM7="少し不満である"),1,(IF(('2回目フォームの回答 '!BM7="かなり不満である"),2,(IF(('2回目フォームの回答 '!BM7="非常に不満である、あるいは全く眠れなかった"),3,"")))))))</f>
        <v>2</v>
      </c>
      <c r="DG7" s="1">
        <f>IF(('2回目フォームの回答 '!BN7="いつもどおり"),0,(IF(('2回目フォームの回答 '!BN7="少し滅入った"),1,(IF(('2回目フォームの回答 '!BN7="かなり滅入った"),2,(IF(('2回目フォームの回答 '!BN7="非常に滅入った"),3,"")))))))</f>
        <v>1</v>
      </c>
      <c r="DH7" s="1">
        <f>IF(('2回目フォームの回答 '!BO7="いつもどおり"),0,(IF(('2回目フォームの回答 '!BO7="少し低下した"),1,(IF(('2回目フォームの回答 '!BO7="かなり低下した"),2,(IF(('2回目フォームの回答 '!BO7="非常に低下した"),3,"")))))))</f>
        <v>2</v>
      </c>
      <c r="DI7" s="1">
        <f>IF(('2回目フォームの回答 '!BP7="全くなかった"),0,(IF(('2回目フォームの回答 '!BP7="少しあった"),1,(IF(('2回目フォームの回答 '!BP7="かなりあった"),2,(IF(('2回目フォームの回答 '!BP7="激しかった"),3,"")))))))</f>
        <v>1</v>
      </c>
      <c r="DJ7">
        <f t="shared" si="42"/>
        <v>13</v>
      </c>
      <c r="DK7" s="4" t="str">
        <f t="shared" si="43"/>
        <v>高</v>
      </c>
      <c r="DL7" s="5">
        <v>18.2</v>
      </c>
      <c r="DM7" s="5">
        <v>17</v>
      </c>
      <c r="DN7" s="5">
        <v>11.2</v>
      </c>
      <c r="DO7" s="5">
        <f t="shared" si="44"/>
        <v>46.400000000000006</v>
      </c>
      <c r="DP7" s="5"/>
      <c r="DQ7" s="5"/>
      <c r="DR7" s="5"/>
      <c r="DS7" s="71"/>
      <c r="DT7" s="66">
        <v>303</v>
      </c>
      <c r="DU7" s="59">
        <f>INDEX('1回目結果'!DR:DR,MATCH($DT7,'1回目結果'!$A:$A,0))</f>
        <v>0.128</v>
      </c>
      <c r="DV7" s="59">
        <f>INDEX('1回目結果'!DS:DS,MATCH($DT7,'1回目結果'!$A:$A,0))</f>
        <v>12.08</v>
      </c>
      <c r="DW7" s="59">
        <f>INDEX('1回目結果'!DT:DT,MATCH($DT7,'1回目結果'!$A:$A,0))</f>
        <v>1.06</v>
      </c>
      <c r="DX7" s="59">
        <f>INDEX('1回目結果'!DU:DU,MATCH($DT7,'1回目結果'!$A:$A,0))</f>
        <v>10</v>
      </c>
      <c r="DY7" s="59">
        <f>IFERROR(INDEX('1回目結果'!DL:DL,MATCH('2回目結果'!$DT7,'1回目結果'!$A:$A,0)),"")</f>
        <v>18.7</v>
      </c>
      <c r="DZ7" s="59">
        <f>IFERROR(INDEX('1回目結果'!DM:DM,MATCH('2回目結果'!$DT7,'1回目結果'!$A:$A,0)),"")</f>
        <v>18</v>
      </c>
      <c r="EA7" s="59">
        <f>IFERROR(INDEX('1回目結果'!DN:DN,MATCH('2回目結果'!$DT7,'1回目結果'!$A:$A,0)),"")</f>
        <v>18.8</v>
      </c>
      <c r="EB7" s="59">
        <f>IFERROR(INDEX('1回目結果'!DO:DO,MATCH('2回目結果'!$DT7,'1回目結果'!$A:$A,0)),"")</f>
        <v>55.5</v>
      </c>
      <c r="EC7" s="59">
        <f>IFERROR(INDEX('1回目結果'!DP:DP,MATCH('2回目結果'!$DT7,'1回目結果'!$A:$A,0)),"")</f>
        <v>0</v>
      </c>
      <c r="ED7" s="59">
        <f>IFERROR(INDEX('1回目結果'!DQ:DQ,MATCH('2回目結果'!$DT7,'1回目結果'!$A:$A,0)),"")</f>
        <v>0</v>
      </c>
      <c r="EE7" s="54">
        <v>0.20399999999999999</v>
      </c>
      <c r="EF7" s="54">
        <v>39.47</v>
      </c>
      <c r="EG7" s="54">
        <v>0.52</v>
      </c>
      <c r="EH7" s="54">
        <v>10</v>
      </c>
      <c r="EI7" s="43" t="s">
        <v>115</v>
      </c>
      <c r="EJ7" s="44">
        <f t="shared" si="45"/>
        <v>1</v>
      </c>
      <c r="EK7" s="44"/>
      <c r="EL7">
        <f t="shared" si="46"/>
        <v>-9.0999999999999943</v>
      </c>
      <c r="EM7">
        <f t="shared" si="47"/>
        <v>-7.6000000000000014</v>
      </c>
    </row>
    <row r="8" spans="1:143" ht="15.75" customHeight="1">
      <c r="A8" s="1">
        <v>327</v>
      </c>
      <c r="B8" s="24" t="s">
        <v>139</v>
      </c>
      <c r="C8" s="52">
        <v>32955</v>
      </c>
      <c r="D8" s="38">
        <v>34</v>
      </c>
      <c r="E8" s="1">
        <f>IF(('2回目フォームの回答 '!C8="そうだ"),1,(IF(('2回目フォームの回答 '!C8="まぁそうだ"),2,(IF(('2回目フォームの回答 '!C8="ややちがう"),3,(IF(('2回目フォームの回答 '!C8="ちがう"),4,"")))))))</f>
        <v>3</v>
      </c>
      <c r="F8" s="1">
        <f>IF(('2回目フォームの回答 '!D8="そうだ"),1,(IF(('2回目フォームの回答 '!D8="まぁそうだ"),2,(IF(('2回目フォームの回答 '!D8="ややちがう"),3,(IF(('2回目フォームの回答 '!D8="ちがう"),4,"")))))))</f>
        <v>3</v>
      </c>
      <c r="G8" s="1">
        <f>IF(('2回目フォームの回答 '!E8="そうだ"),1,(IF(('2回目フォームの回答 '!E8="まぁそうだ"),2,(IF(('2回目フォームの回答 '!E8="ややちがう"),3,(IF(('2回目フォームの回答 '!E8="ちがう"),4,"")))))))</f>
        <v>2</v>
      </c>
      <c r="H8" s="1">
        <f>IF(('2回目フォームの回答 '!F8="そうだ"),1,(IF(('2回目フォームの回答 '!F8="まぁそうだ"),2,(IF(('2回目フォームの回答 '!F8="ややちがう"),3,(IF(('2回目フォームの回答 '!F8="ちがう"),4,"")))))))</f>
        <v>2</v>
      </c>
      <c r="I8" s="1">
        <f>IF(('2回目フォームの回答 '!G8="そうだ"),1,(IF(('2回目フォームの回答 '!G8="まぁそうだ"),2,(IF(('2回目フォームの回答 '!G8="ややちがう"),3,(IF(('2回目フォームの回答 '!G8="ちがう"),4,"")))))))</f>
        <v>2</v>
      </c>
      <c r="J8" s="1">
        <f>IF(('2回目フォームの回答 '!H8="そうだ"),1,(IF(('2回目フォームの回答 '!H8="まぁそうだ"),2,(IF(('2回目フォームの回答 '!H8="ややちがう"),3,(IF(('2回目フォームの回答 '!H8="ちがう"),4,"")))))))</f>
        <v>2</v>
      </c>
      <c r="K8" s="1">
        <f>IF(('2回目フォームの回答 '!I8="そうだ"),1,(IF(('2回目フォームの回答 '!I8="まぁそうだ"),2,(IF(('2回目フォームの回答 '!I8="ややちがう"),3,(IF(('2回目フォームの回答 '!I8="ちがう"),4,"")))))))</f>
        <v>3</v>
      </c>
      <c r="L8" s="1">
        <f>IF(('2回目フォームの回答 '!J8="そうだ"),1,(IF(('2回目フォームの回答 '!J8="まぁそうだ"),2,(IF(('2回目フォームの回答 '!J8="ややちがう"),3,(IF(('2回目フォームの回答 '!J8="ちがう"),4,"")))))))</f>
        <v>2</v>
      </c>
      <c r="M8" s="1">
        <f>IF(('2回目フォームの回答 '!K8="そうだ"),1,(IF(('2回目フォームの回答 '!K8="まぁそうだ"),2,(IF(('2回目フォームの回答 '!K8="ややちがう"),3,(IF(('2回目フォームの回答 '!K8="ちがう"),4,"")))))))</f>
        <v>2</v>
      </c>
      <c r="N8" s="1">
        <f>IF(('2回目フォームの回答 '!L8="そうだ"),1,(IF(('2回目フォームの回答 '!L8="まぁそうだ"),2,(IF(('2回目フォームの回答 '!L8="ややちがう"),3,(IF(('2回目フォームの回答 '!L8="ちがう"),4,"")))))))</f>
        <v>2</v>
      </c>
      <c r="O8" s="1">
        <f>IF(('2回目フォームの回答 '!M8="そうだ"),1,(IF(('2回目フォームの回答 '!M8="まぁそうだ"),2,(IF(('2回目フォームの回答 '!M8="ややちがう"),3,(IF(('2回目フォームの回答 '!M8="ちがう"),4,"")))))))</f>
        <v>3</v>
      </c>
      <c r="P8" s="1">
        <f>IF(('2回目フォームの回答 '!N8="そうだ"),1,(IF(('2回目フォームの回答 '!N8="まぁそうだ"),2,(IF(('2回目フォームの回答 '!N8="ややちがう"),3,(IF(('2回目フォームの回答 '!N8="ちがう"),4,"")))))))</f>
        <v>3</v>
      </c>
      <c r="Q8" s="1">
        <f>IF(('2回目フォームの回答 '!O8="そうだ"),1,(IF(('2回目フォームの回答 '!O8="まぁそうだ"),2,(IF(('2回目フォームの回答 '!O8="ややちがう"),3,(IF(('2回目フォームの回答 '!O8="ちがう"),4,"")))))))</f>
        <v>3</v>
      </c>
      <c r="R8" s="1">
        <f>IF(('2回目フォームの回答 '!P8="そうだ"),1,(IF(('2回目フォームの回答 '!P8="まぁそうだ"),2,(IF(('2回目フォームの回答 '!P8="ややちがう"),3,(IF(('2回目フォームの回答 '!P8="ちがう"),4,"")))))))</f>
        <v>2</v>
      </c>
      <c r="S8" s="1">
        <f>IF(('2回目フォームの回答 '!Q8="そうだ"),1,(IF(('2回目フォームの回答 '!Q8="まぁそうだ"),2,(IF(('2回目フォームの回答 '!Q8="ややちがう"),3,(IF(('2回目フォームの回答 '!Q8="ちがう"),4,"")))))))</f>
        <v>3</v>
      </c>
      <c r="T8" s="1">
        <f>IF(('2回目フォームの回答 '!R8="そうだ"),1,(IF(('2回目フォームの回答 '!R8="まぁそうだ"),2,(IF(('2回目フォームの回答 '!R8="ややちがう"),3,(IF(('2回目フォームの回答 '!R8="ちがう"),4,"")))))))</f>
        <v>2</v>
      </c>
      <c r="U8" s="1">
        <f>IF(('2回目フォームの回答 '!S8="そうだ"),1,(IF(('2回目フォームの回答 '!S8="まぁそうだ"),2,(IF(('2回目フォームの回答 '!S8="ややちがう"),3,(IF(('2回目フォームの回答 '!S8="ちがう"),4,"")))))))</f>
        <v>2</v>
      </c>
      <c r="V8" s="1">
        <f t="shared" si="48"/>
        <v>7</v>
      </c>
      <c r="W8" s="1">
        <f t="shared" si="11"/>
        <v>2</v>
      </c>
      <c r="X8" s="1">
        <f t="shared" si="12"/>
        <v>9</v>
      </c>
      <c r="Y8" s="1">
        <f t="shared" si="13"/>
        <v>3</v>
      </c>
      <c r="Z8" s="1">
        <f t="shared" si="14"/>
        <v>2</v>
      </c>
      <c r="AA8" s="1">
        <f t="shared" si="15"/>
        <v>3</v>
      </c>
      <c r="AB8" s="1">
        <f t="shared" si="16"/>
        <v>6</v>
      </c>
      <c r="AC8" s="1">
        <f t="shared" si="17"/>
        <v>3</v>
      </c>
      <c r="AD8" s="1">
        <f t="shared" si="18"/>
        <v>2</v>
      </c>
      <c r="AE8" s="1">
        <f t="shared" si="0"/>
        <v>3</v>
      </c>
      <c r="AF8" s="1">
        <f t="shared" si="19"/>
        <v>9</v>
      </c>
      <c r="AG8" s="1">
        <f t="shared" si="1"/>
        <v>2</v>
      </c>
      <c r="AH8" s="1">
        <f t="shared" si="20"/>
        <v>3</v>
      </c>
      <c r="AI8" s="1">
        <f t="shared" si="21"/>
        <v>3</v>
      </c>
      <c r="AJ8" s="1">
        <f t="shared" si="22"/>
        <v>3</v>
      </c>
      <c r="AK8" s="1">
        <f t="shared" si="23"/>
        <v>3</v>
      </c>
      <c r="AL8" s="1">
        <f t="shared" si="24"/>
        <v>3</v>
      </c>
      <c r="AM8" s="1">
        <f t="shared" si="25"/>
        <v>3</v>
      </c>
      <c r="AN8" s="1">
        <f>IF(('2回目フォームの回答 '!T8="ほとんどなかった"),1,(IF(('2回目フォームの回答 '!T8="ときどきあった"),2,(IF(('2回目フォームの回答 '!T8="しばしばあった"),3,(IF(('2回目フォームの回答 '!T8="ほとんどいつもあった"),4,"")))))))</f>
        <v>2</v>
      </c>
      <c r="AO8" s="1">
        <f>IF(('2回目フォームの回答 '!U8="ほとんどなかった"),1,(IF(('2回目フォームの回答 '!U8="ときどきあった"),2,(IF(('2回目フォームの回答 '!U8="しばしばあった"),3,(IF(('2回目フォームの回答 '!U8="ほとんどいつもあった"),4,"")))))))</f>
        <v>2</v>
      </c>
      <c r="AP8" s="1">
        <f>IF(('2回目フォームの回答 '!V8="ほとんどなかった"),1,(IF(('2回目フォームの回答 '!V8="ときどきあった"),2,(IF(('2回目フォームの回答 '!V8="しばしばあった"),3,(IF(('2回目フォームの回答 '!V8="ほとんどいつもあった"),4,"")))))))</f>
        <v>2</v>
      </c>
      <c r="AQ8" s="1">
        <f>IF(('2回目フォームの回答 '!W8="ほとんどなかった"),1,(IF(('2回目フォームの回答 '!W8="ときどきあった"),2,(IF(('2回目フォームの回答 '!W8="しばしばあった"),3,(IF(('2回目フォームの回答 '!W8="ほとんどいつもあった"),4,"")))))))</f>
        <v>2</v>
      </c>
      <c r="AR8" s="1">
        <f>IF(('2回目フォームの回答 '!X8="ほとんどなかった"),1,(IF(('2回目フォームの回答 '!X8="ときどきあった"),2,(IF(('2回目フォームの回答 '!X8="しばしばあった"),3,(IF(('2回目フォームの回答 '!X8="ほとんどいつもあった"),4,"")))))))</f>
        <v>3</v>
      </c>
      <c r="AS8" s="1">
        <f>IF(('2回目フォームの回答 '!Y8="ほとんどなかった"),1,(IF(('2回目フォームの回答 '!Y8="ときどきあった"),2,(IF(('2回目フォームの回答 '!Y8="しばしばあった"),3,(IF(('2回目フォームの回答 '!Y8="ほとんどいつもあった"),4,"")))))))</f>
        <v>3</v>
      </c>
      <c r="AT8" s="1">
        <f>IF(('2回目フォームの回答 '!Z8="ほとんどなかった"),1,(IF(('2回目フォームの回答 '!Z8="ときどきあった"),2,(IF(('2回目フォームの回答 '!Z8="しばしばあった"),3,(IF(('2回目フォームの回答 '!Z8="ほとんどいつもあった"),4,"")))))))</f>
        <v>2</v>
      </c>
      <c r="AU8" s="1">
        <f>IF(('2回目フォームの回答 '!AA8="ほとんどなかった"),1,(IF(('2回目フォームの回答 '!AA8="ときどきあった"),2,(IF(('2回目フォームの回答 '!AA8="しばしばあった"),3,(IF(('2回目フォームの回答 '!AA8="ほとんどいつもあった"),4,"")))))))</f>
        <v>2</v>
      </c>
      <c r="AV8" s="1">
        <f>IF(('2回目フォームの回答 '!AB8="ほとんどなかった"),1,(IF(('2回目フォームの回答 '!AB8="ときどきばあった"),2,(IF(('2回目フォームの回答 '!AB8="しばしばあった"),3,(IF(('2回目フォームの回答 '!AB8="ほとんどいつもあった"),4,"")))))))</f>
        <v>2</v>
      </c>
      <c r="AW8" s="1">
        <f>IF(('2回目フォームの回答 '!AC8="ほとんどなかった"),1,(IF(('2回目フォームの回答 '!AC8="ときどきあった"),2,(IF(('2回目フォームの回答 '!AC8="しばしばあった"),3,(IF(('2回目フォームの回答 '!AC8="ほとんどいつもあった"),4,"")))))))</f>
        <v>3</v>
      </c>
      <c r="AX8" s="1">
        <f>IF(('2回目フォームの回答 '!AD8="ほとんどなかった"),1,(IF(('2回目フォームの回答 '!AD8="ときどきあった"),2,(IF(('2回目フォームの回答 '!AD8="しばしばあった"),3,(IF(('2回目フォームの回答 '!AD8="ほとんどいつもあった"),4,"")))))))</f>
        <v>3</v>
      </c>
      <c r="AY8" s="1">
        <f>IF(('2回目フォームの回答 '!AE8="ほとんどなかった"),1,(IF(('2回目フォームの回答 '!AE8="ときどきあった"),2,(IF(('2回目フォームの回答 '!AE8="しばしばあった"),3,(IF(('2回目フォームの回答 '!AE8="ほとんどいつもあった"),4,"")))))))</f>
        <v>3</v>
      </c>
      <c r="AZ8" s="1">
        <f>IF(('2回目フォームの回答 '!AF8="ほとんどなかった"),1,(IF(('2回目フォームの回答 '!AF8="ときどきあった"),2,(IF(('2回目フォームの回答 '!AF8="しばしばあった"),3,(IF(('2回目フォームの回答 '!AF8="ほとんどいつもあった"),4,"")))))))</f>
        <v>3</v>
      </c>
      <c r="BA8" s="1">
        <f>IF(('2回目フォームの回答 '!AG8="ほとんどなかった"),1,(IF(('2回目フォームの回答 '!AG8="ときどきあった"),2,(IF(('2回目フォームの回答 '!AG8="しばしばあった"),3,(IF(('2回目フォームの回答 '!AG8="ほとんどいつもあった"),4,"")))))))</f>
        <v>2</v>
      </c>
      <c r="BB8" s="1">
        <f>IF(('2回目フォームの回答 '!AH8="ほとんどなかった"),1,(IF(('2回目フォームの回答 '!AH8="ときどきあった"),2,(IF(('2回目フォームの回答 '!AH8="しばしばあった"),3,(IF(('2回目フォームの回答 '!AH8="ほとんどいつもあった"),4,"")))))))</f>
        <v>2</v>
      </c>
      <c r="BC8" s="1">
        <f>IF(('2回目フォームの回答 '!AI8="ほとんどなかった"),1,(IF(('2回目フォームの回答 '!AI8="ときどきあった"),2,(IF(('2回目フォームの回答 '!AI8="しばしばあった"),3,(IF(('2回目フォームの回答 '!AI8="ほとんどいつもあった"),4,"")))))))</f>
        <v>3</v>
      </c>
      <c r="BD8" s="1">
        <f>IF(('2回目フォームの回答 '!AJ8="ほとんどなかった"),1,(IF(('2回目フォームの回答 '!AJ8="ときどきあった"),2,(IF(('2回目フォームの回答 '!AJ8="しばしばあった"),3,(IF(('2回目フォームの回答 '!AJ8="ほとんどいつもあった"),4,"")))))))</f>
        <v>2</v>
      </c>
      <c r="BE8" s="1">
        <f>IF(('2回目フォームの回答 '!AK8="ほとんどなかった"),1,(IF(('2回目フォームの回答 '!AK8="ときどきあった"),2,(IF(('2回目フォームの回答 '!AK8="しばしばあった"),3,(IF(('2回目フォームの回答 '!AK8="ほとんどいつもあった"),4,"")))))))</f>
        <v>3</v>
      </c>
      <c r="BF8" s="1">
        <f>IF(('2回目フォームの回答 '!AL8="ほとんどなかった"),1,(IF(('2回目フォームの回答 '!AL8="ときどきあった"),2,(IF(('2回目フォームの回答 '!AL8="しばしばあった"),3,(IF(('2回目フォームの回答 '!AL8="ほとんどいつもあった"),4,"")))))))</f>
        <v>2</v>
      </c>
      <c r="BG8" s="1">
        <f>IF(('2回目フォームの回答 '!AM8="ほとんどなかった"),1,(IF(('2回目フォームの回答 '!AM8="ときどきあった"),2,(IF(('2回目フォームの回答 '!AM8="しばしばあった"),3,(IF(('2回目フォームの回答 '!AM8="ほとんどいつもあった"),4,"")))))))</f>
        <v>2</v>
      </c>
      <c r="BH8" s="1">
        <f>IF(('2回目フォームの回答 '!AN8="ほとんどなかった"),1,(IF(('2回目フォームの回答 '!AN8="ときどきあった"),2,(IF(('2回目フォームの回答 '!AN8="しばしばあった"),3,(IF(('2回目フォームの回答 '!AN8="ほとんどいつもあった"),4,"")))))))</f>
        <v>2</v>
      </c>
      <c r="BI8" s="1">
        <f>IF(('2回目フォームの回答 '!AO8="ほとんどなかった"),1,(IF(('2回目フォームの回答 '!AO8="ときどきあった"),2,(IF(('2回目フォームの回答 '!AO8="しばしばあった"),3,(IF(('2回目フォームの回答 '!AO8="ほとんどいつもあった"),4,"")))))))</f>
        <v>2</v>
      </c>
      <c r="BJ8" s="1">
        <f>IF(('2回目フォームの回答 '!AP8="ほとんどなかった"),1,(IF(('2回目フォームの回答 '!AP8="ときどきあった"),2,(IF(('2回目フォームの回答 '!AP8="しばしばあった"),3,(IF(('2回目フォームの回答 '!AP8="ほとんどいつもあった"),4,"")))))))</f>
        <v>2</v>
      </c>
      <c r="BK8" s="1">
        <f>IF(('2回目フォームの回答 '!AQ8="ほとんどなかった"),1,(IF(('2回目フォームの回答 '!AQ8="ときどきあった"),2,(IF(('2回目フォームの回答 '!AQ8="しばしばあった"),3,(IF(('2回目フォームの回答 '!AQ8="ほとんどいつもあった"),4,"")))))))</f>
        <v>2</v>
      </c>
      <c r="BL8" s="1">
        <f>IF(('2回目フォームの回答 '!AR8="ほとんどなかった"),1,(IF(('2回目フォームの回答 '!AR8="ときどきあった"),2,(IF(('2回目フォームの回答 '!AR8="しばしばあった"),3,(IF(('2回目フォームの回答 '!AR8="ほとんどいつもあった"),4,"")))))))</f>
        <v>2</v>
      </c>
      <c r="BM8" s="1">
        <f>IF(('2回目フォームの回答 '!AS8="ほとんどなかった"),1,(IF(('2回目フォームの回答 '!AS8="ときどきあった"),2,(IF(('2回目フォームの回答 '!AS8="しばしばあった"),3,(IF(('2回目フォームの回答 '!AS8="ほとんどいつもあった"),4,"")))))))</f>
        <v>2</v>
      </c>
      <c r="BN8" s="1">
        <f>IF(('2回目フォームの回答 '!AT8="ほとんどなかった"),1,(IF(('2回目フォームの回答 '!AT8="ときどきあった"),2,(IF(('2回目フォームの回答 '!AT8="しばしばあった"),3,(IF(('2回目フォームの回答 '!AT8="ほとんどいつもあった"),4,"")))))))</f>
        <v>2</v>
      </c>
      <c r="BO8" s="1">
        <f>IF(('2回目フォームの回答 '!AU8="ほとんどなかった"),1,(IF(('2回目フォームの回答 '!AU8="ときどきあった"),2,(IF(('2回目フォームの回答 '!AU8="しばしばあった"),3,(IF(('2回目フォームの回答 '!AU8="ほとんどいつもあった"),4,"")))))))</f>
        <v>2</v>
      </c>
      <c r="BP8" s="1">
        <f>IF(('2回目フォームの回答 '!AV8="ほとんどなかった"),1,(IF(('2回目フォームの回答 '!AV8="ときどきあった"),2,(IF(('2回目フォームの回答 '!AV8="しばしばあった"),3,(IF(('2回目フォームの回答 '!AV8="ほとんどいつもあった"),4,"")))))))</f>
        <v>3</v>
      </c>
      <c r="BQ8" s="1">
        <f t="shared" si="26"/>
        <v>6</v>
      </c>
      <c r="BR8" s="1">
        <f t="shared" si="27"/>
        <v>3</v>
      </c>
      <c r="BS8" s="1">
        <f t="shared" si="28"/>
        <v>8</v>
      </c>
      <c r="BT8" s="1">
        <f t="shared" si="2"/>
        <v>4</v>
      </c>
      <c r="BU8" s="1">
        <f t="shared" si="3"/>
        <v>6</v>
      </c>
      <c r="BV8" s="1">
        <f t="shared" si="4"/>
        <v>3</v>
      </c>
      <c r="BW8" s="1">
        <f t="shared" si="29"/>
        <v>9</v>
      </c>
      <c r="BX8" s="1">
        <f t="shared" si="5"/>
        <v>4</v>
      </c>
      <c r="BY8" s="1">
        <f t="shared" si="30"/>
        <v>15</v>
      </c>
      <c r="BZ8" s="1">
        <f t="shared" si="6"/>
        <v>4</v>
      </c>
      <c r="CA8" s="1">
        <f t="shared" si="31"/>
        <v>23</v>
      </c>
      <c r="CB8" s="1">
        <f t="shared" si="32"/>
        <v>4</v>
      </c>
      <c r="CC8" s="1">
        <f>IF(('2回目フォームの回答 '!AW8="非常に"),1,(IF(('2回目フォームの回答 '!AW8="かなり"),2,(IF(('2回目フォームの回答 '!AW8="多少"),3,(IF(('2回目フォームの回答 '!AW8="全くない"),4,"")))))))</f>
        <v>3</v>
      </c>
      <c r="CD8" s="1">
        <f>IF(('2回目フォームの回答 '!AX8="非常に"),1,(IF(('2回目フォームの回答 '!AX8="かなり"),2,(IF(('2回目フォームの回答 '!AX8="多少"),3,(IF(('2回目フォームの回答 '!AX8="全くない"),4,"")))))))</f>
        <v>3</v>
      </c>
      <c r="CE8" s="1">
        <f>IF(('2回目フォームの回答 '!AY8="非常に"),1,(IF(('2回目フォームの回答 '!AY8="かなり"),2,(IF(('2回目フォームの回答 '!AY8="多少"),3,(IF(('2回目フォームの回答 '!AY8="全くない"),4,"")))))))</f>
        <v>3</v>
      </c>
      <c r="CF8" s="1">
        <f>IF(('2回目フォームの回答 '!AZ8="非常に"),1,(IF(('2回目フォームの回答 '!AZ8="かなり"),2,(IF(('2回目フォームの回答 '!AZ8="多少"),3,(IF(('2回目フォームの回答 '!AZ8="全くない"),4,"")))))))</f>
        <v>3</v>
      </c>
      <c r="CG8" s="1">
        <f>IF(('2回目フォームの回答 '!BA8="非常に"),1,(IF(('2回目フォームの回答 '!BA8="かなり"),2,(IF(('2回目フォームの回答 '!BA8="多少"),3,(IF(('2回目フォームの回答 '!BA8="全くない"),4,"")))))))</f>
        <v>3</v>
      </c>
      <c r="CH8" s="1">
        <f>IF(('2回目フォームの回答 '!BB8="非常に"),1,(IF(('2回目フォームの回答 '!BB8="かなり"),2,(IF(('2回目フォームの回答 '!BB8="多少"),3,(IF(('2回目フォームの回答 '!BB8="全くない"),4,"")))))))</f>
        <v>3</v>
      </c>
      <c r="CI8" s="1">
        <f>IF(('2回目フォームの回答 '!BC8="非常に"),1,(IF(('2回目フォームの回答 '!BC8="かなり"),2,(IF(('2回目フォームの回答 '!BC8="多少"),3,(IF(('2回目フォームの回答 '!BC8="全くない"),4,"")))))))</f>
        <v>3</v>
      </c>
      <c r="CJ8" s="1">
        <f>IF(('2回目フォームの回答 '!BD8="非常に"),1,(IF(('2回目フォームの回答 '!BD8="かなり"),2,(IF(('2回目フォームの回答 '!BD8="多少"),3,(IF(('2回目フォームの回答 '!BD8="全くない"),4,"")))))))</f>
        <v>3</v>
      </c>
      <c r="CK8" s="1">
        <f>IF(('2回目フォームの回答 '!BE8="非常に"),1,(IF(('2回目フォームの回答 '!BE8="かなり"),2,(IF(('2回目フォームの回答 '!BE8="多少"),3,(IF(('2回目フォームの回答 '!BE8="全くない"),4,"")))))))</f>
        <v>3</v>
      </c>
      <c r="CL8" s="1">
        <f>IF(('2回目フォームの回答 '!BF8="満足"),1,(IF(('2回目フォームの回答 '!BF8="まぁ満足"),2,(IF(('2回目フォームの回答 '!BF8="やや満足"),3,(IF(('2回目フォームの回答 '!BF8="不満足"),4,"")))))))</f>
        <v>2</v>
      </c>
      <c r="CM8" s="1">
        <f>IF(('2回目フォームの回答 '!BG8="満足"),1,(IF(('2回目フォームの回答 '!BG8="まぁ満足"),2,(IF(('2回目フォームの回答 '!BG8="やや満足"),3,(IF(('2回目フォームの回答 '!BG8="不満足"),4,"")))))))</f>
        <v>3</v>
      </c>
      <c r="CN8" s="1">
        <f t="shared" si="33"/>
        <v>6</v>
      </c>
      <c r="CO8" s="1">
        <f t="shared" si="7"/>
        <v>4</v>
      </c>
      <c r="CP8" s="1">
        <f t="shared" si="34"/>
        <v>6</v>
      </c>
      <c r="CQ8" s="1">
        <f t="shared" si="8"/>
        <v>4</v>
      </c>
      <c r="CR8" s="1">
        <f t="shared" si="35"/>
        <v>6</v>
      </c>
      <c r="CS8" s="1">
        <f t="shared" si="36"/>
        <v>5</v>
      </c>
      <c r="CT8" s="1">
        <f t="shared" si="37"/>
        <v>5</v>
      </c>
      <c r="CU8" s="1">
        <f t="shared" si="9"/>
        <v>3</v>
      </c>
      <c r="CV8" s="1">
        <f t="shared" si="38"/>
        <v>22</v>
      </c>
      <c r="CW8" s="1">
        <f t="shared" si="39"/>
        <v>25</v>
      </c>
      <c r="CX8" s="1">
        <f t="shared" si="10"/>
        <v>13</v>
      </c>
      <c r="CY8" s="29" t="str">
        <f t="shared" si="40"/>
        <v>中①</v>
      </c>
      <c r="CZ8" s="1">
        <f>'2回目フォームの回答 '!BH8</f>
        <v>0.8</v>
      </c>
      <c r="DA8" s="2">
        <f t="shared" si="41"/>
        <v>0.19999999999999996</v>
      </c>
      <c r="DB8" s="1">
        <f>IF(('2回目フォームの回答 '!BI8="いつもより寝つきは良い"),0,(IF(('2回目フォームの回答 '!BI8="いつもより少し時間がかかった"),1,(IF(('2回目フォームの回答 '!BI8="いつもよりかなり時間がかかった"),2,(IF(('2回目フォームの回答 '!BI8="いつもより非常に時間がかかった、あるいは全く眠れなかった"),3,"")))))))</f>
        <v>0</v>
      </c>
      <c r="DC8" s="1">
        <f>IF(('2回目フォームの回答 '!BJ8="問題になるほどのことはなかった"),0,(IF(('2回目フォームの回答 '!BJ8="少し困ることがある"),1,(IF(('2回目フォームの回答 '!BJ8="かなり困っている"),2,(IF(('2回目フォームの回答 '!BJ8="深刻な状態、あるいは全く眠れなかった"),3,"")))))))</f>
        <v>1</v>
      </c>
      <c r="DD8" s="1">
        <f>IF(('2回目フォームの回答 '!BK8="そのようなことはなかった"),0,(IF(('2回目フォームの回答 '!BK8="少し早かった"),1,(IF(('2回目フォームの回答 '!BK8="かなり早かった"),2,(IF(('2回目フォームの回答 '!BK8="非常に早かった、あるいは全く眠れなかった"),3,"")))))))</f>
        <v>1</v>
      </c>
      <c r="DE8" s="1">
        <f>IF(('2回目フォームの回答 '!BL8="十分である"),0,(IF(('2回目フォームの回答 '!BL8="少し足りない"),1,(IF(('2回目フォームの回答 '!BL8="かなり足りない"),2,(IF(('2回目フォームの回答 '!BL8="全く足りない、あるいは全く眠れなかった"),3,"")))))))</f>
        <v>1</v>
      </c>
      <c r="DF8" s="1">
        <f>IF(('2回目フォームの回答 '!BM8="満足している"),0,(IF(('2回目フォームの回答 '!BM8="少し不満である"),1,(IF(('2回目フォームの回答 '!BM8="かなり不満である"),2,(IF(('2回目フォームの回答 '!BM8="非常に不満である、あるいは全く眠れなかった"),3,"")))))))</f>
        <v>1</v>
      </c>
      <c r="DG8" s="1">
        <f>IF(('2回目フォームの回答 '!BN8="いつもどおり"),0,(IF(('2回目フォームの回答 '!BN8="少し滅入った"),1,(IF(('2回目フォームの回答 '!BN8="かなり滅入った"),2,(IF(('2回目フォームの回答 '!BN8="非常に滅入った"),3,"")))))))</f>
        <v>1</v>
      </c>
      <c r="DH8" s="1">
        <f>IF(('2回目フォームの回答 '!BO8="いつもどおり"),0,(IF(('2回目フォームの回答 '!BO8="少し低下した"),1,(IF(('2回目フォームの回答 '!BO8="かなり低下した"),2,(IF(('2回目フォームの回答 '!BO8="非常に低下した"),3,"")))))))</f>
        <v>1</v>
      </c>
      <c r="DI8" s="1">
        <f>IF(('2回目フォームの回答 '!BP8="全くなかった"),0,(IF(('2回目フォームの回答 '!BP8="少しあった"),1,(IF(('2回目フォームの回答 '!BP8="かなりあった"),2,(IF(('2回目フォームの回答 '!BP8="激しかった"),3,"")))))))</f>
        <v>1</v>
      </c>
      <c r="DJ8">
        <f t="shared" si="42"/>
        <v>7</v>
      </c>
      <c r="DK8" s="4" t="str">
        <f t="shared" si="43"/>
        <v>高</v>
      </c>
      <c r="DL8" s="5">
        <v>3.2</v>
      </c>
      <c r="DM8" s="5">
        <v>3.6</v>
      </c>
      <c r="DN8" s="5">
        <v>4.9000000000000004</v>
      </c>
      <c r="DO8" s="5">
        <f t="shared" si="44"/>
        <v>11.700000000000001</v>
      </c>
      <c r="DP8" s="5"/>
      <c r="DQ8" s="5" t="s">
        <v>200</v>
      </c>
      <c r="DR8" s="5" t="s">
        <v>200</v>
      </c>
      <c r="DS8" s="71">
        <v>0.27083333333333331</v>
      </c>
      <c r="DT8" s="66">
        <v>298</v>
      </c>
      <c r="DU8" s="59">
        <f>INDEX('1回目結果'!DR:DR,MATCH($DT8,'1回目結果'!$A:$A,0))</f>
        <v>0.46</v>
      </c>
      <c r="DV8" s="59">
        <f>INDEX('1回目結果'!DS:DS,MATCH($DT8,'1回目結果'!$A:$A,0))</f>
        <v>48.04</v>
      </c>
      <c r="DW8" s="59">
        <f>INDEX('1回目結果'!DT:DT,MATCH($DT8,'1回目結果'!$A:$A,0))</f>
        <v>0.96</v>
      </c>
      <c r="DX8" s="59">
        <f>INDEX('1回目結果'!DU:DU,MATCH($DT8,'1回目結果'!$A:$A,0))</f>
        <v>48</v>
      </c>
      <c r="DY8" s="59">
        <f>IFERROR(INDEX('1回目結果'!DL:DL,MATCH('2回目結果'!$DT8,'1回目結果'!$A:$A,0)),"")</f>
        <v>7.3</v>
      </c>
      <c r="DZ8" s="59">
        <f>IFERROR(INDEX('1回目結果'!DM:DM,MATCH('2回目結果'!$DT8,'1回目結果'!$A:$A,0)),"")</f>
        <v>10.199999999999999</v>
      </c>
      <c r="EA8" s="59">
        <f>IFERROR(INDEX('1回目結果'!DN:DN,MATCH('2回目結果'!$DT8,'1回目結果'!$A:$A,0)),"")</f>
        <v>15</v>
      </c>
      <c r="EB8" s="59">
        <f>IFERROR(INDEX('1回目結果'!DO:DO,MATCH('2回目結果'!$DT8,'1回目結果'!$A:$A,0)),"")</f>
        <v>32.5</v>
      </c>
      <c r="EC8" s="59">
        <f>IFERROR(INDEX('1回目結果'!DP:DP,MATCH('2回目結果'!$DT8,'1回目結果'!$A:$A,0)),"")</f>
        <v>0</v>
      </c>
      <c r="ED8" s="59">
        <f>IFERROR(INDEX('1回目結果'!DQ:DQ,MATCH('2回目結果'!$DT8,'1回目結果'!$A:$A,0)),"")</f>
        <v>0</v>
      </c>
      <c r="EE8" s="54">
        <v>1.956</v>
      </c>
      <c r="EF8" s="54">
        <v>160.25</v>
      </c>
      <c r="EG8" s="54">
        <v>1.22</v>
      </c>
      <c r="EH8" s="54">
        <v>61</v>
      </c>
      <c r="EI8" s="43" t="s">
        <v>115</v>
      </c>
      <c r="EJ8" s="44">
        <f t="shared" si="45"/>
        <v>1.2708333333333333</v>
      </c>
      <c r="EK8" s="44">
        <f t="shared" ref="EK8:EK12" si="50">EG8/DW8</f>
        <v>1.2708333333333333</v>
      </c>
      <c r="EL8">
        <f t="shared" si="46"/>
        <v>-20.799999999999997</v>
      </c>
      <c r="EM8">
        <f t="shared" si="47"/>
        <v>-10.1</v>
      </c>
    </row>
    <row r="9" spans="1:143" ht="15.75" customHeight="1">
      <c r="A9" s="1">
        <v>328</v>
      </c>
      <c r="B9" s="24" t="s">
        <v>139</v>
      </c>
      <c r="C9" s="52">
        <v>31132</v>
      </c>
      <c r="D9" s="38">
        <v>39</v>
      </c>
      <c r="E9" s="1">
        <f>IF(('2回目フォームの回答 '!C9="そうだ"),1,(IF(('2回目フォームの回答 '!C9="まぁそうだ"),2,(IF(('2回目フォームの回答 '!C9="ややちがう"),3,(IF(('2回目フォームの回答 '!C9="ちがう"),4,"")))))))</f>
        <v>1</v>
      </c>
      <c r="F9" s="1">
        <f>IF(('2回目フォームの回答 '!D9="そうだ"),1,(IF(('2回目フォームの回答 '!D9="まぁそうだ"),2,(IF(('2回目フォームの回答 '!D9="ややちがう"),3,(IF(('2回目フォームの回答 '!D9="ちがう"),4,"")))))))</f>
        <v>1</v>
      </c>
      <c r="G9" s="1">
        <f>IF(('2回目フォームの回答 '!E9="そうだ"),1,(IF(('2回目フォームの回答 '!E9="まぁそうだ"),2,(IF(('2回目フォームの回答 '!E9="ややちがう"),3,(IF(('2回目フォームの回答 '!E9="ちがう"),4,"")))))))</f>
        <v>2</v>
      </c>
      <c r="H9" s="1">
        <f>IF(('2回目フォームの回答 '!F9="そうだ"),1,(IF(('2回目フォームの回答 '!F9="まぁそうだ"),2,(IF(('2回目フォームの回答 '!F9="ややちがう"),3,(IF(('2回目フォームの回答 '!F9="ちがう"),4,"")))))))</f>
        <v>3</v>
      </c>
      <c r="I9" s="1">
        <f>IF(('2回目フォームの回答 '!G9="そうだ"),1,(IF(('2回目フォームの回答 '!G9="まぁそうだ"),2,(IF(('2回目フォームの回答 '!G9="ややちがう"),3,(IF(('2回目フォームの回答 '!G9="ちがう"),4,"")))))))</f>
        <v>3</v>
      </c>
      <c r="J9" s="1">
        <f>IF(('2回目フォームの回答 '!H9="そうだ"),1,(IF(('2回目フォームの回答 '!H9="まぁそうだ"),2,(IF(('2回目フォームの回答 '!H9="ややちがう"),3,(IF(('2回目フォームの回答 '!H9="ちがう"),4,"")))))))</f>
        <v>1</v>
      </c>
      <c r="K9" s="1">
        <f>IF(('2回目フォームの回答 '!I9="そうだ"),1,(IF(('2回目フォームの回答 '!I9="まぁそうだ"),2,(IF(('2回目フォームの回答 '!I9="ややちがう"),3,(IF(('2回目フォームの回答 '!I9="ちがう"),4,"")))))))</f>
        <v>2</v>
      </c>
      <c r="L9" s="1">
        <f>IF(('2回目フォームの回答 '!J9="そうだ"),1,(IF(('2回目フォームの回答 '!J9="まぁそうだ"),2,(IF(('2回目フォームの回答 '!J9="ややちがう"),3,(IF(('2回目フォームの回答 '!J9="ちがう"),4,"")))))))</f>
        <v>4</v>
      </c>
      <c r="M9" s="1">
        <f>IF(('2回目フォームの回答 '!K9="そうだ"),1,(IF(('2回目フォームの回答 '!K9="まぁそうだ"),2,(IF(('2回目フォームの回答 '!K9="ややちがう"),3,(IF(('2回目フォームの回答 '!K9="ちがう"),4,"")))))))</f>
        <v>4</v>
      </c>
      <c r="N9" s="1">
        <f>IF(('2回目フォームの回答 '!L9="そうだ"),1,(IF(('2回目フォームの回答 '!L9="まぁそうだ"),2,(IF(('2回目フォームの回答 '!L9="ややちがう"),3,(IF(('2回目フォームの回答 '!L9="ちがう"),4,"")))))))</f>
        <v>4</v>
      </c>
      <c r="O9" s="1">
        <f>IF(('2回目フォームの回答 '!M9="そうだ"),1,(IF(('2回目フォームの回答 '!M9="まぁそうだ"),2,(IF(('2回目フォームの回答 '!M9="ややちがう"),3,(IF(('2回目フォームの回答 '!M9="ちがう"),4,"")))))))</f>
        <v>1</v>
      </c>
      <c r="P9" s="1">
        <f>IF(('2回目フォームの回答 '!N9="そうだ"),1,(IF(('2回目フォームの回答 '!N9="まぁそうだ"),2,(IF(('2回目フォームの回答 '!N9="ややちがう"),3,(IF(('2回目フォームの回答 '!N9="ちがう"),4,"")))))))</f>
        <v>2</v>
      </c>
      <c r="Q9" s="1">
        <f>IF(('2回目フォームの回答 '!O9="そうだ"),1,(IF(('2回目フォームの回答 '!O9="まぁそうだ"),2,(IF(('2回目フォームの回答 '!O9="ややちがう"),3,(IF(('2回目フォームの回答 '!O9="ちがう"),4,"")))))))</f>
        <v>2</v>
      </c>
      <c r="R9" s="1">
        <f>IF(('2回目フォームの回答 '!P9="そうだ"),1,(IF(('2回目フォームの回答 '!P9="まぁそうだ"),2,(IF(('2回目フォームの回答 '!P9="ややちがう"),3,(IF(('2回目フォームの回答 '!P9="ちがう"),4,"")))))))</f>
        <v>1</v>
      </c>
      <c r="S9" s="1">
        <f>IF(('2回目フォームの回答 '!Q9="そうだ"),1,(IF(('2回目フォームの回答 '!Q9="まぁそうだ"),2,(IF(('2回目フォームの回答 '!Q9="ややちがう"),3,(IF(('2回目フォームの回答 '!Q9="ちがう"),4,"")))))))</f>
        <v>2</v>
      </c>
      <c r="T9" s="1">
        <f>IF(('2回目フォームの回答 '!R9="そうだ"),1,(IF(('2回目フォームの回答 '!R9="まぁそうだ"),2,(IF(('2回目フォームの回答 '!R9="ややちがう"),3,(IF(('2回目フォームの回答 '!R9="ちがう"),4,"")))))))</f>
        <v>3</v>
      </c>
      <c r="U9" s="1">
        <f>IF(('2回目フォームの回答 '!S9="そうだ"),1,(IF(('2回目フォームの回答 '!S9="まぁそうだ"),2,(IF(('2回目フォームの回答 '!S9="ややちがう"),3,(IF(('2回目フォームの回答 '!S9="ちがう"),4,"")))))))</f>
        <v>4</v>
      </c>
      <c r="V9" s="1">
        <f t="shared" si="48"/>
        <v>11</v>
      </c>
      <c r="W9" s="1">
        <f t="shared" si="11"/>
        <v>4</v>
      </c>
      <c r="X9" s="1">
        <f t="shared" si="12"/>
        <v>8</v>
      </c>
      <c r="Y9" s="1">
        <f t="shared" si="13"/>
        <v>3</v>
      </c>
      <c r="Z9" s="1">
        <f t="shared" si="14"/>
        <v>3</v>
      </c>
      <c r="AA9" s="1">
        <f t="shared" si="15"/>
        <v>4</v>
      </c>
      <c r="AB9" s="1">
        <f t="shared" si="16"/>
        <v>7</v>
      </c>
      <c r="AC9" s="1">
        <f t="shared" si="17"/>
        <v>3</v>
      </c>
      <c r="AD9" s="1">
        <f t="shared" si="18"/>
        <v>3</v>
      </c>
      <c r="AE9" s="1">
        <f t="shared" si="0"/>
        <v>4</v>
      </c>
      <c r="AF9" s="1">
        <f t="shared" si="19"/>
        <v>3</v>
      </c>
      <c r="AG9" s="1">
        <f t="shared" si="1"/>
        <v>5</v>
      </c>
      <c r="AH9" s="1">
        <f t="shared" si="20"/>
        <v>1</v>
      </c>
      <c r="AI9" s="1">
        <f t="shared" si="21"/>
        <v>5</v>
      </c>
      <c r="AJ9" s="1">
        <f t="shared" si="22"/>
        <v>2</v>
      </c>
      <c r="AK9" s="1">
        <f t="shared" si="23"/>
        <v>4</v>
      </c>
      <c r="AL9" s="1">
        <f t="shared" si="24"/>
        <v>1</v>
      </c>
      <c r="AM9" s="1">
        <f t="shared" si="25"/>
        <v>5</v>
      </c>
      <c r="AN9" s="1">
        <f>IF(('2回目フォームの回答 '!T9="ほとんどなかった"),1,(IF(('2回目フォームの回答 '!T9="ときどきあった"),2,(IF(('2回目フォームの回答 '!T9="しばしばあった"),3,(IF(('2回目フォームの回答 '!T9="ほとんどいつもあった"),4,"")))))))</f>
        <v>1</v>
      </c>
      <c r="AO9" s="1">
        <f>IF(('2回目フォームの回答 '!U9="ほとんどなかった"),1,(IF(('2回目フォームの回答 '!U9="ときどきあった"),2,(IF(('2回目フォームの回答 '!U9="しばしばあった"),3,(IF(('2回目フォームの回答 '!U9="ほとんどいつもあった"),4,"")))))))</f>
        <v>1</v>
      </c>
      <c r="AP9" s="1">
        <f>IF(('2回目フォームの回答 '!V9="ほとんどなかった"),1,(IF(('2回目フォームの回答 '!V9="ときどきあった"),2,(IF(('2回目フォームの回答 '!V9="しばしばあった"),3,(IF(('2回目フォームの回答 '!V9="ほとんどいつもあった"),4,"")))))))</f>
        <v>1</v>
      </c>
      <c r="AQ9" s="1">
        <f>IF(('2回目フォームの回答 '!W9="ほとんどなかった"),1,(IF(('2回目フォームの回答 '!W9="ときどきあった"),2,(IF(('2回目フォームの回答 '!W9="しばしばあった"),3,(IF(('2回目フォームの回答 '!W9="ほとんどいつもあった"),4,"")))))))</f>
        <v>3</v>
      </c>
      <c r="AR9" s="1">
        <f>IF(('2回目フォームの回答 '!X9="ほとんどなかった"),1,(IF(('2回目フォームの回答 '!X9="ときどきあった"),2,(IF(('2回目フォームの回答 '!X9="しばしばあった"),3,(IF(('2回目フォームの回答 '!X9="ほとんどいつもあった"),4,"")))))))</f>
        <v>3</v>
      </c>
      <c r="AS9" s="1">
        <f>IF(('2回目フォームの回答 '!Y9="ほとんどなかった"),1,(IF(('2回目フォームの回答 '!Y9="ときどきあった"),2,(IF(('2回目フォームの回答 '!Y9="しばしばあった"),3,(IF(('2回目フォームの回答 '!Y9="ほとんどいつもあった"),4,"")))))))</f>
        <v>3</v>
      </c>
      <c r="AT9" s="1">
        <f>IF(('2回目フォームの回答 '!Z9="ほとんどなかった"),1,(IF(('2回目フォームの回答 '!Z9="ときどきあった"),2,(IF(('2回目フォームの回答 '!Z9="しばしばあった"),3,(IF(('2回目フォームの回答 '!Z9="ほとんどいつもあった"),4,"")))))))</f>
        <v>4</v>
      </c>
      <c r="AU9" s="1">
        <f>IF(('2回目フォームの回答 '!AA9="ほとんどなかった"),1,(IF(('2回目フォームの回答 '!AA9="ときどきあった"),2,(IF(('2回目フォームの回答 '!AA9="しばしばあった"),3,(IF(('2回目フォームの回答 '!AA9="ほとんどいつもあった"),4,"")))))))</f>
        <v>4</v>
      </c>
      <c r="AV9" s="1">
        <f>IF(('2回目フォームの回答 '!AB9="ほとんどなかった"),1,(IF(('2回目フォームの回答 '!AB9="ときどきばあった"),2,(IF(('2回目フォームの回答 '!AB9="しばしばあった"),3,(IF(('2回目フォームの回答 '!AB9="ほとんどいつもあった"),4,"")))))))</f>
        <v>4</v>
      </c>
      <c r="AW9" s="1">
        <f>IF(('2回目フォームの回答 '!AC9="ほとんどなかった"),1,(IF(('2回目フォームの回答 '!AC9="ときどきあった"),2,(IF(('2回目フォームの回答 '!AC9="しばしばあった"),3,(IF(('2回目フォームの回答 '!AC9="ほとんどいつもあった"),4,"")))))))</f>
        <v>3</v>
      </c>
      <c r="AX9" s="1">
        <f>IF(('2回目フォームの回答 '!AD9="ほとんどなかった"),1,(IF(('2回目フォームの回答 '!AD9="ときどきあった"),2,(IF(('2回目フォームの回答 '!AD9="しばしばあった"),3,(IF(('2回目フォームの回答 '!AD9="ほとんどいつもあった"),4,"")))))))</f>
        <v>3</v>
      </c>
      <c r="AY9" s="1">
        <f>IF(('2回目フォームの回答 '!AE9="ほとんどなかった"),1,(IF(('2回目フォームの回答 '!AE9="ときどきあった"),2,(IF(('2回目フォームの回答 '!AE9="しばしばあった"),3,(IF(('2回目フォームの回答 '!AE9="ほとんどいつもあった"),4,"")))))))</f>
        <v>3</v>
      </c>
      <c r="AZ9" s="1">
        <f>IF(('2回目フォームの回答 '!AF9="ほとんどなかった"),1,(IF(('2回目フォームの回答 '!AF9="ときどきあった"),2,(IF(('2回目フォームの回答 '!AF9="しばしばあった"),3,(IF(('2回目フォームの回答 '!AF9="ほとんどいつもあった"),4,"")))))))</f>
        <v>4</v>
      </c>
      <c r="BA9" s="1">
        <f>IF(('2回目フォームの回答 '!AG9="ほとんどなかった"),1,(IF(('2回目フォームの回答 '!AG9="ときどきあった"),2,(IF(('2回目フォームの回答 '!AG9="しばしばあった"),3,(IF(('2回目フォームの回答 '!AG9="ほとんどいつもあった"),4,"")))))))</f>
        <v>4</v>
      </c>
      <c r="BB9" s="1">
        <f>IF(('2回目フォームの回答 '!AH9="ほとんどなかった"),1,(IF(('2回目フォームの回答 '!AH9="ときどきあった"),2,(IF(('2回目フォームの回答 '!AH9="しばしばあった"),3,(IF(('2回目フォームの回答 '!AH9="ほとんどいつもあった"),4,"")))))))</f>
        <v>3</v>
      </c>
      <c r="BC9" s="1">
        <f>IF(('2回目フォームの回答 '!AI9="ほとんどなかった"),1,(IF(('2回目フォームの回答 '!AI9="ときどきあった"),2,(IF(('2回目フォームの回答 '!AI9="しばしばあった"),3,(IF(('2回目フォームの回答 '!AI9="ほとんどいつもあった"),4,"")))))))</f>
        <v>4</v>
      </c>
      <c r="BD9" s="1">
        <f>IF(('2回目フォームの回答 '!AJ9="ほとんどなかった"),1,(IF(('2回目フォームの回答 '!AJ9="ときどきあった"),2,(IF(('2回目フォームの回答 '!AJ9="しばしばあった"),3,(IF(('2回目フォームの回答 '!AJ9="ほとんどいつもあった"),4,"")))))))</f>
        <v>2</v>
      </c>
      <c r="BE9" s="1">
        <f>IF(('2回目フォームの回答 '!AK9="ほとんどなかった"),1,(IF(('2回目フォームの回答 '!AK9="ときどきあった"),2,(IF(('2回目フォームの回答 '!AK9="しばしばあった"),3,(IF(('2回目フォームの回答 '!AK9="ほとんどいつもあった"),4,"")))))))</f>
        <v>1</v>
      </c>
      <c r="BF9" s="1">
        <f>IF(('2回目フォームの回答 '!AL9="ほとんどなかった"),1,(IF(('2回目フォームの回答 '!AL9="ときどきあった"),2,(IF(('2回目フォームの回答 '!AL9="しばしばあった"),3,(IF(('2回目フォームの回答 '!AL9="ほとんどいつもあった"),4,"")))))))</f>
        <v>1</v>
      </c>
      <c r="BG9" s="1">
        <f>IF(('2回目フォームの回答 '!AM9="ほとんどなかった"),1,(IF(('2回目フォームの回答 '!AM9="ときどきあった"),2,(IF(('2回目フォームの回答 '!AM9="しばしばあった"),3,(IF(('2回目フォームの回答 '!AM9="ほとんどいつもあった"),4,"")))))))</f>
        <v>2</v>
      </c>
      <c r="BH9" s="1">
        <f>IF(('2回目フォームの回答 '!AN9="ほとんどなかった"),1,(IF(('2回目フォームの回答 '!AN9="ときどきあった"),2,(IF(('2回目フォームの回答 '!AN9="しばしばあった"),3,(IF(('2回目フォームの回答 '!AN9="ほとんどいつもあった"),4,"")))))))</f>
        <v>2</v>
      </c>
      <c r="BI9" s="1">
        <f>IF(('2回目フォームの回答 '!AO9="ほとんどなかった"),1,(IF(('2回目フォームの回答 '!AO9="ときどきあった"),2,(IF(('2回目フォームの回答 '!AO9="しばしばあった"),3,(IF(('2回目フォームの回答 '!AO9="ほとんどいつもあった"),4,"")))))))</f>
        <v>4</v>
      </c>
      <c r="BJ9" s="1">
        <f>IF(('2回目フォームの回答 '!AP9="ほとんどなかった"),1,(IF(('2回目フォームの回答 '!AP9="ときどきあった"),2,(IF(('2回目フォームの回答 '!AP9="しばしばあった"),3,(IF(('2回目フォームの回答 '!AP9="ほとんどいつもあった"),4,"")))))))</f>
        <v>1</v>
      </c>
      <c r="BK9" s="1">
        <f>IF(('2回目フォームの回答 '!AQ9="ほとんどなかった"),1,(IF(('2回目フォームの回答 '!AQ9="ときどきあった"),2,(IF(('2回目フォームの回答 '!AQ9="しばしばあった"),3,(IF(('2回目フォームの回答 '!AQ9="ほとんどいつもあった"),4,"")))))))</f>
        <v>4</v>
      </c>
      <c r="BL9" s="1">
        <f>IF(('2回目フォームの回答 '!AR9="ほとんどなかった"),1,(IF(('2回目フォームの回答 '!AR9="ときどきあった"),2,(IF(('2回目フォームの回答 '!AR9="しばしばあった"),3,(IF(('2回目フォームの回答 '!AR9="ほとんどいつもあった"),4,"")))))))</f>
        <v>2</v>
      </c>
      <c r="BM9" s="1">
        <f>IF(('2回目フォームの回答 '!AS9="ほとんどなかった"),1,(IF(('2回目フォームの回答 '!AS9="ときどきあった"),2,(IF(('2回目フォームの回答 '!AS9="しばしばあった"),3,(IF(('2回目フォームの回答 '!AS9="ほとんどいつもあった"),4,"")))))))</f>
        <v>2</v>
      </c>
      <c r="BN9" s="1">
        <f>IF(('2回目フォームの回答 '!AT9="ほとんどなかった"),1,(IF(('2回目フォームの回答 '!AT9="ときどきあった"),2,(IF(('2回目フォームの回答 '!AT9="しばしばあった"),3,(IF(('2回目フォームの回答 '!AT9="ほとんどいつもあった"),4,"")))))))</f>
        <v>1</v>
      </c>
      <c r="BO9" s="1">
        <f>IF(('2回目フォームの回答 '!AU9="ほとんどなかった"),1,(IF(('2回目フォームの回答 '!AU9="ときどきあった"),2,(IF(('2回目フォームの回答 '!AU9="しばしばあった"),3,(IF(('2回目フォームの回答 '!AU9="ほとんどいつもあった"),4,"")))))))</f>
        <v>1</v>
      </c>
      <c r="BP9" s="1">
        <f>IF(('2回目フォームの回答 '!AV9="ほとんどなかった"),1,(IF(('2回目フォームの回答 '!AV9="ときどきあった"),2,(IF(('2回目フォームの回答 '!AV9="しばしばあった"),3,(IF(('2回目フォームの回答 '!AV9="ほとんどいつもあった"),4,"")))))))</f>
        <v>2</v>
      </c>
      <c r="BQ9" s="1">
        <f t="shared" si="26"/>
        <v>3</v>
      </c>
      <c r="BR9" s="1">
        <f t="shared" si="27"/>
        <v>5</v>
      </c>
      <c r="BS9" s="1">
        <f t="shared" si="28"/>
        <v>9</v>
      </c>
      <c r="BT9" s="1">
        <f t="shared" si="2"/>
        <v>4</v>
      </c>
      <c r="BU9" s="1">
        <f t="shared" si="3"/>
        <v>12</v>
      </c>
      <c r="BV9" s="1">
        <f t="shared" si="4"/>
        <v>5</v>
      </c>
      <c r="BW9" s="1">
        <f t="shared" si="29"/>
        <v>9</v>
      </c>
      <c r="BX9" s="1">
        <f t="shared" si="5"/>
        <v>4</v>
      </c>
      <c r="BY9" s="1">
        <f t="shared" si="30"/>
        <v>18</v>
      </c>
      <c r="BZ9" s="1">
        <f t="shared" si="6"/>
        <v>5</v>
      </c>
      <c r="CA9" s="1">
        <f t="shared" si="31"/>
        <v>22</v>
      </c>
      <c r="CB9" s="1">
        <f t="shared" si="32"/>
        <v>4</v>
      </c>
      <c r="CC9" s="1">
        <f>IF(('2回目フォームの回答 '!AW9="非常に"),1,(IF(('2回目フォームの回答 '!AW9="かなり"),2,(IF(('2回目フォームの回答 '!AW9="多少"),3,(IF(('2回目フォームの回答 '!AW9="全くない"),4,"")))))))</f>
        <v>4</v>
      </c>
      <c r="CD9" s="1">
        <f>IF(('2回目フォームの回答 '!AX9="非常に"),1,(IF(('2回目フォームの回答 '!AX9="かなり"),2,(IF(('2回目フォームの回答 '!AX9="多少"),3,(IF(('2回目フォームの回答 '!AX9="全くない"),4,"")))))))</f>
        <v>1</v>
      </c>
      <c r="CE9" s="1">
        <f>IF(('2回目フォームの回答 '!AY9="非常に"),1,(IF(('2回目フォームの回答 '!AY9="かなり"),2,(IF(('2回目フォームの回答 '!AY9="多少"),3,(IF(('2回目フォームの回答 '!AY9="全くない"),4,"")))))))</f>
        <v>2</v>
      </c>
      <c r="CF9" s="1">
        <f>IF(('2回目フォームの回答 '!AZ9="非常に"),1,(IF(('2回目フォームの回答 '!AZ9="かなり"),2,(IF(('2回目フォームの回答 '!AZ9="多少"),3,(IF(('2回目フォームの回答 '!AZ9="全くない"),4,"")))))))</f>
        <v>3</v>
      </c>
      <c r="CG9" s="1">
        <f>IF(('2回目フォームの回答 '!BA9="非常に"),1,(IF(('2回目フォームの回答 '!BA9="かなり"),2,(IF(('2回目フォームの回答 '!BA9="多少"),3,(IF(('2回目フォームの回答 '!BA9="全くない"),4,"")))))))</f>
        <v>3</v>
      </c>
      <c r="CH9" s="1">
        <f>IF(('2回目フォームの回答 '!BB9="非常に"),1,(IF(('2回目フォームの回答 '!BB9="かなり"),2,(IF(('2回目フォームの回答 '!BB9="多少"),3,(IF(('2回目フォームの回答 '!BB9="全くない"),4,"")))))))</f>
        <v>2</v>
      </c>
      <c r="CI9" s="1">
        <f>IF(('2回目フォームの回答 '!BC9="非常に"),1,(IF(('2回目フォームの回答 '!BC9="かなり"),2,(IF(('2回目フォームの回答 '!BC9="多少"),3,(IF(('2回目フォームの回答 '!BC9="全くない"),4,"")))))))</f>
        <v>4</v>
      </c>
      <c r="CJ9" s="1">
        <f>IF(('2回目フォームの回答 '!BD9="非常に"),1,(IF(('2回目フォームの回答 '!BD9="かなり"),2,(IF(('2回目フォームの回答 '!BD9="多少"),3,(IF(('2回目フォームの回答 '!BD9="全くない"),4,"")))))))</f>
        <v>4</v>
      </c>
      <c r="CK9" s="1">
        <f>IF(('2回目フォームの回答 '!BE9="非常に"),1,(IF(('2回目フォームの回答 '!BE9="かなり"),2,(IF(('2回目フォームの回答 '!BE9="多少"),3,(IF(('2回目フォームの回答 '!BE9="全くない"),4,"")))))))</f>
        <v>1</v>
      </c>
      <c r="CL9" s="1">
        <f>IF(('2回目フォームの回答 '!BF9="満足"),1,(IF(('2回目フォームの回答 '!BF9="まぁ満足"),2,(IF(('2回目フォームの回答 '!BF9="やや満足"),3,(IF(('2回目フォームの回答 '!BF9="不満足"),4,"")))))))</f>
        <v>4</v>
      </c>
      <c r="CM9" s="1">
        <f>IF(('2回目フォームの回答 '!BG9="満足"),1,(IF(('2回目フォームの回答 '!BG9="まぁ満足"),2,(IF(('2回目フォームの回答 '!BG9="やや満足"),3,(IF(('2回目フォームの回答 '!BG9="不満足"),4,"")))))))</f>
        <v>4</v>
      </c>
      <c r="CN9" s="1">
        <f t="shared" si="33"/>
        <v>4</v>
      </c>
      <c r="CO9" s="1">
        <f t="shared" si="7"/>
        <v>5</v>
      </c>
      <c r="CP9" s="1">
        <f t="shared" si="34"/>
        <v>7</v>
      </c>
      <c r="CQ9" s="1">
        <f t="shared" si="8"/>
        <v>4</v>
      </c>
      <c r="CR9" s="1">
        <f t="shared" si="35"/>
        <v>10</v>
      </c>
      <c r="CS9" s="1">
        <f t="shared" si="36"/>
        <v>2</v>
      </c>
      <c r="CT9" s="1">
        <f t="shared" si="37"/>
        <v>2</v>
      </c>
      <c r="CU9" s="1">
        <f t="shared" si="9"/>
        <v>5</v>
      </c>
      <c r="CV9" s="1">
        <f t="shared" si="38"/>
        <v>27</v>
      </c>
      <c r="CW9" s="1">
        <f t="shared" si="39"/>
        <v>37</v>
      </c>
      <c r="CX9" s="1">
        <f t="shared" si="10"/>
        <v>11</v>
      </c>
      <c r="CY9" s="29" t="str">
        <f t="shared" si="40"/>
        <v>高</v>
      </c>
      <c r="CZ9" s="1">
        <f>'2回目フォームの回答 '!BH9</f>
        <v>0.6</v>
      </c>
      <c r="DA9" s="2">
        <f t="shared" si="41"/>
        <v>0.4</v>
      </c>
      <c r="DB9" s="1">
        <f>IF(('2回目フォームの回答 '!BI9="いつもより寝つきは良い"),0,(IF(('2回目フォームの回答 '!BI9="いつもより少し時間がかかった"),1,(IF(('2回目フォームの回答 '!BI9="いつもよりかなり時間がかかった"),2,(IF(('2回目フォームの回答 '!BI9="いつもより非常に時間がかかった、あるいは全く眠れなかった"),3,"")))))))</f>
        <v>0</v>
      </c>
      <c r="DC9" s="1">
        <f>IF(('2回目フォームの回答 '!BJ9="問題になるほどのことはなかった"),0,(IF(('2回目フォームの回答 '!BJ9="少し困ることがある"),1,(IF(('2回目フォームの回答 '!BJ9="かなり困っている"),2,(IF(('2回目フォームの回答 '!BJ9="深刻な状態、あるいは全く眠れなかった"),3,"")))))))</f>
        <v>0</v>
      </c>
      <c r="DD9" s="1">
        <f>IF(('2回目フォームの回答 '!BK9="そのようなことはなかった"),0,(IF(('2回目フォームの回答 '!BK9="少し早かった"),1,(IF(('2回目フォームの回答 '!BK9="かなり早かった"),2,(IF(('2回目フォームの回答 '!BK9="非常に早かった、あるいは全く眠れなかった"),3,"")))))))</f>
        <v>0</v>
      </c>
      <c r="DE9" s="1">
        <f>IF(('2回目フォームの回答 '!BL9="十分である"),0,(IF(('2回目フォームの回答 '!BL9="少し足りない"),1,(IF(('2回目フォームの回答 '!BL9="かなり足りない"),2,(IF(('2回目フォームの回答 '!BL9="全く足りない、あるいは全く眠れなかった"),3,"")))))))</f>
        <v>3</v>
      </c>
      <c r="DF9" s="1">
        <f>IF(('2回目フォームの回答 '!BM9="満足している"),0,(IF(('2回目フォームの回答 '!BM9="少し不満である"),1,(IF(('2回目フォームの回答 '!BM9="かなり不満である"),2,(IF(('2回目フォームの回答 '!BM9="非常に不満である、あるいは全く眠れなかった"),3,"")))))))</f>
        <v>3</v>
      </c>
      <c r="DG9" s="1">
        <f>IF(('2回目フォームの回答 '!BN9="いつもどおり"),0,(IF(('2回目フォームの回答 '!BN9="少し滅入った"),1,(IF(('2回目フォームの回答 '!BN9="かなり滅入った"),2,(IF(('2回目フォームの回答 '!BN9="非常に滅入った"),3,"")))))))</f>
        <v>2</v>
      </c>
      <c r="DH9" s="1">
        <f>IF(('2回目フォームの回答 '!BO9="いつもどおり"),0,(IF(('2回目フォームの回答 '!BO9="少し低下した"),1,(IF(('2回目フォームの回答 '!BO9="かなり低下した"),2,(IF(('2回目フォームの回答 '!BO9="非常に低下した"),3,"")))))))</f>
        <v>2</v>
      </c>
      <c r="DI9" s="1">
        <f>IF(('2回目フォームの回答 '!BP9="全くなかった"),0,(IF(('2回目フォームの回答 '!BP9="少しあった"),1,(IF(('2回目フォームの回答 '!BP9="かなりあった"),2,(IF(('2回目フォームの回答 '!BP9="激しかった"),3,"")))))))</f>
        <v>2</v>
      </c>
      <c r="DJ9">
        <f t="shared" si="42"/>
        <v>12</v>
      </c>
      <c r="DK9" s="4" t="str">
        <f t="shared" si="43"/>
        <v>高</v>
      </c>
      <c r="DL9" s="5">
        <v>13.7</v>
      </c>
      <c r="DM9" s="5">
        <v>8.6999999999999993</v>
      </c>
      <c r="DN9" s="5">
        <v>15.6</v>
      </c>
      <c r="DO9" s="5">
        <f t="shared" si="44"/>
        <v>38</v>
      </c>
      <c r="DP9" s="5"/>
      <c r="DQ9" s="5"/>
      <c r="DR9" s="5"/>
      <c r="DS9" s="71">
        <v>0.19097222222222221</v>
      </c>
      <c r="DT9" s="66">
        <v>295</v>
      </c>
      <c r="DU9" s="59">
        <f>INDEX('1回目結果'!DR:DR,MATCH($DT9,'1回目結果'!$A:$A,0))</f>
        <v>0.61199999999999999</v>
      </c>
      <c r="DV9" s="59">
        <f>INDEX('1回目結果'!DS:DS,MATCH($DT9,'1回目結果'!$A:$A,0))</f>
        <v>113.02</v>
      </c>
      <c r="DW9" s="59">
        <f>INDEX('1回目結果'!DT:DT,MATCH($DT9,'1回目結果'!$A:$A,0))</f>
        <v>0.54</v>
      </c>
      <c r="DX9" s="59">
        <f>INDEX('1回目結果'!DU:DU,MATCH($DT9,'1回目結果'!$A:$A,0))</f>
        <v>27</v>
      </c>
      <c r="DY9" s="59">
        <f>IFERROR(INDEX('1回目結果'!DL:DL,MATCH('2回目結果'!$DT9,'1回目結果'!$A:$A,0)),"")</f>
        <v>10.5</v>
      </c>
      <c r="DZ9" s="59">
        <f>IFERROR(INDEX('1回目結果'!DM:DM,MATCH('2回目結果'!$DT9,'1回目結果'!$A:$A,0)),"")</f>
        <v>16.899999999999999</v>
      </c>
      <c r="EA9" s="59">
        <f>IFERROR(INDEX('1回目結果'!DN:DN,MATCH('2回目結果'!$DT9,'1回目結果'!$A:$A,0)),"")</f>
        <v>34.9</v>
      </c>
      <c r="EB9" s="59">
        <f>IFERROR(INDEX('1回目結果'!DO:DO,MATCH('2回目結果'!$DT9,'1回目結果'!$A:$A,0)),"")</f>
        <v>62.3</v>
      </c>
      <c r="EC9" s="59">
        <f>IFERROR(INDEX('1回目結果'!DP:DP,MATCH('2回目結果'!$DT9,'1回目結果'!$A:$A,0)),"")</f>
        <v>0</v>
      </c>
      <c r="ED9" s="59">
        <f>IFERROR(INDEX('1回目結果'!DQ:DQ,MATCH('2回目結果'!$DT9,'1回目結果'!$A:$A,0)),"")</f>
        <v>0</v>
      </c>
      <c r="EE9" s="54">
        <v>1.004</v>
      </c>
      <c r="EF9" s="54">
        <v>147.22</v>
      </c>
      <c r="EG9" s="54">
        <v>0.68</v>
      </c>
      <c r="EH9" s="54">
        <v>34</v>
      </c>
      <c r="EI9" s="43" t="s">
        <v>115</v>
      </c>
      <c r="EJ9" s="44">
        <f t="shared" si="45"/>
        <v>1.2592592592592593</v>
      </c>
      <c r="EK9" s="44">
        <f t="shared" si="50"/>
        <v>1.2592592592592593</v>
      </c>
      <c r="EL9">
        <f t="shared" si="46"/>
        <v>-24.299999999999997</v>
      </c>
      <c r="EM9">
        <f t="shared" si="47"/>
        <v>-19.299999999999997</v>
      </c>
    </row>
    <row r="10" spans="1:143" ht="15.75" customHeight="1">
      <c r="A10" s="7">
        <v>329</v>
      </c>
      <c r="B10" s="24" t="s">
        <v>139</v>
      </c>
      <c r="C10" s="52">
        <v>35828</v>
      </c>
      <c r="D10" s="38">
        <v>26</v>
      </c>
      <c r="E10" s="1">
        <f>IF(('2回目フォームの回答 '!C10="そうだ"),1,(IF(('2回目フォームの回答 '!C10="まぁそうだ"),2,(IF(('2回目フォームの回答 '!C10="ややちがう"),3,(IF(('2回目フォームの回答 '!C10="ちがう"),4,"")))))))</f>
        <v>3</v>
      </c>
      <c r="F10" s="1">
        <f>IF(('2回目フォームの回答 '!D10="そうだ"),1,(IF(('2回目フォームの回答 '!D10="まぁそうだ"),2,(IF(('2回目フォームの回答 '!D10="ややちがう"),3,(IF(('2回目フォームの回答 '!D10="ちがう"),4,"")))))))</f>
        <v>3</v>
      </c>
      <c r="G10" s="1">
        <f>IF(('2回目フォームの回答 '!E10="そうだ"),1,(IF(('2回目フォームの回答 '!E10="まぁそうだ"),2,(IF(('2回目フォームの回答 '!E10="ややちがう"),3,(IF(('2回目フォームの回答 '!E10="ちがう"),4,"")))))))</f>
        <v>2</v>
      </c>
      <c r="H10" s="1">
        <f>IF(('2回目フォームの回答 '!F10="そうだ"),1,(IF(('2回目フォームの回答 '!F10="まぁそうだ"),2,(IF(('2回目フォームの回答 '!F10="ややちがう"),3,(IF(('2回目フォームの回答 '!F10="ちがう"),4,"")))))))</f>
        <v>1</v>
      </c>
      <c r="I10" s="1">
        <f>IF(('2回目フォームの回答 '!G10="そうだ"),1,(IF(('2回目フォームの回答 '!G10="まぁそうだ"),2,(IF(('2回目フォームの回答 '!G10="ややちがう"),3,(IF(('2回目フォームの回答 '!G10="ちがう"),4,"")))))))</f>
        <v>2</v>
      </c>
      <c r="J10" s="1">
        <f>IF(('2回目フォームの回答 '!H10="そうだ"),1,(IF(('2回目フォームの回答 '!H10="まぁそうだ"),2,(IF(('2回目フォームの回答 '!H10="ややちがう"),3,(IF(('2回目フォームの回答 '!H10="ちがう"),4,"")))))))</f>
        <v>2</v>
      </c>
      <c r="K10" s="1">
        <f>IF(('2回目フォームの回答 '!I10="そうだ"),1,(IF(('2回目フォームの回答 '!I10="まぁそうだ"),2,(IF(('2回目フォームの回答 '!I10="ややちがう"),3,(IF(('2回目フォームの回答 '!I10="ちがう"),4,"")))))))</f>
        <v>4</v>
      </c>
      <c r="L10" s="1">
        <f>IF(('2回目フォームの回答 '!J10="そうだ"),1,(IF(('2回目フォームの回答 '!J10="まぁそうだ"),2,(IF(('2回目フォームの回答 '!J10="ややちがう"),3,(IF(('2回目フォームの回答 '!J10="ちがう"),4,"")))))))</f>
        <v>2</v>
      </c>
      <c r="M10" s="1">
        <f>IF(('2回目フォームの回答 '!K10="そうだ"),1,(IF(('2回目フォームの回答 '!K10="まぁそうだ"),2,(IF(('2回目フォームの回答 '!K10="ややちがう"),3,(IF(('2回目フォームの回答 '!K10="ちがう"),4,"")))))))</f>
        <v>2</v>
      </c>
      <c r="N10" s="1">
        <f>IF(('2回目フォームの回答 '!L10="そうだ"),1,(IF(('2回目フォームの回答 '!L10="まぁそうだ"),2,(IF(('2回目フォームの回答 '!L10="ややちがう"),3,(IF(('2回目フォームの回答 '!L10="ちがう"),4,"")))))))</f>
        <v>2</v>
      </c>
      <c r="O10" s="1">
        <f>IF(('2回目フォームの回答 '!M10="そうだ"),1,(IF(('2回目フォームの回答 '!M10="まぁそうだ"),2,(IF(('2回目フォームの回答 '!M10="ややちがう"),3,(IF(('2回目フォームの回答 '!M10="ちがう"),4,"")))))))</f>
        <v>3</v>
      </c>
      <c r="P10" s="1">
        <f>IF(('2回目フォームの回答 '!N10="そうだ"),1,(IF(('2回目フォームの回答 '!N10="まぁそうだ"),2,(IF(('2回目フォームの回答 '!N10="ややちがう"),3,(IF(('2回目フォームの回答 '!N10="ちがう"),4,"")))))))</f>
        <v>4</v>
      </c>
      <c r="Q10" s="1">
        <f>IF(('2回目フォームの回答 '!O10="そうだ"),1,(IF(('2回目フォームの回答 '!O10="まぁそうだ"),2,(IF(('2回目フォームの回答 '!O10="ややちがう"),3,(IF(('2回目フォームの回答 '!O10="ちがう"),4,"")))))))</f>
        <v>3</v>
      </c>
      <c r="R10" s="1">
        <f>IF(('2回目フォームの回答 '!P10="そうだ"),1,(IF(('2回目フォームの回答 '!P10="まぁそうだ"),2,(IF(('2回目フォームの回答 '!P10="ややちがう"),3,(IF(('2回目フォームの回答 '!P10="ちがう"),4,"")))))))</f>
        <v>2</v>
      </c>
      <c r="S10" s="1">
        <f>IF(('2回目フォームの回答 '!Q10="そうだ"),1,(IF(('2回目フォームの回答 '!Q10="まぁそうだ"),2,(IF(('2回目フォームの回答 '!Q10="ややちがう"),3,(IF(('2回目フォームの回答 '!Q10="ちがう"),4,"")))))))</f>
        <v>4</v>
      </c>
      <c r="T10" s="1">
        <f>IF(('2回目フォームの回答 '!R10="そうだ"),1,(IF(('2回目フォームの回答 '!R10="まぁそうだ"),2,(IF(('2回目フォームの回答 '!R10="ややちがう"),3,(IF(('2回目フォームの回答 '!R10="ちがう"),4,"")))))))</f>
        <v>2</v>
      </c>
      <c r="U10" s="1">
        <f>IF(('2回目フォームの回答 '!S10="そうだ"),1,(IF(('2回目フォームの回答 '!S10="まぁそうだ"),2,(IF(('2回目フォームの回答 '!S10="ややちがう"),3,(IF(('2回目フォームの回答 '!S10="ちがう"),4,"")))))))</f>
        <v>2</v>
      </c>
      <c r="V10" s="1">
        <f t="shared" si="48"/>
        <v>7</v>
      </c>
      <c r="W10" s="1">
        <f t="shared" si="11"/>
        <v>2</v>
      </c>
      <c r="X10" s="1">
        <f t="shared" si="12"/>
        <v>10</v>
      </c>
      <c r="Y10" s="1">
        <f t="shared" si="13"/>
        <v>4</v>
      </c>
      <c r="Z10" s="1">
        <f t="shared" si="14"/>
        <v>1</v>
      </c>
      <c r="AA10" s="1">
        <f t="shared" si="15"/>
        <v>2</v>
      </c>
      <c r="AB10" s="1">
        <f t="shared" si="16"/>
        <v>5</v>
      </c>
      <c r="AC10" s="1">
        <f t="shared" si="17"/>
        <v>2</v>
      </c>
      <c r="AD10" s="1">
        <f t="shared" si="18"/>
        <v>1</v>
      </c>
      <c r="AE10" s="1">
        <f t="shared" si="0"/>
        <v>2</v>
      </c>
      <c r="AF10" s="1">
        <f t="shared" si="19"/>
        <v>9</v>
      </c>
      <c r="AG10" s="1">
        <f t="shared" si="1"/>
        <v>2</v>
      </c>
      <c r="AH10" s="1">
        <f t="shared" si="20"/>
        <v>3</v>
      </c>
      <c r="AI10" s="1">
        <f t="shared" si="21"/>
        <v>3</v>
      </c>
      <c r="AJ10" s="1">
        <f t="shared" si="22"/>
        <v>3</v>
      </c>
      <c r="AK10" s="1">
        <f t="shared" si="23"/>
        <v>3</v>
      </c>
      <c r="AL10" s="1">
        <f t="shared" si="24"/>
        <v>3</v>
      </c>
      <c r="AM10" s="1">
        <f t="shared" si="25"/>
        <v>3</v>
      </c>
      <c r="AN10" s="1">
        <f>IF(('2回目フォームの回答 '!T10="ほとんどなかった"),1,(IF(('2回目フォームの回答 '!T10="ときどきあった"),2,(IF(('2回目フォームの回答 '!T10="しばしばあった"),3,(IF(('2回目フォームの回答 '!T10="ほとんどいつもあった"),4,"")))))))</f>
        <v>2</v>
      </c>
      <c r="AO10" s="1">
        <f>IF(('2回目フォームの回答 '!U10="ほとんどなかった"),1,(IF(('2回目フォームの回答 '!U10="ときどきあった"),2,(IF(('2回目フォームの回答 '!U10="しばしばあった"),3,(IF(('2回目フォームの回答 '!U10="ほとんどいつもあった"),4,"")))))))</f>
        <v>2</v>
      </c>
      <c r="AP10" s="1">
        <f>IF(('2回目フォームの回答 '!V10="ほとんどなかった"),1,(IF(('2回目フォームの回答 '!V10="ときどきあった"),2,(IF(('2回目フォームの回答 '!V10="しばしばあった"),3,(IF(('2回目フォームの回答 '!V10="ほとんどいつもあった"),4,"")))))))</f>
        <v>2</v>
      </c>
      <c r="AQ10" s="1">
        <f>IF(('2回目フォームの回答 '!W10="ほとんどなかった"),1,(IF(('2回目フォームの回答 '!W10="ときどきあった"),2,(IF(('2回目フォームの回答 '!W10="しばしばあった"),3,(IF(('2回目フォームの回答 '!W10="ほとんどいつもあった"),4,"")))))))</f>
        <v>1</v>
      </c>
      <c r="AR10" s="1">
        <f>IF(('2回目フォームの回答 '!X10="ほとんどなかった"),1,(IF(('2回目フォームの回答 '!X10="ときどきあった"),2,(IF(('2回目フォームの回答 '!X10="しばしばあった"),3,(IF(('2回目フォームの回答 '!X10="ほとんどいつもあった"),4,"")))))))</f>
        <v>2</v>
      </c>
      <c r="AS10" s="1">
        <f>IF(('2回目フォームの回答 '!Y10="ほとんどなかった"),1,(IF(('2回目フォームの回答 '!Y10="ときどきあった"),2,(IF(('2回目フォームの回答 '!Y10="しばしばあった"),3,(IF(('2回目フォームの回答 '!Y10="ほとんどいつもあった"),4,"")))))))</f>
        <v>1</v>
      </c>
      <c r="AT10" s="1">
        <f>IF(('2回目フォームの回答 '!Z10="ほとんどなかった"),1,(IF(('2回目フォームの回答 '!Z10="ときどきあった"),2,(IF(('2回目フォームの回答 '!Z10="しばしばあった"),3,(IF(('2回目フォームの回答 '!Z10="ほとんどいつもあった"),4,"")))))))</f>
        <v>3</v>
      </c>
      <c r="AU10" s="1">
        <f>IF(('2回目フォームの回答 '!AA10="ほとんどなかった"),1,(IF(('2回目フォームの回答 '!AA10="ときどきあった"),2,(IF(('2回目フォームの回答 '!AA10="しばしばあった"),3,(IF(('2回目フォームの回答 '!AA10="ほとんどいつもあった"),4,"")))))))</f>
        <v>3</v>
      </c>
      <c r="AV10" s="1">
        <f>IF(('2回目フォームの回答 '!AB10="ほとんどなかった"),1,(IF(('2回目フォームの回答 '!AB10="ときどきばあった"),2,(IF(('2回目フォームの回答 '!AB10="しばしばあった"),3,(IF(('2回目フォームの回答 '!AB10="ほとんどいつもあった"),4,"")))))))</f>
        <v>3</v>
      </c>
      <c r="AW10" s="1">
        <f>IF(('2回目フォームの回答 '!AC10="ほとんどなかった"),1,(IF(('2回目フォームの回答 '!AC10="ときどきあった"),2,(IF(('2回目フォームの回答 '!AC10="しばしばあった"),3,(IF(('2回目フォームの回答 '!AC10="ほとんどいつもあった"),4,"")))))))</f>
        <v>1</v>
      </c>
      <c r="AX10" s="1">
        <f>IF(('2回目フォームの回答 '!AD10="ほとんどなかった"),1,(IF(('2回目フォームの回答 '!AD10="ときどきあった"),2,(IF(('2回目フォームの回答 '!AD10="しばしばあった"),3,(IF(('2回目フォームの回答 '!AD10="ほとんどいつもあった"),4,"")))))))</f>
        <v>2</v>
      </c>
      <c r="AY10" s="1">
        <f>IF(('2回目フォームの回答 '!AE10="ほとんどなかった"),1,(IF(('2回目フォームの回答 '!AE10="ときどきあった"),2,(IF(('2回目フォームの回答 '!AE10="しばしばあった"),3,(IF(('2回目フォームの回答 '!AE10="ほとんどいつもあった"),4,"")))))))</f>
        <v>2</v>
      </c>
      <c r="AZ10" s="1">
        <f>IF(('2回目フォームの回答 '!AF10="ほとんどなかった"),1,(IF(('2回目フォームの回答 '!AF10="ときどきあった"),2,(IF(('2回目フォームの回答 '!AF10="しばしばあった"),3,(IF(('2回目フォームの回答 '!AF10="ほとんどいつもあった"),4,"")))))))</f>
        <v>2</v>
      </c>
      <c r="BA10" s="1">
        <f>IF(('2回目フォームの回答 '!AG10="ほとんどなかった"),1,(IF(('2回目フォームの回答 '!AG10="ときどきあった"),2,(IF(('2回目フォームの回答 '!AG10="しばしばあった"),3,(IF(('2回目フォームの回答 '!AG10="ほとんどいつもあった"),4,"")))))))</f>
        <v>2</v>
      </c>
      <c r="BB10" s="1">
        <f>IF(('2回目フォームの回答 '!AH10="ほとんどなかった"),1,(IF(('2回目フォームの回答 '!AH10="ときどきあった"),2,(IF(('2回目フォームの回答 '!AH10="しばしばあった"),3,(IF(('2回目フォームの回答 '!AH10="ほとんどいつもあった"),4,"")))))))</f>
        <v>2</v>
      </c>
      <c r="BC10" s="1">
        <f>IF(('2回目フォームの回答 '!AI10="ほとんどなかった"),1,(IF(('2回目フォームの回答 '!AI10="ときどきあった"),2,(IF(('2回目フォームの回答 '!AI10="しばしばあった"),3,(IF(('2回目フォームの回答 '!AI10="ほとんどいつもあった"),4,"")))))))</f>
        <v>2</v>
      </c>
      <c r="BD10" s="1">
        <f>IF(('2回目フォームの回答 '!AJ10="ほとんどなかった"),1,(IF(('2回目フォームの回答 '!AJ10="ときどきあった"),2,(IF(('2回目フォームの回答 '!AJ10="しばしばあった"),3,(IF(('2回目フォームの回答 '!AJ10="ほとんどいつもあった"),4,"")))))))</f>
        <v>2</v>
      </c>
      <c r="BE10" s="1">
        <f>IF(('2回目フォームの回答 '!AK10="ほとんどなかった"),1,(IF(('2回目フォームの回答 '!AK10="ときどきあった"),2,(IF(('2回目フォームの回答 '!AK10="しばしばあった"),3,(IF(('2回目フォームの回答 '!AK10="ほとんどいつもあった"),4,"")))))))</f>
        <v>1</v>
      </c>
      <c r="BF10" s="1">
        <f>IF(('2回目フォームの回答 '!AL10="ほとんどなかった"),1,(IF(('2回目フォームの回答 '!AL10="ときどきあった"),2,(IF(('2回目フォームの回答 '!AL10="しばしばあった"),3,(IF(('2回目フォームの回答 '!AL10="ほとんどいつもあった"),4,"")))))))</f>
        <v>1</v>
      </c>
      <c r="BG10" s="1">
        <f>IF(('2回目フォームの回答 '!AM10="ほとんどなかった"),1,(IF(('2回目フォームの回答 '!AM10="ときどきあった"),2,(IF(('2回目フォームの回答 '!AM10="しばしばあった"),3,(IF(('2回目フォームの回答 '!AM10="ほとんどいつもあった"),4,"")))))))</f>
        <v>1</v>
      </c>
      <c r="BH10" s="1">
        <f>IF(('2回目フォームの回答 '!AN10="ほとんどなかった"),1,(IF(('2回目フォームの回答 '!AN10="ときどきあった"),2,(IF(('2回目フォームの回答 '!AN10="しばしばあった"),3,(IF(('2回目フォームの回答 '!AN10="ほとんどいつもあった"),4,"")))))))</f>
        <v>2</v>
      </c>
      <c r="BI10" s="1">
        <f>IF(('2回目フォームの回答 '!AO10="ほとんどなかった"),1,(IF(('2回目フォームの回答 '!AO10="ときどきあった"),2,(IF(('2回目フォームの回答 '!AO10="しばしばあった"),3,(IF(('2回目フォームの回答 '!AO10="ほとんどいつもあった"),4,"")))))))</f>
        <v>3</v>
      </c>
      <c r="BJ10" s="1">
        <f>IF(('2回目フォームの回答 '!AP10="ほとんどなかった"),1,(IF(('2回目フォームの回答 '!AP10="ときどきあった"),2,(IF(('2回目フォームの回答 '!AP10="しばしばあった"),3,(IF(('2回目フォームの回答 '!AP10="ほとんどいつもあった"),4,"")))))))</f>
        <v>1</v>
      </c>
      <c r="BK10" s="1">
        <f>IF(('2回目フォームの回答 '!AQ10="ほとんどなかった"),1,(IF(('2回目フォームの回答 '!AQ10="ときどきあった"),2,(IF(('2回目フォームの回答 '!AQ10="しばしばあった"),3,(IF(('2回目フォームの回答 '!AQ10="ほとんどいつもあった"),4,"")))))))</f>
        <v>2</v>
      </c>
      <c r="BL10" s="1">
        <f>IF(('2回目フォームの回答 '!AR10="ほとんどなかった"),1,(IF(('2回目フォームの回答 '!AR10="ときどきあった"),2,(IF(('2回目フォームの回答 '!AR10="しばしばあった"),3,(IF(('2回目フォームの回答 '!AR10="ほとんどいつもあった"),4,"")))))))</f>
        <v>1</v>
      </c>
      <c r="BM10" s="1">
        <f>IF(('2回目フォームの回答 '!AS10="ほとんどなかった"),1,(IF(('2回目フォームの回答 '!AS10="ときどきあった"),2,(IF(('2回目フォームの回答 '!AS10="しばしばあった"),3,(IF(('2回目フォームの回答 '!AS10="ほとんどいつもあった"),4,"")))))))</f>
        <v>1</v>
      </c>
      <c r="BN10" s="1">
        <f>IF(('2回目フォームの回答 '!AT10="ほとんどなかった"),1,(IF(('2回目フォームの回答 '!AT10="ときどきあった"),2,(IF(('2回目フォームの回答 '!AT10="しばしばあった"),3,(IF(('2回目フォームの回答 '!AT10="ほとんどいつもあった"),4,"")))))))</f>
        <v>1</v>
      </c>
      <c r="BO10" s="1">
        <f>IF(('2回目フォームの回答 '!AU10="ほとんどなかった"),1,(IF(('2回目フォームの回答 '!AU10="ときどきあった"),2,(IF(('2回目フォームの回答 '!AU10="しばしばあった"),3,(IF(('2回目フォームの回答 '!AU10="ほとんどいつもあった"),4,"")))))))</f>
        <v>1</v>
      </c>
      <c r="BP10" s="1">
        <f>IF(('2回目フォームの回答 '!AV10="ほとんどなかった"),1,(IF(('2回目フォームの回答 '!AV10="ときどきあった"),2,(IF(('2回目フォームの回答 '!AV10="しばしばあった"),3,(IF(('2回目フォームの回答 '!AV10="ほとんどいつもあった"),4,"")))))))</f>
        <v>2</v>
      </c>
      <c r="BQ10" s="1">
        <f t="shared" si="26"/>
        <v>6</v>
      </c>
      <c r="BR10" s="1">
        <f t="shared" si="27"/>
        <v>3</v>
      </c>
      <c r="BS10" s="1">
        <f t="shared" si="28"/>
        <v>4</v>
      </c>
      <c r="BT10" s="1">
        <f t="shared" si="2"/>
        <v>2</v>
      </c>
      <c r="BU10" s="1">
        <f t="shared" si="3"/>
        <v>9</v>
      </c>
      <c r="BV10" s="1">
        <f t="shared" si="4"/>
        <v>4</v>
      </c>
      <c r="BW10" s="1">
        <f t="shared" si="29"/>
        <v>5</v>
      </c>
      <c r="BX10" s="1">
        <f t="shared" si="5"/>
        <v>3</v>
      </c>
      <c r="BY10" s="1">
        <f t="shared" si="30"/>
        <v>11</v>
      </c>
      <c r="BZ10" s="1">
        <f t="shared" si="6"/>
        <v>3</v>
      </c>
      <c r="CA10" s="1">
        <f t="shared" si="31"/>
        <v>16</v>
      </c>
      <c r="CB10" s="1">
        <f t="shared" si="32"/>
        <v>3</v>
      </c>
      <c r="CC10" s="1">
        <f>IF(('2回目フォームの回答 '!AW10="非常に"),1,(IF(('2回目フォームの回答 '!AW10="かなり"),2,(IF(('2回目フォームの回答 '!AW10="多少"),3,(IF(('2回目フォームの回答 '!AW10="全くない"),4,"")))))))</f>
        <v>3</v>
      </c>
      <c r="CD10" s="1">
        <f>IF(('2回目フォームの回答 '!AX10="非常に"),1,(IF(('2回目フォームの回答 '!AX10="かなり"),2,(IF(('2回目フォームの回答 '!AX10="多少"),3,(IF(('2回目フォームの回答 '!AX10="全くない"),4,"")))))))</f>
        <v>2</v>
      </c>
      <c r="CE10" s="1">
        <f>IF(('2回目フォームの回答 '!AY10="非常に"),1,(IF(('2回目フォームの回答 '!AY10="かなり"),2,(IF(('2回目フォームの回答 '!AY10="多少"),3,(IF(('2回目フォームの回答 '!AY10="全くない"),4,"")))))))</f>
        <v>4</v>
      </c>
      <c r="CF10" s="1">
        <f>IF(('2回目フォームの回答 '!AZ10="非常に"),1,(IF(('2回目フォームの回答 '!AZ10="かなり"),2,(IF(('2回目フォームの回答 '!AZ10="多少"),3,(IF(('2回目フォームの回答 '!AZ10="全くない"),4,"")))))))</f>
        <v>2</v>
      </c>
      <c r="CG10" s="1">
        <f>IF(('2回目フォームの回答 '!BA10="非常に"),1,(IF(('2回目フォームの回答 '!BA10="かなり"),2,(IF(('2回目フォームの回答 '!BA10="多少"),3,(IF(('2回目フォームの回答 '!BA10="全くない"),4,"")))))))</f>
        <v>2</v>
      </c>
      <c r="CH10" s="1">
        <f>IF(('2回目フォームの回答 '!BB10="非常に"),1,(IF(('2回目フォームの回答 '!BB10="かなり"),2,(IF(('2回目フォームの回答 '!BB10="多少"),3,(IF(('2回目フォームの回答 '!BB10="全くない"),4,"")))))))</f>
        <v>3</v>
      </c>
      <c r="CI10" s="1">
        <f>IF(('2回目フォームの回答 '!BC10="非常に"),1,(IF(('2回目フォームの回答 '!BC10="かなり"),2,(IF(('2回目フォームの回答 '!BC10="多少"),3,(IF(('2回目フォームの回答 '!BC10="全くない"),4,"")))))))</f>
        <v>3</v>
      </c>
      <c r="CJ10" s="1">
        <f>IF(('2回目フォームの回答 '!BD10="非常に"),1,(IF(('2回目フォームの回答 '!BD10="かなり"),2,(IF(('2回目フォームの回答 '!BD10="多少"),3,(IF(('2回目フォームの回答 '!BD10="全くない"),4,"")))))))</f>
        <v>2</v>
      </c>
      <c r="CK10" s="1">
        <f>IF(('2回目フォームの回答 '!BE10="非常に"),1,(IF(('2回目フォームの回答 '!BE10="かなり"),2,(IF(('2回目フォームの回答 '!BE10="多少"),3,(IF(('2回目フォームの回答 '!BE10="全くない"),4,"")))))))</f>
        <v>3</v>
      </c>
      <c r="CL10" s="1">
        <f>IF(('2回目フォームの回答 '!BF10="満足"),1,(IF(('2回目フォームの回答 '!BF10="まぁ満足"),2,(IF(('2回目フォームの回答 '!BF10="やや満足"),3,(IF(('2回目フォームの回答 '!BF10="不満足"),4,"")))))))</f>
        <v>2</v>
      </c>
      <c r="CM10" s="1">
        <f>IF(('2回目フォームの回答 '!BG10="満足"),1,(IF(('2回目フォームの回答 '!BG10="まぁ満足"),2,(IF(('2回目フォームの回答 '!BG10="やや満足"),3,(IF(('2回目フォームの回答 '!BG10="不満足"),4,"")))))))</f>
        <v>2</v>
      </c>
      <c r="CN10" s="1">
        <f t="shared" si="33"/>
        <v>7</v>
      </c>
      <c r="CO10" s="1">
        <f t="shared" si="7"/>
        <v>3</v>
      </c>
      <c r="CP10" s="1">
        <f t="shared" si="34"/>
        <v>9</v>
      </c>
      <c r="CQ10" s="1">
        <f t="shared" si="8"/>
        <v>3</v>
      </c>
      <c r="CR10" s="1">
        <f t="shared" si="35"/>
        <v>5</v>
      </c>
      <c r="CS10" s="1">
        <f t="shared" si="36"/>
        <v>5</v>
      </c>
      <c r="CT10" s="1">
        <f t="shared" si="37"/>
        <v>6</v>
      </c>
      <c r="CU10" s="1">
        <f t="shared" si="9"/>
        <v>3</v>
      </c>
      <c r="CV10" s="1">
        <f t="shared" si="38"/>
        <v>18</v>
      </c>
      <c r="CW10" s="1">
        <f t="shared" si="39"/>
        <v>23</v>
      </c>
      <c r="CX10" s="1">
        <f t="shared" si="10"/>
        <v>11</v>
      </c>
      <c r="CY10" s="29" t="str">
        <f t="shared" si="40"/>
        <v>低</v>
      </c>
      <c r="CZ10" s="1">
        <f>'2回目フォームの回答 '!BH10</f>
        <v>0.75</v>
      </c>
      <c r="DA10" s="2">
        <f t="shared" si="41"/>
        <v>0.25</v>
      </c>
      <c r="DB10" s="1">
        <f>IF(('2回目フォームの回答 '!BI10="いつもより寝つきは良い"),0,(IF(('2回目フォームの回答 '!BI10="いつもより少し時間がかかった"),1,(IF(('2回目フォームの回答 '!BI10="いつもよりかなり時間がかかった"),2,(IF(('2回目フォームの回答 '!BI10="いつもより非常に時間がかかった、あるいは全く眠れなかった"),3,"")))))))</f>
        <v>1</v>
      </c>
      <c r="DC10" s="1">
        <f>IF(('2回目フォームの回答 '!BJ10="問題になるほどのことはなかった"),0,(IF(('2回目フォームの回答 '!BJ10="少し困ることがある"),1,(IF(('2回目フォームの回答 '!BJ10="かなり困っている"),2,(IF(('2回目フォームの回答 '!BJ10="深刻な状態、あるいは全く眠れなかった"),3,"")))))))</f>
        <v>0</v>
      </c>
      <c r="DD10" s="1">
        <f>IF(('2回目フォームの回答 '!BK10="そのようなことはなかった"),0,(IF(('2回目フォームの回答 '!BK10="少し早かった"),1,(IF(('2回目フォームの回答 '!BK10="かなり早かった"),2,(IF(('2回目フォームの回答 '!BK10="非常に早かった、あるいは全く眠れなかった"),3,"")))))))</f>
        <v>0</v>
      </c>
      <c r="DE10" s="1">
        <f>IF(('2回目フォームの回答 '!BL10="十分である"),0,(IF(('2回目フォームの回答 '!BL10="少し足りない"),1,(IF(('2回目フォームの回答 '!BL10="かなり足りない"),2,(IF(('2回目フォームの回答 '!BL10="全く足りない、あるいは全く眠れなかった"),3,"")))))))</f>
        <v>1</v>
      </c>
      <c r="DF10" s="1">
        <f>IF(('2回目フォームの回答 '!BM10="満足している"),0,(IF(('2回目フォームの回答 '!BM10="少し不満である"),1,(IF(('2回目フォームの回答 '!BM10="かなり不満である"),2,(IF(('2回目フォームの回答 '!BM10="非常に不満である、あるいは全く眠れなかった"),3,"")))))))</f>
        <v>1</v>
      </c>
      <c r="DG10" s="1">
        <f>IF(('2回目フォームの回答 '!BN10="いつもどおり"),0,(IF(('2回目フォームの回答 '!BN10="少し滅入った"),1,(IF(('2回目フォームの回答 '!BN10="かなり滅入った"),2,(IF(('2回目フォームの回答 '!BN10="非常に滅入った"),3,"")))))))</f>
        <v>1</v>
      </c>
      <c r="DH10" s="1">
        <f>IF(('2回目フォームの回答 '!BO10="いつもどおり"),0,(IF(('2回目フォームの回答 '!BO10="少し低下した"),1,(IF(('2回目フォームの回答 '!BO10="かなり低下した"),2,(IF(('2回目フォームの回答 '!BO10="非常に低下した"),3,"")))))))</f>
        <v>0</v>
      </c>
      <c r="DI10" s="1">
        <f>IF(('2回目フォームの回答 '!BP10="全くなかった"),0,(IF(('2回目フォームの回答 '!BP10="少しあった"),1,(IF(('2回目フォームの回答 '!BP10="かなりあった"),2,(IF(('2回目フォームの回答 '!BP10="激しかった"),3,"")))))))</f>
        <v>1</v>
      </c>
      <c r="DJ10">
        <f t="shared" si="42"/>
        <v>5</v>
      </c>
      <c r="DK10" s="4" t="str">
        <f t="shared" si="43"/>
        <v>中</v>
      </c>
      <c r="DL10" s="5">
        <v>0.1</v>
      </c>
      <c r="DM10" s="5">
        <v>0</v>
      </c>
      <c r="DN10" s="5">
        <v>0.1</v>
      </c>
      <c r="DO10" s="5">
        <f t="shared" si="44"/>
        <v>0.2</v>
      </c>
      <c r="DP10" s="5"/>
      <c r="DQ10" s="5" t="s">
        <v>200</v>
      </c>
      <c r="DR10" s="5"/>
      <c r="DS10" s="71">
        <v>0.27083333333333331</v>
      </c>
      <c r="DT10" s="66">
        <v>297</v>
      </c>
      <c r="DU10" s="59">
        <f>INDEX('1回目結果'!DR:DR,MATCH($DT10,'1回目結果'!$A:$A,0))</f>
        <v>0.44</v>
      </c>
      <c r="DV10" s="59">
        <f>INDEX('1回目結果'!DS:DS,MATCH($DT10,'1回目結果'!$A:$A,0))</f>
        <v>68.78</v>
      </c>
      <c r="DW10" s="59">
        <f>INDEX('1回目結果'!DT:DT,MATCH($DT10,'1回目結果'!$A:$A,0))</f>
        <v>0.64</v>
      </c>
      <c r="DX10" s="59">
        <f>INDEX('1回目結果'!DU:DU,MATCH($DT10,'1回目結果'!$A:$A,0))</f>
        <v>32</v>
      </c>
      <c r="DY10" s="59">
        <f>IFERROR(INDEX('1回目結果'!DL:DL,MATCH('2回目結果'!$DT10,'1回目結果'!$A:$A,0)),"")</f>
        <v>0</v>
      </c>
      <c r="DZ10" s="59">
        <f>IFERROR(INDEX('1回目結果'!DM:DM,MATCH('2回目結果'!$DT10,'1回目結果'!$A:$A,0)),"")</f>
        <v>0.1</v>
      </c>
      <c r="EA10" s="59">
        <f>IFERROR(INDEX('1回目結果'!DN:DN,MATCH('2回目結果'!$DT10,'1回目結果'!$A:$A,0)),"")</f>
        <v>0.2</v>
      </c>
      <c r="EB10" s="59">
        <f>IFERROR(INDEX('1回目結果'!DO:DO,MATCH('2回目結果'!$DT10,'1回目結果'!$A:$A,0)),"")</f>
        <v>0.30000000000000004</v>
      </c>
      <c r="EC10" s="59">
        <f>IFERROR(INDEX('1回目結果'!DP:DP,MATCH('2回目結果'!$DT10,'1回目結果'!$A:$A,0)),"")</f>
        <v>0</v>
      </c>
      <c r="ED10" s="59">
        <f>IFERROR(INDEX('1回目結果'!DQ:DQ,MATCH('2回目結果'!$DT10,'1回目結果'!$A:$A,0)),"")</f>
        <v>0</v>
      </c>
      <c r="EE10" s="54">
        <v>3.4159999999999999</v>
      </c>
      <c r="EF10" s="54">
        <v>196.85</v>
      </c>
      <c r="EG10" s="54">
        <v>1.74</v>
      </c>
      <c r="EH10" s="54">
        <v>78</v>
      </c>
      <c r="EI10" s="67" t="s">
        <v>246</v>
      </c>
      <c r="EJ10" s="44">
        <f t="shared" si="45"/>
        <v>2.4375</v>
      </c>
      <c r="EK10" s="44">
        <f t="shared" si="50"/>
        <v>2.71875</v>
      </c>
      <c r="EL10">
        <f t="shared" si="46"/>
        <v>-0.10000000000000003</v>
      </c>
      <c r="EM10">
        <f t="shared" si="47"/>
        <v>-0.1</v>
      </c>
    </row>
    <row r="11" spans="1:143" ht="15.75" customHeight="1">
      <c r="A11" s="1">
        <v>330</v>
      </c>
      <c r="B11" s="24" t="s">
        <v>139</v>
      </c>
      <c r="C11" s="52">
        <v>35236</v>
      </c>
      <c r="D11" s="38">
        <v>28</v>
      </c>
      <c r="E11" s="1">
        <f>IF(('2回目フォームの回答 '!C11="そうだ"),1,(IF(('2回目フォームの回答 '!C11="まぁそうだ"),2,(IF(('2回目フォームの回答 '!C11="ややちがう"),3,(IF(('2回目フォームの回答 '!C11="ちがう"),4,"")))))))</f>
        <v>4</v>
      </c>
      <c r="F11" s="1">
        <f>IF(('2回目フォームの回答 '!D11="そうだ"),1,(IF(('2回目フォームの回答 '!D11="まぁそうだ"),2,(IF(('2回目フォームの回答 '!D11="ややちがう"),3,(IF(('2回目フォームの回答 '!D11="ちがう"),4,"")))))))</f>
        <v>4</v>
      </c>
      <c r="G11" s="1">
        <f>IF(('2回目フォームの回答 '!E11="そうだ"),1,(IF(('2回目フォームの回答 '!E11="まぁそうだ"),2,(IF(('2回目フォームの回答 '!E11="ややちがう"),3,(IF(('2回目フォームの回答 '!E11="ちがう"),4,"")))))))</f>
        <v>3</v>
      </c>
      <c r="H11" s="1">
        <f>IF(('2回目フォームの回答 '!F11="そうだ"),1,(IF(('2回目フォームの回答 '!F11="まぁそうだ"),2,(IF(('2回目フォームの回答 '!F11="ややちがう"),3,(IF(('2回目フォームの回答 '!F11="ちがう"),4,"")))))))</f>
        <v>2</v>
      </c>
      <c r="I11" s="1">
        <f>IF(('2回目フォームの回答 '!G11="そうだ"),1,(IF(('2回目フォームの回答 '!G11="まぁそうだ"),2,(IF(('2回目フォームの回答 '!G11="ややちがう"),3,(IF(('2回目フォームの回答 '!G11="ちがう"),4,"")))))))</f>
        <v>3</v>
      </c>
      <c r="J11" s="1">
        <f>IF(('2回目フォームの回答 '!H11="そうだ"),1,(IF(('2回目フォームの回答 '!H11="まぁそうだ"),2,(IF(('2回目フォームの回答 '!H11="ややちがう"),3,(IF(('2回目フォームの回答 '!H11="ちがう"),4,"")))))))</f>
        <v>3</v>
      </c>
      <c r="K11" s="1">
        <f>IF(('2回目フォームの回答 '!I11="そうだ"),1,(IF(('2回目フォームの回答 '!I11="まぁそうだ"),2,(IF(('2回目フォームの回答 '!I11="ややちがう"),3,(IF(('2回目フォームの回答 '!I11="ちがう"),4,"")))))))</f>
        <v>4</v>
      </c>
      <c r="L11" s="1">
        <f>IF(('2回目フォームの回答 '!J11="そうだ"),1,(IF(('2回目フォームの回答 '!J11="まぁそうだ"),2,(IF(('2回目フォームの回答 '!J11="ややちがう"),3,(IF(('2回目フォームの回答 '!J11="ちがう"),4,"")))))))</f>
        <v>1</v>
      </c>
      <c r="M11" s="1">
        <f>IF(('2回目フォームの回答 '!K11="そうだ"),1,(IF(('2回目フォームの回答 '!K11="まぁそうだ"),2,(IF(('2回目フォームの回答 '!K11="ややちがう"),3,(IF(('2回目フォームの回答 '!K11="ちがう"),4,"")))))))</f>
        <v>1</v>
      </c>
      <c r="N11" s="1">
        <f>IF(('2回目フォームの回答 '!L11="そうだ"),1,(IF(('2回目フォームの回答 '!L11="まぁそうだ"),2,(IF(('2回目フォームの回答 '!L11="ややちがう"),3,(IF(('2回目フォームの回答 '!L11="ちがう"),4,"")))))))</f>
        <v>2</v>
      </c>
      <c r="O11" s="1">
        <f>IF(('2回目フォームの回答 '!M11="そうだ"),1,(IF(('2回目フォームの回答 '!M11="まぁそうだ"),2,(IF(('2回目フォームの回答 '!M11="ややちがう"),3,(IF(('2回目フォームの回答 '!M11="ちがう"),4,"")))))))</f>
        <v>3</v>
      </c>
      <c r="P11" s="1">
        <f>IF(('2回目フォームの回答 '!N11="そうだ"),1,(IF(('2回目フォームの回答 '!N11="まぁそうだ"),2,(IF(('2回目フォームの回答 '!N11="ややちがう"),3,(IF(('2回目フォームの回答 '!N11="ちがう"),4,"")))))))</f>
        <v>3</v>
      </c>
      <c r="Q11" s="1">
        <f>IF(('2回目フォームの回答 '!O11="そうだ"),1,(IF(('2回目フォームの回答 '!O11="まぁそうだ"),2,(IF(('2回目フォームの回答 '!O11="ややちがう"),3,(IF(('2回目フォームの回答 '!O11="ちがう"),4,"")))))))</f>
        <v>4</v>
      </c>
      <c r="R11" s="1">
        <f>IF(('2回目フォームの回答 '!P11="そうだ"),1,(IF(('2回目フォームの回答 '!P11="まぁそうだ"),2,(IF(('2回目フォームの回答 '!P11="ややちがう"),3,(IF(('2回目フォームの回答 '!P11="ちがう"),4,"")))))))</f>
        <v>2</v>
      </c>
      <c r="S11" s="1">
        <f>IF(('2回目フォームの回答 '!Q11="そうだ"),1,(IF(('2回目フォームの回答 '!Q11="まぁそうだ"),2,(IF(('2回目フォームの回答 '!Q11="ややちがう"),3,(IF(('2回目フォームの回答 '!Q11="ちがう"),4,"")))))))</f>
        <v>4</v>
      </c>
      <c r="T11" s="1">
        <f>IF(('2回目フォームの回答 '!R11="そうだ"),1,(IF(('2回目フォームの回答 '!R11="まぁそうだ"),2,(IF(('2回目フォームの回答 '!R11="ややちがう"),3,(IF(('2回目フォームの回答 '!R11="ちがう"),4,"")))))))</f>
        <v>1</v>
      </c>
      <c r="U11" s="1">
        <f>IF(('2回目フォームの回答 '!S11="そうだ"),1,(IF(('2回目フォームの回答 '!S11="まぁそうだ"),2,(IF(('2回目フォームの回答 '!S11="ややちがう"),3,(IF(('2回目フォームの回答 '!S11="ちがう"),4,"")))))))</f>
        <v>2</v>
      </c>
      <c r="V11" s="1">
        <f t="shared" si="48"/>
        <v>4</v>
      </c>
      <c r="W11" s="1">
        <f t="shared" si="11"/>
        <v>1</v>
      </c>
      <c r="X11" s="1">
        <f t="shared" si="12"/>
        <v>7</v>
      </c>
      <c r="Y11" s="1">
        <f t="shared" si="13"/>
        <v>2</v>
      </c>
      <c r="Z11" s="1">
        <f t="shared" si="14"/>
        <v>1</v>
      </c>
      <c r="AA11" s="1">
        <f t="shared" si="15"/>
        <v>2</v>
      </c>
      <c r="AB11" s="1">
        <f t="shared" si="16"/>
        <v>5</v>
      </c>
      <c r="AC11" s="1">
        <f t="shared" si="17"/>
        <v>2</v>
      </c>
      <c r="AD11" s="1">
        <f t="shared" si="18"/>
        <v>1</v>
      </c>
      <c r="AE11" s="1">
        <f t="shared" si="0"/>
        <v>2</v>
      </c>
      <c r="AF11" s="1">
        <f t="shared" si="19"/>
        <v>11</v>
      </c>
      <c r="AG11" s="1">
        <f t="shared" si="1"/>
        <v>1</v>
      </c>
      <c r="AH11" s="1">
        <f t="shared" si="20"/>
        <v>3</v>
      </c>
      <c r="AI11" s="1">
        <f t="shared" si="21"/>
        <v>3</v>
      </c>
      <c r="AJ11" s="1">
        <f t="shared" si="22"/>
        <v>4</v>
      </c>
      <c r="AK11" s="1">
        <f t="shared" si="23"/>
        <v>1</v>
      </c>
      <c r="AL11" s="1">
        <f t="shared" si="24"/>
        <v>3</v>
      </c>
      <c r="AM11" s="1">
        <f t="shared" si="25"/>
        <v>3</v>
      </c>
      <c r="AN11" s="1">
        <f>IF(('2回目フォームの回答 '!T11="ほとんどなかった"),1,(IF(('2回目フォームの回答 '!T11="ときどきあった"),2,(IF(('2回目フォームの回答 '!T11="しばしばあった"),3,(IF(('2回目フォームの回答 '!T11="ほとんどいつもあった"),4,"")))))))</f>
        <v>2</v>
      </c>
      <c r="AO11" s="1">
        <f>IF(('2回目フォームの回答 '!U11="ほとんどなかった"),1,(IF(('2回目フォームの回答 '!U11="ときどきあった"),2,(IF(('2回目フォームの回答 '!U11="しばしばあった"),3,(IF(('2回目フォームの回答 '!U11="ほとんどいつもあった"),4,"")))))))</f>
        <v>3</v>
      </c>
      <c r="AP11" s="1">
        <f>IF(('2回目フォームの回答 '!V11="ほとんどなかった"),1,(IF(('2回目フォームの回答 '!V11="ときどきあった"),2,(IF(('2回目フォームの回答 '!V11="しばしばあった"),3,(IF(('2回目フォームの回答 '!V11="ほとんどいつもあった"),4,"")))))))</f>
        <v>3</v>
      </c>
      <c r="AQ11" s="1">
        <f>IF(('2回目フォームの回答 '!W11="ほとんどなかった"),1,(IF(('2回目フォームの回答 '!W11="ときどきあった"),2,(IF(('2回目フォームの回答 '!W11="しばしばあった"),3,(IF(('2回目フォームの回答 '!W11="ほとんどいつもあった"),4,"")))))))</f>
        <v>2</v>
      </c>
      <c r="AR11" s="1">
        <f>IF(('2回目フォームの回答 '!X11="ほとんどなかった"),1,(IF(('2回目フォームの回答 '!X11="ときどきあった"),2,(IF(('2回目フォームの回答 '!X11="しばしばあった"),3,(IF(('2回目フォームの回答 '!X11="ほとんどいつもあった"),4,"")))))))</f>
        <v>2</v>
      </c>
      <c r="AS11" s="1">
        <f>IF(('2回目フォームの回答 '!Y11="ほとんどなかった"),1,(IF(('2回目フォームの回答 '!Y11="ときどきあった"),2,(IF(('2回目フォームの回答 '!Y11="しばしばあった"),3,(IF(('2回目フォームの回答 '!Y11="ほとんどいつもあった"),4,"")))))))</f>
        <v>2</v>
      </c>
      <c r="AT11" s="1">
        <f>IF(('2回目フォームの回答 '!Z11="ほとんどなかった"),1,(IF(('2回目フォームの回答 '!Z11="ときどきあった"),2,(IF(('2回目フォームの回答 '!Z11="しばしばあった"),3,(IF(('2回目フォームの回答 '!Z11="ほとんどいつもあった"),4,"")))))))</f>
        <v>3</v>
      </c>
      <c r="AU11" s="1">
        <f>IF(('2回目フォームの回答 '!AA11="ほとんどなかった"),1,(IF(('2回目フォームの回答 '!AA11="ときどきあった"),2,(IF(('2回目フォームの回答 '!AA11="しばしばあった"),3,(IF(('2回目フォームの回答 '!AA11="ほとんどいつもあった"),4,"")))))))</f>
        <v>3</v>
      </c>
      <c r="AV11" s="1">
        <f>IF(('2回目フォームの回答 '!AB11="ほとんどなかった"),1,(IF(('2回目フォームの回答 '!AB11="ときどきばあった"),2,(IF(('2回目フォームの回答 '!AB11="しばしばあった"),3,(IF(('2回目フォームの回答 '!AB11="ほとんどいつもあった"),4,"")))))))</f>
        <v>3</v>
      </c>
      <c r="AW11" s="1">
        <f>IF(('2回目フォームの回答 '!AC11="ほとんどなかった"),1,(IF(('2回目フォームの回答 '!AC11="ときどきあった"),2,(IF(('2回目フォームの回答 '!AC11="しばしばあった"),3,(IF(('2回目フォームの回答 '!AC11="ほとんどいつもあった"),4,"")))))))</f>
        <v>1</v>
      </c>
      <c r="AX11" s="1">
        <f>IF(('2回目フォームの回答 '!AD11="ほとんどなかった"),1,(IF(('2回目フォームの回答 '!AD11="ときどきあった"),2,(IF(('2回目フォームの回答 '!AD11="しばしばあった"),3,(IF(('2回目フォームの回答 '!AD11="ほとんどいつもあった"),4,"")))))))</f>
        <v>2</v>
      </c>
      <c r="AY11" s="1">
        <f>IF(('2回目フォームの回答 '!AE11="ほとんどなかった"),1,(IF(('2回目フォームの回答 '!AE11="ときどきあった"),2,(IF(('2回目フォームの回答 '!AE11="しばしばあった"),3,(IF(('2回目フォームの回答 '!AE11="ほとんどいつもあった"),4,"")))))))</f>
        <v>1</v>
      </c>
      <c r="AZ11" s="1">
        <f>IF(('2回目フォームの回答 '!AF11="ほとんどなかった"),1,(IF(('2回目フォームの回答 '!AF11="ときどきあった"),2,(IF(('2回目フォームの回答 '!AF11="しばしばあった"),3,(IF(('2回目フォームの回答 '!AF11="ほとんどいつもあった"),4,"")))))))</f>
        <v>2</v>
      </c>
      <c r="BA11" s="1">
        <f>IF(('2回目フォームの回答 '!AG11="ほとんどなかった"),1,(IF(('2回目フォームの回答 '!AG11="ときどきあった"),2,(IF(('2回目フォームの回答 '!AG11="しばしばあった"),3,(IF(('2回目フォームの回答 '!AG11="ほとんどいつもあった"),4,"")))))))</f>
        <v>2</v>
      </c>
      <c r="BB11" s="1">
        <f>IF(('2回目フォームの回答 '!AH11="ほとんどなかった"),1,(IF(('2回目フォームの回答 '!AH11="ときどきあった"),2,(IF(('2回目フォームの回答 '!AH11="しばしばあった"),3,(IF(('2回目フォームの回答 '!AH11="ほとんどいつもあった"),4,"")))))))</f>
        <v>3</v>
      </c>
      <c r="BC11" s="1">
        <f>IF(('2回目フォームの回答 '!AI11="ほとんどなかった"),1,(IF(('2回目フォームの回答 '!AI11="ときどきあった"),2,(IF(('2回目フォームの回答 '!AI11="しばしばあった"),3,(IF(('2回目フォームの回答 '!AI11="ほとんどいつもあった"),4,"")))))))</f>
        <v>3</v>
      </c>
      <c r="BD11" s="1">
        <f>IF(('2回目フォームの回答 '!AJ11="ほとんどなかった"),1,(IF(('2回目フォームの回答 '!AJ11="ときどきあった"),2,(IF(('2回目フォームの回答 '!AJ11="しばしばあった"),3,(IF(('2回目フォームの回答 '!AJ11="ほとんどいつもあった"),4,"")))))))</f>
        <v>2</v>
      </c>
      <c r="BE11" s="1">
        <f>IF(('2回目フォームの回答 '!AK11="ほとんどなかった"),1,(IF(('2回目フォームの回答 '!AK11="ときどきあった"),2,(IF(('2回目フォームの回答 '!AK11="しばしばあった"),3,(IF(('2回目フォームの回答 '!AK11="ほとんどいつもあった"),4,"")))))))</f>
        <v>1</v>
      </c>
      <c r="BF11" s="1">
        <f>IF(('2回目フォームの回答 '!AL11="ほとんどなかった"),1,(IF(('2回目フォームの回答 '!AL11="ときどきあった"),2,(IF(('2回目フォームの回答 '!AL11="しばしばあった"),3,(IF(('2回目フォームの回答 '!AL11="ほとんどいつもあった"),4,"")))))))</f>
        <v>1</v>
      </c>
      <c r="BG11" s="1">
        <f>IF(('2回目フォームの回答 '!AM11="ほとんどなかった"),1,(IF(('2回目フォームの回答 '!AM11="ときどきあった"),2,(IF(('2回目フォームの回答 '!AM11="しばしばあった"),3,(IF(('2回目フォームの回答 '!AM11="ほとんどいつもあった"),4,"")))))))</f>
        <v>1</v>
      </c>
      <c r="BH11" s="1">
        <f>IF(('2回目フォームの回答 '!AN11="ほとんどなかった"),1,(IF(('2回目フォームの回答 '!AN11="ときどきあった"),2,(IF(('2回目フォームの回答 '!AN11="しばしばあった"),3,(IF(('2回目フォームの回答 '!AN11="ほとんどいつもあった"),4,"")))))))</f>
        <v>1</v>
      </c>
      <c r="BI11" s="1">
        <f>IF(('2回目フォームの回答 '!AO11="ほとんどなかった"),1,(IF(('2回目フォームの回答 '!AO11="ときどきあった"),2,(IF(('2回目フォームの回答 '!AO11="しばしばあった"),3,(IF(('2回目フォームの回答 '!AO11="ほとんどいつもあった"),4,"")))))))</f>
        <v>4</v>
      </c>
      <c r="BJ11" s="1">
        <f>IF(('2回目フォームの回答 '!AP11="ほとんどなかった"),1,(IF(('2回目フォームの回答 '!AP11="ときどきあった"),2,(IF(('2回目フォームの回答 '!AP11="しばしばあった"),3,(IF(('2回目フォームの回答 '!AP11="ほとんどいつもあった"),4,"")))))))</f>
        <v>1</v>
      </c>
      <c r="BK11" s="1">
        <f>IF(('2回目フォームの回答 '!AQ11="ほとんどなかった"),1,(IF(('2回目フォームの回答 '!AQ11="ときどきあった"),2,(IF(('2回目フォームの回答 '!AQ11="しばしばあった"),3,(IF(('2回目フォームの回答 '!AQ11="ほとんどいつもあった"),4,"")))))))</f>
        <v>2</v>
      </c>
      <c r="BL11" s="1">
        <f>IF(('2回目フォームの回答 '!AR11="ほとんどなかった"),1,(IF(('2回目フォームの回答 '!AR11="ときどきあった"),2,(IF(('2回目フォームの回答 '!AR11="しばしばあった"),3,(IF(('2回目フォームの回答 '!AR11="ほとんどいつもあった"),4,"")))))))</f>
        <v>1</v>
      </c>
      <c r="BM11" s="1">
        <f>IF(('2回目フォームの回答 '!AS11="ほとんどなかった"),1,(IF(('2回目フォームの回答 '!AS11="ときどきあった"),2,(IF(('2回目フォームの回答 '!AS11="しばしばあった"),3,(IF(('2回目フォームの回答 '!AS11="ほとんどいつもあった"),4,"")))))))</f>
        <v>1</v>
      </c>
      <c r="BN11" s="1">
        <f>IF(('2回目フォームの回答 '!AT11="ほとんどなかった"),1,(IF(('2回目フォームの回答 '!AT11="ときどきあった"),2,(IF(('2回目フォームの回答 '!AT11="しばしばあった"),3,(IF(('2回目フォームの回答 '!AT11="ほとんどいつもあった"),4,"")))))))</f>
        <v>1</v>
      </c>
      <c r="BO11" s="1">
        <f>IF(('2回目フォームの回答 '!AU11="ほとんどなかった"),1,(IF(('2回目フォームの回答 '!AU11="ときどきあった"),2,(IF(('2回目フォームの回答 '!AU11="しばしばあった"),3,(IF(('2回目フォームの回答 '!AU11="ほとんどいつもあった"),4,"")))))))</f>
        <v>2</v>
      </c>
      <c r="BP11" s="1">
        <f>IF(('2回目フォームの回答 '!AV11="ほとんどなかった"),1,(IF(('2回目フォームの回答 '!AV11="ときどきあった"),2,(IF(('2回目フォームの回答 '!AV11="しばしばあった"),3,(IF(('2回目フォームの回答 '!AV11="ほとんどいつもあった"),4,"")))))))</f>
        <v>1</v>
      </c>
      <c r="BQ11" s="1">
        <f t="shared" si="26"/>
        <v>8</v>
      </c>
      <c r="BR11" s="1">
        <f t="shared" si="27"/>
        <v>2</v>
      </c>
      <c r="BS11" s="1">
        <f t="shared" si="28"/>
        <v>6</v>
      </c>
      <c r="BT11" s="1">
        <f t="shared" si="2"/>
        <v>3</v>
      </c>
      <c r="BU11" s="1">
        <f t="shared" si="3"/>
        <v>9</v>
      </c>
      <c r="BV11" s="1">
        <f t="shared" si="4"/>
        <v>4</v>
      </c>
      <c r="BW11" s="1">
        <f t="shared" si="29"/>
        <v>4</v>
      </c>
      <c r="BX11" s="1">
        <f t="shared" si="5"/>
        <v>2</v>
      </c>
      <c r="BY11" s="1">
        <f t="shared" si="30"/>
        <v>13</v>
      </c>
      <c r="BZ11" s="1">
        <f t="shared" si="6"/>
        <v>4</v>
      </c>
      <c r="CA11" s="1">
        <f t="shared" si="31"/>
        <v>16</v>
      </c>
      <c r="CB11" s="1">
        <f t="shared" si="32"/>
        <v>3</v>
      </c>
      <c r="CC11" s="1">
        <f>IF(('2回目フォームの回答 '!AW11="非常に"),1,(IF(('2回目フォームの回答 '!AW11="かなり"),2,(IF(('2回目フォームの回答 '!AW11="多少"),3,(IF(('2回目フォームの回答 '!AW11="全くない"),4,"")))))))</f>
        <v>2</v>
      </c>
      <c r="CD11" s="1">
        <f>IF(('2回目フォームの回答 '!AX11="非常に"),1,(IF(('2回目フォームの回答 '!AX11="かなり"),2,(IF(('2回目フォームの回答 '!AX11="多少"),3,(IF(('2回目フォームの回答 '!AX11="全くない"),4,"")))))))</f>
        <v>2</v>
      </c>
      <c r="CE11" s="1">
        <f>IF(('2回目フォームの回答 '!AY11="非常に"),1,(IF(('2回目フォームの回答 '!AY11="かなり"),2,(IF(('2回目フォームの回答 '!AY11="多少"),3,(IF(('2回目フォームの回答 '!AY11="全くない"),4,"")))))))</f>
        <v>1</v>
      </c>
      <c r="CF11" s="1">
        <f>IF(('2回目フォームの回答 '!AZ11="非常に"),1,(IF(('2回目フォームの回答 '!AZ11="かなり"),2,(IF(('2回目フォームの回答 '!AZ11="多少"),3,(IF(('2回目フォームの回答 '!AZ11="全くない"),4,"")))))))</f>
        <v>2</v>
      </c>
      <c r="CG11" s="1">
        <f>IF(('2回目フォームの回答 '!BA11="非常に"),1,(IF(('2回目フォームの回答 '!BA11="かなり"),2,(IF(('2回目フォームの回答 '!BA11="多少"),3,(IF(('2回目フォームの回答 '!BA11="全くない"),4,"")))))))</f>
        <v>3</v>
      </c>
      <c r="CH11" s="1">
        <f>IF(('2回目フォームの回答 '!BB11="非常に"),1,(IF(('2回目フォームの回答 '!BB11="かなり"),2,(IF(('2回目フォームの回答 '!BB11="多少"),3,(IF(('2回目フォームの回答 '!BB11="全くない"),4,"")))))))</f>
        <v>1</v>
      </c>
      <c r="CI11" s="1">
        <f>IF(('2回目フォームの回答 '!BC11="非常に"),1,(IF(('2回目フォームの回答 '!BC11="かなり"),2,(IF(('2回目フォームの回答 '!BC11="多少"),3,(IF(('2回目フォームの回答 '!BC11="全くない"),4,"")))))))</f>
        <v>2</v>
      </c>
      <c r="CJ11" s="1">
        <f>IF(('2回目フォームの回答 '!BD11="非常に"),1,(IF(('2回目フォームの回答 '!BD11="かなり"),2,(IF(('2回目フォームの回答 '!BD11="多少"),3,(IF(('2回目フォームの回答 '!BD11="全くない"),4,"")))))))</f>
        <v>3</v>
      </c>
      <c r="CK11" s="1">
        <f>IF(('2回目フォームの回答 '!BE11="非常に"),1,(IF(('2回目フォームの回答 '!BE11="かなり"),2,(IF(('2回目フォームの回答 '!BE11="多少"),3,(IF(('2回目フォームの回答 '!BE11="全くない"),4,"")))))))</f>
        <v>1</v>
      </c>
      <c r="CL11" s="1">
        <f>IF(('2回目フォームの回答 '!BF11="満足"),1,(IF(('2回目フォームの回答 '!BF11="まぁ満足"),2,(IF(('2回目フォームの回答 '!BF11="やや満足"),3,(IF(('2回目フォームの回答 '!BF11="不満足"),4,"")))))))</f>
        <v>2</v>
      </c>
      <c r="CM11" s="1">
        <f>IF(('2回目フォームの回答 '!BG11="満足"),1,(IF(('2回目フォームの回答 '!BG11="まぁ満足"),2,(IF(('2回目フォームの回答 '!BG11="やや満足"),3,(IF(('2回目フォームの回答 '!BG11="不満足"),4,"")))))))</f>
        <v>1</v>
      </c>
      <c r="CN11" s="1">
        <f t="shared" si="33"/>
        <v>9</v>
      </c>
      <c r="CO11" s="1">
        <f t="shared" si="7"/>
        <v>2</v>
      </c>
      <c r="CP11" s="1">
        <f t="shared" si="34"/>
        <v>7</v>
      </c>
      <c r="CQ11" s="1">
        <f t="shared" si="8"/>
        <v>4</v>
      </c>
      <c r="CR11" s="1">
        <f t="shared" si="35"/>
        <v>12</v>
      </c>
      <c r="CS11" s="1">
        <f t="shared" si="36"/>
        <v>1</v>
      </c>
      <c r="CT11" s="1">
        <f t="shared" si="37"/>
        <v>7</v>
      </c>
      <c r="CU11" s="1">
        <f t="shared" si="9"/>
        <v>2</v>
      </c>
      <c r="CV11" s="1">
        <f t="shared" si="38"/>
        <v>18</v>
      </c>
      <c r="CW11" s="1">
        <f t="shared" si="39"/>
        <v>17</v>
      </c>
      <c r="CX11" s="1">
        <f t="shared" si="10"/>
        <v>7</v>
      </c>
      <c r="CY11" s="29" t="str">
        <f t="shared" si="40"/>
        <v>低</v>
      </c>
      <c r="CZ11" s="1">
        <f>'2回目フォームの回答 '!BH11</f>
        <v>0.7</v>
      </c>
      <c r="DA11" s="2">
        <f t="shared" si="41"/>
        <v>0.30000000000000004</v>
      </c>
      <c r="DB11" s="1">
        <f>IF(('2回目フォームの回答 '!BI11="いつもより寝つきは良い"),0,(IF(('2回目フォームの回答 '!BI11="いつもより少し時間がかかった"),1,(IF(('2回目フォームの回答 '!BI11="いつもよりかなり時間がかかった"),2,(IF(('2回目フォームの回答 '!BI11="いつもより非常に時間がかかった、あるいは全く眠れなかった"),3,"")))))))</f>
        <v>1</v>
      </c>
      <c r="DC11" s="1">
        <f>IF(('2回目フォームの回答 '!BJ11="問題になるほどのことはなかった"),0,(IF(('2回目フォームの回答 '!BJ11="少し困ることがある"),1,(IF(('2回目フォームの回答 '!BJ11="かなり困っている"),2,(IF(('2回目フォームの回答 '!BJ11="深刻な状態、あるいは全く眠れなかった"),3,"")))))))</f>
        <v>0</v>
      </c>
      <c r="DD11" s="1">
        <f>IF(('2回目フォームの回答 '!BK11="そのようなことはなかった"),0,(IF(('2回目フォームの回答 '!BK11="少し早かった"),1,(IF(('2回目フォームの回答 '!BK11="かなり早かった"),2,(IF(('2回目フォームの回答 '!BK11="非常に早かった、あるいは全く眠れなかった"),3,"")))))))</f>
        <v>0</v>
      </c>
      <c r="DE11" s="1">
        <f>IF(('2回目フォームの回答 '!BL11="十分である"),0,(IF(('2回目フォームの回答 '!BL11="少し足りない"),1,(IF(('2回目フォームの回答 '!BL11="かなり足りない"),2,(IF(('2回目フォームの回答 '!BL11="全く足りない、あるいは全く眠れなかった"),3,"")))))))</f>
        <v>0</v>
      </c>
      <c r="DF11" s="1">
        <f>IF(('2回目フォームの回答 '!BM11="満足している"),0,(IF(('2回目フォームの回答 '!BM11="少し不満である"),1,(IF(('2回目フォームの回答 '!BM11="かなり不満である"),2,(IF(('2回目フォームの回答 '!BM11="非常に不満である、あるいは全く眠れなかった"),3,"")))))))</f>
        <v>0</v>
      </c>
      <c r="DG11" s="1">
        <f>IF(('2回目フォームの回答 '!BN11="いつもどおり"),0,(IF(('2回目フォームの回答 '!BN11="少し滅入った"),1,(IF(('2回目フォームの回答 '!BN11="かなり滅入った"),2,(IF(('2回目フォームの回答 '!BN11="非常に滅入った"),3,"")))))))</f>
        <v>0</v>
      </c>
      <c r="DH11" s="1">
        <f>IF(('2回目フォームの回答 '!BO11="いつもどおり"),0,(IF(('2回目フォームの回答 '!BO11="少し低下した"),1,(IF(('2回目フォームの回答 '!BO11="かなり低下した"),2,(IF(('2回目フォームの回答 '!BO11="非常に低下した"),3,"")))))))</f>
        <v>0</v>
      </c>
      <c r="DI11" s="1">
        <f>IF(('2回目フォームの回答 '!BP11="全くなかった"),0,(IF(('2回目フォームの回答 '!BP11="少しあった"),1,(IF(('2回目フォームの回答 '!BP11="かなりあった"),2,(IF(('2回目フォームの回答 '!BP11="激しかった"),3,"")))))))</f>
        <v>1</v>
      </c>
      <c r="DJ11">
        <f t="shared" si="42"/>
        <v>2</v>
      </c>
      <c r="DK11" s="4" t="str">
        <f t="shared" si="43"/>
        <v>低</v>
      </c>
      <c r="DL11" s="5">
        <v>2.7</v>
      </c>
      <c r="DM11" s="5">
        <v>1.8</v>
      </c>
      <c r="DN11" s="5">
        <v>1.4</v>
      </c>
      <c r="DO11" s="5">
        <f t="shared" si="44"/>
        <v>5.9</v>
      </c>
      <c r="DP11" s="5"/>
      <c r="DQ11" s="5"/>
      <c r="DR11" s="5"/>
      <c r="DS11" s="71">
        <v>0.3527777777777778</v>
      </c>
      <c r="DT11" s="66">
        <v>291</v>
      </c>
      <c r="DU11" s="59">
        <f>INDEX('1回目結果'!DR:DR,MATCH($DT11,'1回目結果'!$A:$A,0))</f>
        <v>1.1919999999999999</v>
      </c>
      <c r="DV11" s="59">
        <f>INDEX('1回目結果'!DS:DS,MATCH($DT11,'1回目結果'!$A:$A,0))</f>
        <v>174.74</v>
      </c>
      <c r="DW11" s="59">
        <f>INDEX('1回目結果'!DT:DT,MATCH($DT11,'1回目結果'!$A:$A,0))</f>
        <v>0.68</v>
      </c>
      <c r="DX11" s="59">
        <f>INDEX('1回目結果'!DU:DU,MATCH($DT11,'1回目結果'!$A:$A,0))</f>
        <v>34</v>
      </c>
      <c r="DY11" s="59">
        <f>IFERROR(INDEX('1回目結果'!DL:DL,MATCH('2回目結果'!$DT11,'1回目結果'!$A:$A,0)),"")</f>
        <v>2.1</v>
      </c>
      <c r="DZ11" s="59">
        <f>IFERROR(INDEX('1回目結果'!DM:DM,MATCH('2回目結果'!$DT11,'1回目結果'!$A:$A,0)),"")</f>
        <v>2.6</v>
      </c>
      <c r="EA11" s="59">
        <f>IFERROR(INDEX('1回目結果'!DN:DN,MATCH('2回目結果'!$DT11,'1回目結果'!$A:$A,0)),"")</f>
        <v>2.1</v>
      </c>
      <c r="EB11" s="59">
        <f>IFERROR(INDEX('1回目結果'!DO:DO,MATCH('2回目結果'!$DT11,'1回目結果'!$A:$A,0)),"")</f>
        <v>6.8000000000000007</v>
      </c>
      <c r="EC11" s="59">
        <f>IFERROR(INDEX('1回目結果'!DP:DP,MATCH('2回目結果'!$DT11,'1回目結果'!$A:$A,0)),"")</f>
        <v>0</v>
      </c>
      <c r="ED11" s="59">
        <f>IFERROR(INDEX('1回目結果'!DQ:DQ,MATCH('2回目結果'!$DT11,'1回目結果'!$A:$A,0)),"")</f>
        <v>0</v>
      </c>
      <c r="EE11" s="54">
        <v>2.5880000000000001</v>
      </c>
      <c r="EF11" s="54">
        <v>305.10000000000002</v>
      </c>
      <c r="EG11" s="54">
        <v>0.85</v>
      </c>
      <c r="EH11" s="54">
        <v>43</v>
      </c>
      <c r="EI11" s="43" t="s">
        <v>115</v>
      </c>
      <c r="EJ11" s="44">
        <f t="shared" si="45"/>
        <v>1.2647058823529411</v>
      </c>
      <c r="EK11" s="44">
        <f t="shared" si="50"/>
        <v>1.2499999999999998</v>
      </c>
      <c r="EL11">
        <f t="shared" si="46"/>
        <v>-0.90000000000000036</v>
      </c>
      <c r="EM11">
        <f t="shared" si="47"/>
        <v>-0.70000000000000018</v>
      </c>
    </row>
    <row r="12" spans="1:143" ht="15.75" customHeight="1">
      <c r="A12" s="1">
        <v>331</v>
      </c>
      <c r="B12" s="24" t="s">
        <v>139</v>
      </c>
      <c r="C12" s="52">
        <v>28803</v>
      </c>
      <c r="D12" s="38">
        <v>45</v>
      </c>
      <c r="E12" s="1">
        <f>IF(('2回目フォームの回答 '!C12="そうだ"),1,(IF(('2回目フォームの回答 '!C12="まぁそうだ"),2,(IF(('2回目フォームの回答 '!C12="ややちがう"),3,(IF(('2回目フォームの回答 '!C12="ちがう"),4,"")))))))</f>
        <v>2</v>
      </c>
      <c r="F12" s="1">
        <f>IF(('2回目フォームの回答 '!D12="そうだ"),1,(IF(('2回目フォームの回答 '!D12="まぁそうだ"),2,(IF(('2回目フォームの回答 '!D12="ややちがう"),3,(IF(('2回目フォームの回答 '!D12="ちがう"),4,"")))))))</f>
        <v>3</v>
      </c>
      <c r="G12" s="1">
        <f>IF(('2回目フォームの回答 '!E12="そうだ"),1,(IF(('2回目フォームの回答 '!E12="まぁそうだ"),2,(IF(('2回目フォームの回答 '!E12="ややちがう"),3,(IF(('2回目フォームの回答 '!E12="ちがう"),4,"")))))))</f>
        <v>2</v>
      </c>
      <c r="H12" s="1">
        <f>IF(('2回目フォームの回答 '!F12="そうだ"),1,(IF(('2回目フォームの回答 '!F12="まぁそうだ"),2,(IF(('2回目フォームの回答 '!F12="ややちがう"),3,(IF(('2回目フォームの回答 '!F12="ちがう"),4,"")))))))</f>
        <v>2</v>
      </c>
      <c r="I12" s="1">
        <f>IF(('2回目フォームの回答 '!G12="そうだ"),1,(IF(('2回目フォームの回答 '!G12="まぁそうだ"),2,(IF(('2回目フォームの回答 '!G12="ややちがう"),3,(IF(('2回目フォームの回答 '!G12="ちがう"),4,"")))))))</f>
        <v>2</v>
      </c>
      <c r="J12" s="1">
        <f>IF(('2回目フォームの回答 '!H12="そうだ"),1,(IF(('2回目フォームの回答 '!H12="まぁそうだ"),2,(IF(('2回目フォームの回答 '!H12="ややちがう"),3,(IF(('2回目フォームの回答 '!H12="ちがう"),4,"")))))))</f>
        <v>2</v>
      </c>
      <c r="K12" s="1">
        <f>IF(('2回目フォームの回答 '!I12="そうだ"),1,(IF(('2回目フォームの回答 '!I12="まぁそうだ"),2,(IF(('2回目フォームの回答 '!I12="ややちがう"),3,(IF(('2回目フォームの回答 '!I12="ちがう"),4,"")))))))</f>
        <v>3</v>
      </c>
      <c r="L12" s="1">
        <f>IF(('2回目フォームの回答 '!J12="そうだ"),1,(IF(('2回目フォームの回答 '!J12="まぁそうだ"),2,(IF(('2回目フォームの回答 '!J12="ややちがう"),3,(IF(('2回目フォームの回答 '!J12="ちがう"),4,"")))))))</f>
        <v>2</v>
      </c>
      <c r="M12" s="1">
        <f>IF(('2回目フォームの回答 '!K12="そうだ"),1,(IF(('2回目フォームの回答 '!K12="まぁそうだ"),2,(IF(('2回目フォームの回答 '!K12="ややちがう"),3,(IF(('2回目フォームの回答 '!K12="ちがう"),4,"")))))))</f>
        <v>2</v>
      </c>
      <c r="N12" s="1">
        <f>IF(('2回目フォームの回答 '!L12="そうだ"),1,(IF(('2回目フォームの回答 '!L12="まぁそうだ"),2,(IF(('2回目フォームの回答 '!L12="ややちがう"),3,(IF(('2回目フォームの回答 '!L12="ちがう"),4,"")))))))</f>
        <v>2</v>
      </c>
      <c r="O12" s="1">
        <f>IF(('2回目フォームの回答 '!M12="そうだ"),1,(IF(('2回目フォームの回答 '!M12="まぁそうだ"),2,(IF(('2回目フォームの回答 '!M12="ややちがう"),3,(IF(('2回目フォームの回答 '!M12="ちがう"),4,"")))))))</f>
        <v>3</v>
      </c>
      <c r="P12" s="1">
        <f>IF(('2回目フォームの回答 '!N12="そうだ"),1,(IF(('2回目フォームの回答 '!N12="まぁそうだ"),2,(IF(('2回目フォームの回答 '!N12="ややちがう"),3,(IF(('2回目フォームの回答 '!N12="ちがう"),4,"")))))))</f>
        <v>3</v>
      </c>
      <c r="Q12" s="1">
        <f>IF(('2回目フォームの回答 '!O12="そうだ"),1,(IF(('2回目フォームの回答 '!O12="まぁそうだ"),2,(IF(('2回目フォームの回答 '!O12="ややちがう"),3,(IF(('2回目フォームの回答 '!O12="ちがう"),4,"")))))))</f>
        <v>3</v>
      </c>
      <c r="R12" s="1">
        <f>IF(('2回目フォームの回答 '!P12="そうだ"),1,(IF(('2回目フォームの回答 '!P12="まぁそうだ"),2,(IF(('2回目フォームの回答 '!P12="ややちがう"),3,(IF(('2回目フォームの回答 '!P12="ちがう"),4,"")))))))</f>
        <v>2</v>
      </c>
      <c r="S12" s="1">
        <f>IF(('2回目フォームの回答 '!Q12="そうだ"),1,(IF(('2回目フォームの回答 '!Q12="まぁそうだ"),2,(IF(('2回目フォームの回答 '!Q12="ややちがう"),3,(IF(('2回目フォームの回答 '!Q12="ちがう"),4,"")))))))</f>
        <v>4</v>
      </c>
      <c r="T12" s="1">
        <f>IF(('2回目フォームの回答 '!R12="そうだ"),1,(IF(('2回目フォームの回答 '!R12="まぁそうだ"),2,(IF(('2回目フォームの回答 '!R12="ややちがう"),3,(IF(('2回目フォームの回答 '!R12="ちがう"),4,"")))))))</f>
        <v>2</v>
      </c>
      <c r="U12" s="1">
        <f>IF(('2回目フォームの回答 '!S12="そうだ"),1,(IF(('2回目フォームの回答 '!S12="まぁそうだ"),2,(IF(('2回目フォームの回答 '!S12="ややちがう"),3,(IF(('2回目フォームの回答 '!S12="ちがう"),4,"")))))))</f>
        <v>2</v>
      </c>
      <c r="V12" s="1">
        <f t="shared" si="48"/>
        <v>8</v>
      </c>
      <c r="W12" s="1">
        <f t="shared" si="11"/>
        <v>3</v>
      </c>
      <c r="X12" s="1">
        <f t="shared" si="12"/>
        <v>9</v>
      </c>
      <c r="Y12" s="1">
        <f t="shared" si="13"/>
        <v>3</v>
      </c>
      <c r="Z12" s="1">
        <f t="shared" si="14"/>
        <v>2</v>
      </c>
      <c r="AA12" s="1">
        <f t="shared" si="15"/>
        <v>3</v>
      </c>
      <c r="AB12" s="1">
        <f t="shared" si="16"/>
        <v>6</v>
      </c>
      <c r="AC12" s="1">
        <f t="shared" si="17"/>
        <v>3</v>
      </c>
      <c r="AD12" s="1">
        <f t="shared" si="18"/>
        <v>1</v>
      </c>
      <c r="AE12" s="1">
        <f t="shared" si="0"/>
        <v>2</v>
      </c>
      <c r="AF12" s="1">
        <f t="shared" si="19"/>
        <v>9</v>
      </c>
      <c r="AG12" s="1">
        <f t="shared" si="1"/>
        <v>2</v>
      </c>
      <c r="AH12" s="1">
        <f t="shared" si="20"/>
        <v>3</v>
      </c>
      <c r="AI12" s="1">
        <f t="shared" si="21"/>
        <v>3</v>
      </c>
      <c r="AJ12" s="1">
        <f t="shared" si="22"/>
        <v>3</v>
      </c>
      <c r="AK12" s="1">
        <f t="shared" si="23"/>
        <v>3</v>
      </c>
      <c r="AL12" s="1">
        <f t="shared" si="24"/>
        <v>3</v>
      </c>
      <c r="AM12" s="1">
        <f t="shared" si="25"/>
        <v>3</v>
      </c>
      <c r="AN12" s="1">
        <f>IF(('2回目フォームの回答 '!T12="ほとんどなかった"),1,(IF(('2回目フォームの回答 '!T12="ときどきあった"),2,(IF(('2回目フォームの回答 '!T12="しばしばあった"),3,(IF(('2回目フォームの回答 '!T12="ほとんどいつもあった"),4,"")))))))</f>
        <v>3</v>
      </c>
      <c r="AO12" s="1">
        <f>IF(('2回目フォームの回答 '!U12="ほとんどなかった"),1,(IF(('2回目フォームの回答 '!U12="ときどきあった"),2,(IF(('2回目フォームの回答 '!U12="しばしばあった"),3,(IF(('2回目フォームの回答 '!U12="ほとんどいつもあった"),4,"")))))))</f>
        <v>3</v>
      </c>
      <c r="AP12" s="1">
        <f>IF(('2回目フォームの回答 '!V12="ほとんどなかった"),1,(IF(('2回目フォームの回答 '!V12="ときどきあった"),2,(IF(('2回目フォームの回答 '!V12="しばしばあった"),3,(IF(('2回目フォームの回答 '!V12="ほとんどいつもあった"),4,"")))))))</f>
        <v>3</v>
      </c>
      <c r="AQ12" s="1">
        <f>IF(('2回目フォームの回答 '!W12="ほとんどなかった"),1,(IF(('2回目フォームの回答 '!W12="ときどきあった"),2,(IF(('2回目フォームの回答 '!W12="しばしばあった"),3,(IF(('2回目フォームの回答 '!W12="ほとんどいつもあった"),4,"")))))))</f>
        <v>1</v>
      </c>
      <c r="AR12" s="1">
        <f>IF(('2回目フォームの回答 '!X12="ほとんどなかった"),1,(IF(('2回目フォームの回答 '!X12="ときどきあった"),2,(IF(('2回目フォームの回答 '!X12="しばしばあった"),3,(IF(('2回目フォームの回答 '!X12="ほとんどいつもあった"),4,"")))))))</f>
        <v>1</v>
      </c>
      <c r="AS12" s="1">
        <f>IF(('2回目フォームの回答 '!Y12="ほとんどなかった"),1,(IF(('2回目フォームの回答 '!Y12="ときどきあった"),2,(IF(('2回目フォームの回答 '!Y12="しばしばあった"),3,(IF(('2回目フォームの回答 '!Y12="ほとんどいつもあった"),4,"")))))))</f>
        <v>2</v>
      </c>
      <c r="AT12" s="1">
        <f>IF(('2回目フォームの回答 '!Z12="ほとんどなかった"),1,(IF(('2回目フォームの回答 '!Z12="ときどきあった"),2,(IF(('2回目フォームの回答 '!Z12="しばしばあった"),3,(IF(('2回目フォームの回答 '!Z12="ほとんどいつもあった"),4,"")))))))</f>
        <v>2</v>
      </c>
      <c r="AU12" s="1">
        <f>IF(('2回目フォームの回答 '!AA12="ほとんどなかった"),1,(IF(('2回目フォームの回答 '!AA12="ときどきあった"),2,(IF(('2回目フォームの回答 '!AA12="しばしばあった"),3,(IF(('2回目フォームの回答 '!AA12="ほとんどいつもあった"),4,"")))))))</f>
        <v>1</v>
      </c>
      <c r="AV12" s="1">
        <f>IF(('2回目フォームの回答 '!AB12="ほとんどなかった"),1,(IF(('2回目フォームの回答 '!AB12="ときどきばあった"),2,(IF(('2回目フォームの回答 '!AB12="しばしばあった"),3,(IF(('2回目フォームの回答 '!AB12="ほとんどいつもあった"),4,"")))))))</f>
        <v>2</v>
      </c>
      <c r="AW12" s="1">
        <f>IF(('2回目フォームの回答 '!AC12="ほとんどなかった"),1,(IF(('2回目フォームの回答 '!AC12="ときどきあった"),2,(IF(('2回目フォームの回答 '!AC12="しばしばあった"),3,(IF(('2回目フォームの回答 '!AC12="ほとんどいつもあった"),4,"")))))))</f>
        <v>2</v>
      </c>
      <c r="AX12" s="1">
        <f>IF(('2回目フォームの回答 '!AD12="ほとんどなかった"),1,(IF(('2回目フォームの回答 '!AD12="ときどきあった"),2,(IF(('2回目フォームの回答 '!AD12="しばしばあった"),3,(IF(('2回目フォームの回答 '!AD12="ほとんどいつもあった"),4,"")))))))</f>
        <v>1</v>
      </c>
      <c r="AY12" s="1">
        <f>IF(('2回目フォームの回答 '!AE12="ほとんどなかった"),1,(IF(('2回目フォームの回答 '!AE12="ときどきあった"),2,(IF(('2回目フォームの回答 '!AE12="しばしばあった"),3,(IF(('2回目フォームの回答 '!AE12="ほとんどいつもあった"),4,"")))))))</f>
        <v>1</v>
      </c>
      <c r="AZ12" s="1">
        <f>IF(('2回目フォームの回答 '!AF12="ほとんどなかった"),1,(IF(('2回目フォームの回答 '!AF12="ときどきあった"),2,(IF(('2回目フォームの回答 '!AF12="しばしばあった"),3,(IF(('2回目フォームの回答 '!AF12="ほとんどいつもあった"),4,"")))))))</f>
        <v>1</v>
      </c>
      <c r="BA12" s="1">
        <f>IF(('2回目フォームの回答 '!AG12="ほとんどなかった"),1,(IF(('2回目フォームの回答 '!AG12="ときどきあった"),2,(IF(('2回目フォームの回答 '!AG12="しばしばあった"),3,(IF(('2回目フォームの回答 '!AG12="ほとんどいつもあった"),4,"")))))))</f>
        <v>2</v>
      </c>
      <c r="BB12" s="1">
        <f>IF(('2回目フォームの回答 '!AH12="ほとんどなかった"),1,(IF(('2回目フォームの回答 '!AH12="ときどきあった"),2,(IF(('2回目フォームの回答 '!AH12="しばしばあった"),3,(IF(('2回目フォームの回答 '!AH12="ほとんどいつもあった"),4,"")))))))</f>
        <v>2</v>
      </c>
      <c r="BC12" s="1">
        <f>IF(('2回目フォームの回答 '!AI12="ほとんどなかった"),1,(IF(('2回目フォームの回答 '!AI12="ときどきあった"),2,(IF(('2回目フォームの回答 '!AI12="しばしばあった"),3,(IF(('2回目フォームの回答 '!AI12="ほとんどいつもあった"),4,"")))))))</f>
        <v>2</v>
      </c>
      <c r="BD12" s="1">
        <f>IF(('2回目フォームの回答 '!AJ12="ほとんどなかった"),1,(IF(('2回目フォームの回答 '!AJ12="ときどきあった"),2,(IF(('2回目フォームの回答 '!AJ12="しばしばあった"),3,(IF(('2回目フォームの回答 '!AJ12="ほとんどいつもあった"),4,"")))))))</f>
        <v>1</v>
      </c>
      <c r="BE12" s="1">
        <f>IF(('2回目フォームの回答 '!AK12="ほとんどなかった"),1,(IF(('2回目フォームの回答 '!AK12="ときどきあった"),2,(IF(('2回目フォームの回答 '!AK12="しばしばあった"),3,(IF(('2回目フォームの回答 '!AK12="ほとんどいつもあった"),4,"")))))))</f>
        <v>1</v>
      </c>
      <c r="BF12" s="1">
        <f>IF(('2回目フォームの回答 '!AL12="ほとんどなかった"),1,(IF(('2回目フォームの回答 '!AL12="ときどきあった"),2,(IF(('2回目フォームの回答 '!AL12="しばしばあった"),3,(IF(('2回目フォームの回答 '!AL12="ほとんどいつもあった"),4,"")))))))</f>
        <v>1</v>
      </c>
      <c r="BG12" s="1">
        <f>IF(('2回目フォームの回答 '!AM12="ほとんどなかった"),1,(IF(('2回目フォームの回答 '!AM12="ときどきあった"),2,(IF(('2回目フォームの回答 '!AM12="しばしばあった"),3,(IF(('2回目フォームの回答 '!AM12="ほとんどいつもあった"),4,"")))))))</f>
        <v>2</v>
      </c>
      <c r="BH12" s="1">
        <f>IF(('2回目フォームの回答 '!AN12="ほとんどなかった"),1,(IF(('2回目フォームの回答 '!AN12="ときどきあった"),2,(IF(('2回目フォームの回答 '!AN12="しばしばあった"),3,(IF(('2回目フォームの回答 '!AN12="ほとんどいつもあった"),4,"")))))))</f>
        <v>2</v>
      </c>
      <c r="BI12" s="1">
        <f>IF(('2回目フォームの回答 '!AO12="ほとんどなかった"),1,(IF(('2回目フォームの回答 '!AO12="ときどきあった"),2,(IF(('2回目フォームの回答 '!AO12="しばしばあった"),3,(IF(('2回目フォームの回答 '!AO12="ほとんどいつもあった"),4,"")))))))</f>
        <v>3</v>
      </c>
      <c r="BJ12" s="1">
        <f>IF(('2回目フォームの回答 '!AP12="ほとんどなかった"),1,(IF(('2回目フォームの回答 '!AP12="ときどきあった"),2,(IF(('2回目フォームの回答 '!AP12="しばしばあった"),3,(IF(('2回目フォームの回答 '!AP12="ほとんどいつもあった"),4,"")))))))</f>
        <v>3</v>
      </c>
      <c r="BK12" s="1">
        <f>IF(('2回目フォームの回答 '!AQ12="ほとんどなかった"),1,(IF(('2回目フォームの回答 '!AQ12="ときどきあった"),2,(IF(('2回目フォームの回答 '!AQ12="しばしばあった"),3,(IF(('2回目フォームの回答 '!AQ12="ほとんどいつもあった"),4,"")))))))</f>
        <v>3</v>
      </c>
      <c r="BL12" s="1">
        <f>IF(('2回目フォームの回答 '!AR12="ほとんどなかった"),1,(IF(('2回目フォームの回答 '!AR12="ときどきあった"),2,(IF(('2回目フォームの回答 '!AR12="しばしばあった"),3,(IF(('2回目フォームの回答 '!AR12="ほとんどいつもあった"),4,"")))))))</f>
        <v>1</v>
      </c>
      <c r="BM12" s="1">
        <f>IF(('2回目フォームの回答 '!AS12="ほとんどなかった"),1,(IF(('2回目フォームの回答 '!AS12="ときどきあった"),2,(IF(('2回目フォームの回答 '!AS12="しばしばあった"),3,(IF(('2回目フォームの回答 '!AS12="ほとんどいつもあった"),4,"")))))))</f>
        <v>2</v>
      </c>
      <c r="BN12" s="1">
        <f>IF(('2回目フォームの回答 '!AT12="ほとんどなかった"),1,(IF(('2回目フォームの回答 '!AT12="ときどきあった"),2,(IF(('2回目フォームの回答 '!AT12="しばしばあった"),3,(IF(('2回目フォームの回答 '!AT12="ほとんどいつもあった"),4,"")))))))</f>
        <v>1</v>
      </c>
      <c r="BO12" s="1">
        <f>IF(('2回目フォームの回答 '!AU12="ほとんどなかった"),1,(IF(('2回目フォームの回答 '!AU12="ときどきあった"),2,(IF(('2回目フォームの回答 '!AU12="しばしばあった"),3,(IF(('2回目フォームの回答 '!AU12="ほとんどいつもあった"),4,"")))))))</f>
        <v>2</v>
      </c>
      <c r="BP12" s="1">
        <f>IF(('2回目フォームの回答 '!AV12="ほとんどなかった"),1,(IF(('2回目フォームの回答 '!AV12="ときどきあった"),2,(IF(('2回目フォームの回答 '!AV12="しばしばあった"),3,(IF(('2回目フォームの回答 '!AV12="ほとんどいつもあった"),4,"")))))))</f>
        <v>1</v>
      </c>
      <c r="BQ12" s="1">
        <f t="shared" si="26"/>
        <v>9</v>
      </c>
      <c r="BR12" s="1">
        <f t="shared" si="27"/>
        <v>2</v>
      </c>
      <c r="BS12" s="1">
        <f t="shared" si="28"/>
        <v>4</v>
      </c>
      <c r="BT12" s="1">
        <f t="shared" si="2"/>
        <v>2</v>
      </c>
      <c r="BU12" s="1">
        <f t="shared" si="3"/>
        <v>5</v>
      </c>
      <c r="BV12" s="1">
        <f t="shared" si="4"/>
        <v>3</v>
      </c>
      <c r="BW12" s="1">
        <f t="shared" si="29"/>
        <v>4</v>
      </c>
      <c r="BX12" s="1">
        <f t="shared" si="5"/>
        <v>2</v>
      </c>
      <c r="BY12" s="1">
        <f t="shared" si="30"/>
        <v>9</v>
      </c>
      <c r="BZ12" s="1">
        <f t="shared" si="6"/>
        <v>3</v>
      </c>
      <c r="CA12" s="1">
        <f t="shared" si="31"/>
        <v>21</v>
      </c>
      <c r="CB12" s="1">
        <f t="shared" si="32"/>
        <v>3</v>
      </c>
      <c r="CC12" s="1">
        <f>IF(('2回目フォームの回答 '!AW12="非常に"),1,(IF(('2回目フォームの回答 '!AW12="かなり"),2,(IF(('2回目フォームの回答 '!AW12="多少"),3,(IF(('2回目フォームの回答 '!AW12="全くない"),4,"")))))))</f>
        <v>2</v>
      </c>
      <c r="CD12" s="1">
        <f>IF(('2回目フォームの回答 '!AX12="非常に"),1,(IF(('2回目フォームの回答 '!AX12="かなり"),2,(IF(('2回目フォームの回答 '!AX12="多少"),3,(IF(('2回目フォームの回答 '!AX12="全くない"),4,"")))))))</f>
        <v>2</v>
      </c>
      <c r="CE12" s="1">
        <f>IF(('2回目フォームの回答 '!AY12="非常に"),1,(IF(('2回目フォームの回答 '!AY12="かなり"),2,(IF(('2回目フォームの回答 '!AY12="多少"),3,(IF(('2回目フォームの回答 '!AY12="全くない"),4,"")))))))</f>
        <v>2</v>
      </c>
      <c r="CF12" s="1">
        <f>IF(('2回目フォームの回答 '!AZ12="非常に"),1,(IF(('2回目フォームの回答 '!AZ12="かなり"),2,(IF(('2回目フォームの回答 '!AZ12="多少"),3,(IF(('2回目フォームの回答 '!AZ12="全くない"),4,"")))))))</f>
        <v>2</v>
      </c>
      <c r="CG12" s="1">
        <f>IF(('2回目フォームの回答 '!BA12="非常に"),1,(IF(('2回目フォームの回答 '!BA12="かなり"),2,(IF(('2回目フォームの回答 '!BA12="多少"),3,(IF(('2回目フォームの回答 '!BA12="全くない"),4,"")))))))</f>
        <v>2</v>
      </c>
      <c r="CH12" s="1">
        <f>IF(('2回目フォームの回答 '!BB12="非常に"),1,(IF(('2回目フォームの回答 '!BB12="かなり"),2,(IF(('2回目フォームの回答 '!BB12="多少"),3,(IF(('2回目フォームの回答 '!BB12="全くない"),4,"")))))))</f>
        <v>2</v>
      </c>
      <c r="CI12" s="1">
        <f>IF(('2回目フォームの回答 '!BC12="非常に"),1,(IF(('2回目フォームの回答 '!BC12="かなり"),2,(IF(('2回目フォームの回答 '!BC12="多少"),3,(IF(('2回目フォームの回答 '!BC12="全くない"),4,"")))))))</f>
        <v>2</v>
      </c>
      <c r="CJ12" s="1">
        <f>IF(('2回目フォームの回答 '!BD12="非常に"),1,(IF(('2回目フォームの回答 '!BD12="かなり"),2,(IF(('2回目フォームの回答 '!BD12="多少"),3,(IF(('2回目フォームの回答 '!BD12="全くない"),4,"")))))))</f>
        <v>2</v>
      </c>
      <c r="CK12" s="1">
        <f>IF(('2回目フォームの回答 '!BE12="非常に"),1,(IF(('2回目フォームの回答 '!BE12="かなり"),2,(IF(('2回目フォームの回答 '!BE12="多少"),3,(IF(('2回目フォームの回答 '!BE12="全くない"),4,"")))))))</f>
        <v>2</v>
      </c>
      <c r="CL12" s="1">
        <f>IF(('2回目フォームの回答 '!BF12="満足"),1,(IF(('2回目フォームの回答 '!BF12="まぁ満足"),2,(IF(('2回目フォームの回答 '!BF12="やや満足"),3,(IF(('2回目フォームの回答 '!BF12="不満足"),4,"")))))))</f>
        <v>2</v>
      </c>
      <c r="CM12" s="1">
        <f>IF(('2回目フォームの回答 '!BG12="満足"),1,(IF(('2回目フォームの回答 '!BG12="まぁ満足"),2,(IF(('2回目フォームの回答 '!BG12="やや満足"),3,(IF(('2回目フォームの回答 '!BG12="不満足"),4,"")))))))</f>
        <v>2</v>
      </c>
      <c r="CN12" s="1">
        <f t="shared" si="33"/>
        <v>9</v>
      </c>
      <c r="CO12" s="1">
        <f t="shared" si="7"/>
        <v>2</v>
      </c>
      <c r="CP12" s="1">
        <f t="shared" si="34"/>
        <v>9</v>
      </c>
      <c r="CQ12" s="1">
        <f t="shared" si="8"/>
        <v>3</v>
      </c>
      <c r="CR12" s="1">
        <f t="shared" si="35"/>
        <v>9</v>
      </c>
      <c r="CS12" s="1">
        <f t="shared" si="36"/>
        <v>3</v>
      </c>
      <c r="CT12" s="1">
        <f t="shared" si="37"/>
        <v>6</v>
      </c>
      <c r="CU12" s="1">
        <f t="shared" si="9"/>
        <v>3</v>
      </c>
      <c r="CV12" s="1">
        <f t="shared" si="38"/>
        <v>15</v>
      </c>
      <c r="CW12" s="1">
        <f t="shared" si="39"/>
        <v>25</v>
      </c>
      <c r="CX12" s="1">
        <f t="shared" si="10"/>
        <v>8</v>
      </c>
      <c r="CY12" s="29" t="str">
        <f t="shared" si="40"/>
        <v>低</v>
      </c>
      <c r="CZ12" s="1">
        <f>'2回目フォームの回答 '!BH12</f>
        <v>1</v>
      </c>
      <c r="DA12" s="2">
        <f t="shared" si="41"/>
        <v>0</v>
      </c>
      <c r="DB12" s="1">
        <f>IF(('2回目フォームの回答 '!BI12="いつもより寝つきは良い"),0,(IF(('2回目フォームの回答 '!BI12="いつもより少し時間がかかった"),1,(IF(('2回目フォームの回答 '!BI12="いつもよりかなり時間がかかった"),2,(IF(('2回目フォームの回答 '!BI12="いつもより非常に時間がかかった、あるいは全く眠れなかった"),3,"")))))))</f>
        <v>0</v>
      </c>
      <c r="DC12" s="1">
        <f>IF(('2回目フォームの回答 '!BJ12="問題になるほどのことはなかった"),0,(IF(('2回目フォームの回答 '!BJ12="少し困ることがある"),1,(IF(('2回目フォームの回答 '!BJ12="かなり困っている"),2,(IF(('2回目フォームの回答 '!BJ12="深刻な状態、あるいは全く眠れなかった"),3,"")))))))</f>
        <v>0</v>
      </c>
      <c r="DD12" s="1">
        <f>IF(('2回目フォームの回答 '!BK12="そのようなことはなかった"),0,(IF(('2回目フォームの回答 '!BK12="少し早かった"),1,(IF(('2回目フォームの回答 '!BK12="かなり早かった"),2,(IF(('2回目フォームの回答 '!BK12="非常に早かった、あるいは全く眠れなかった"),3,"")))))))</f>
        <v>0</v>
      </c>
      <c r="DE12" s="1">
        <f>IF(('2回目フォームの回答 '!BL12="十分である"),0,(IF(('2回目フォームの回答 '!BL12="少し足りない"),1,(IF(('2回目フォームの回答 '!BL12="かなり足りない"),2,(IF(('2回目フォームの回答 '!BL12="全く足りない、あるいは全く眠れなかった"),3,"")))))))</f>
        <v>1</v>
      </c>
      <c r="DF12" s="1">
        <f>IF(('2回目フォームの回答 '!BM12="満足している"),0,(IF(('2回目フォームの回答 '!BM12="少し不満である"),1,(IF(('2回目フォームの回答 '!BM12="かなり不満である"),2,(IF(('2回目フォームの回答 '!BM12="非常に不満である、あるいは全く眠れなかった"),3,"")))))))</f>
        <v>1</v>
      </c>
      <c r="DG12" s="1">
        <f>IF(('2回目フォームの回答 '!BN12="いつもどおり"),0,(IF(('2回目フォームの回答 '!BN12="少し滅入った"),1,(IF(('2回目フォームの回答 '!BN12="かなり滅入った"),2,(IF(('2回目フォームの回答 '!BN12="非常に滅入った"),3,"")))))))</f>
        <v>0</v>
      </c>
      <c r="DH12" s="1">
        <f>IF(('2回目フォームの回答 '!BO12="いつもどおり"),0,(IF(('2回目フォームの回答 '!BO12="少し低下した"),1,(IF(('2回目フォームの回答 '!BO12="かなり低下した"),2,(IF(('2回目フォームの回答 '!BO12="非常に低下した"),3,"")))))))</f>
        <v>0</v>
      </c>
      <c r="DI12" s="1">
        <f>IF(('2回目フォームの回答 '!BP12="全くなかった"),0,(IF(('2回目フォームの回答 '!BP12="少しあった"),1,(IF(('2回目フォームの回答 '!BP12="かなりあった"),2,(IF(('2回目フォームの回答 '!BP12="激しかった"),3,"")))))))</f>
        <v>2</v>
      </c>
      <c r="DJ12">
        <f t="shared" si="42"/>
        <v>4</v>
      </c>
      <c r="DK12" s="4" t="str">
        <f t="shared" si="43"/>
        <v>中</v>
      </c>
      <c r="DL12" s="5">
        <v>31.8</v>
      </c>
      <c r="DM12" s="5">
        <v>28.4</v>
      </c>
      <c r="DN12" s="5">
        <v>35.4</v>
      </c>
      <c r="DO12" s="5">
        <f t="shared" si="44"/>
        <v>95.6</v>
      </c>
      <c r="DP12" s="5"/>
      <c r="DQ12" s="5"/>
      <c r="DR12" s="5"/>
      <c r="DS12" s="71">
        <v>0.31666666666666665</v>
      </c>
      <c r="DT12" s="66">
        <v>299</v>
      </c>
      <c r="DU12" s="59">
        <f>INDEX('1回目結果'!DR:DR,MATCH($DT12,'1回目結果'!$A:$A,0))</f>
        <v>2.14</v>
      </c>
      <c r="DV12" s="59">
        <f>INDEX('1回目結果'!DS:DS,MATCH($DT12,'1回目結果'!$A:$A,0))</f>
        <v>227.4</v>
      </c>
      <c r="DW12" s="59">
        <f>INDEX('1回目結果'!DT:DT,MATCH($DT12,'1回目結果'!$A:$A,0))</f>
        <v>0.94</v>
      </c>
      <c r="DX12" s="59">
        <f>INDEX('1回目結果'!DU:DU,MATCH($DT12,'1回目結果'!$A:$A,0))</f>
        <v>47</v>
      </c>
      <c r="DY12" s="59">
        <f>IFERROR(INDEX('1回目結果'!DL:DL,MATCH('2回目結果'!$DT12,'1回目結果'!$A:$A,0)),"")</f>
        <v>6.6</v>
      </c>
      <c r="DZ12" s="59">
        <f>IFERROR(INDEX('1回目結果'!DM:DM,MATCH('2回目結果'!$DT12,'1回目結果'!$A:$A,0)),"")</f>
        <v>13.2</v>
      </c>
      <c r="EA12" s="59">
        <f>IFERROR(INDEX('1回目結果'!DN:DN,MATCH('2回目結果'!$DT12,'1回目結果'!$A:$A,0)),"")</f>
        <v>30.7</v>
      </c>
      <c r="EB12" s="59">
        <f>IFERROR(INDEX('1回目結果'!DO:DO,MATCH('2回目結果'!$DT12,'1回目結果'!$A:$A,0)),"")</f>
        <v>50.5</v>
      </c>
      <c r="EC12" s="59">
        <f>IFERROR(INDEX('1回目結果'!DP:DP,MATCH('2回目結果'!$DT12,'1回目結果'!$A:$A,0)),"")</f>
        <v>0</v>
      </c>
      <c r="ED12" s="59" t="str">
        <f>IFERROR(INDEX('1回目結果'!DQ:DQ,MATCH('2回目結果'!$DT12,'1回目結果'!$A:$A,0)),"")</f>
        <v>〇</v>
      </c>
      <c r="EE12" s="54">
        <v>2.1680000000000001</v>
      </c>
      <c r="EF12" s="54">
        <v>246.13</v>
      </c>
      <c r="EG12" s="54">
        <v>0.88</v>
      </c>
      <c r="EH12" s="54">
        <v>44</v>
      </c>
      <c r="EI12" s="43" t="s">
        <v>115</v>
      </c>
      <c r="EJ12" s="44">
        <f t="shared" si="45"/>
        <v>0.93617021276595747</v>
      </c>
      <c r="EK12" s="44">
        <f t="shared" si="50"/>
        <v>0.93617021276595747</v>
      </c>
      <c r="EL12">
        <f t="shared" si="46"/>
        <v>45.099999999999994</v>
      </c>
      <c r="EM12">
        <f t="shared" si="47"/>
        <v>4.6999999999999993</v>
      </c>
    </row>
    <row r="13" spans="1:143" ht="15.75" hidden="1" customHeight="1">
      <c r="A13" s="1">
        <v>332</v>
      </c>
      <c r="B13" s="24" t="s">
        <v>140</v>
      </c>
      <c r="C13" s="52">
        <v>36198</v>
      </c>
      <c r="D13" s="38">
        <v>25</v>
      </c>
      <c r="E13" s="1">
        <f>IF(('2回目フォームの回答 '!C13="そうだ"),1,(IF(('2回目フォームの回答 '!C13="まぁそうだ"),2,(IF(('2回目フォームの回答 '!C13="ややちがう"),3,(IF(('2回目フォームの回答 '!C13="ちがう"),4,"")))))))</f>
        <v>3</v>
      </c>
      <c r="F13" s="1">
        <f>IF(('2回目フォームの回答 '!D13="そうだ"),1,(IF(('2回目フォームの回答 '!D13="まぁそうだ"),2,(IF(('2回目フォームの回答 '!D13="ややちがう"),3,(IF(('2回目フォームの回答 '!D13="ちがう"),4,"")))))))</f>
        <v>3</v>
      </c>
      <c r="G13" s="1">
        <f>IF(('2回目フォームの回答 '!E13="そうだ"),1,(IF(('2回目フォームの回答 '!E13="まぁそうだ"),2,(IF(('2回目フォームの回答 '!E13="ややちがう"),3,(IF(('2回目フォームの回答 '!E13="ちがう"),4,"")))))))</f>
        <v>1</v>
      </c>
      <c r="H13" s="1">
        <f>IF(('2回目フォームの回答 '!F13="そうだ"),1,(IF(('2回目フォームの回答 '!F13="まぁそうだ"),2,(IF(('2回目フォームの回答 '!F13="ややちがう"),3,(IF(('2回目フォームの回答 '!F13="ちがう"),4,"")))))))</f>
        <v>1</v>
      </c>
      <c r="I13" s="1">
        <f>IF(('2回目フォームの回答 '!G13="そうだ"),1,(IF(('2回目フォームの回答 '!G13="まぁそうだ"),2,(IF(('2回目フォームの回答 '!G13="ややちがう"),3,(IF(('2回目フォームの回答 '!G13="ちがう"),4,"")))))))</f>
        <v>2</v>
      </c>
      <c r="J13" s="1">
        <f>IF(('2回目フォームの回答 '!H13="そうだ"),1,(IF(('2回目フォームの回答 '!H13="まぁそうだ"),2,(IF(('2回目フォームの回答 '!H13="ややちがう"),3,(IF(('2回目フォームの回答 '!H13="ちがう"),4,"")))))))</f>
        <v>2</v>
      </c>
      <c r="K13" s="1">
        <f>IF(('2回目フォームの回答 '!I13="そうだ"),1,(IF(('2回目フォームの回答 '!I13="まぁそうだ"),2,(IF(('2回目フォームの回答 '!I13="ややちがう"),3,(IF(('2回目フォームの回答 '!I13="ちがう"),4,"")))))))</f>
        <v>3</v>
      </c>
      <c r="L13" s="1">
        <f>IF(('2回目フォームの回答 '!J13="そうだ"),1,(IF(('2回目フォームの回答 '!J13="まぁそうだ"),2,(IF(('2回目フォームの回答 '!J13="ややちがう"),3,(IF(('2回目フォームの回答 '!J13="ちがう"),4,"")))))))</f>
        <v>2</v>
      </c>
      <c r="M13" s="1">
        <f>IF(('2回目フォームの回答 '!K13="そうだ"),1,(IF(('2回目フォームの回答 '!K13="まぁそうだ"),2,(IF(('2回目フォームの回答 '!K13="ややちがう"),3,(IF(('2回目フォームの回答 '!K13="ちがう"),4,"")))))))</f>
        <v>2</v>
      </c>
      <c r="N13" s="1">
        <f>IF(('2回目フォームの回答 '!L13="そうだ"),1,(IF(('2回目フォームの回答 '!L13="まぁそうだ"),2,(IF(('2回目フォームの回答 '!L13="ややちがう"),3,(IF(('2回目フォームの回答 '!L13="ちがう"),4,"")))))))</f>
        <v>4</v>
      </c>
      <c r="O13" s="1">
        <f>IF(('2回目フォームの回答 '!M13="そうだ"),1,(IF(('2回目フォームの回答 '!M13="まぁそうだ"),2,(IF(('2回目フォームの回答 '!M13="ややちがう"),3,(IF(('2回目フォームの回答 '!M13="ちがう"),4,"")))))))</f>
        <v>3</v>
      </c>
      <c r="P13" s="1">
        <f>IF(('2回目フォームの回答 '!N13="そうだ"),1,(IF(('2回目フォームの回答 '!N13="まぁそうだ"),2,(IF(('2回目フォームの回答 '!N13="ややちがう"),3,(IF(('2回目フォームの回答 '!N13="ちがう"),4,"")))))))</f>
        <v>2</v>
      </c>
      <c r="Q13" s="1">
        <f>IF(('2回目フォームの回答 '!O13="そうだ"),1,(IF(('2回目フォームの回答 '!O13="まぁそうだ"),2,(IF(('2回目フォームの回答 '!O13="ややちがう"),3,(IF(('2回目フォームの回答 '!O13="ちがう"),4,"")))))))</f>
        <v>3</v>
      </c>
      <c r="R13" s="1">
        <f>IF(('2回目フォームの回答 '!P13="そうだ"),1,(IF(('2回目フォームの回答 '!P13="まぁそうだ"),2,(IF(('2回目フォームの回答 '!P13="ややちがう"),3,(IF(('2回目フォームの回答 '!P13="ちがう"),4,"")))))))</f>
        <v>2</v>
      </c>
      <c r="S13" s="1">
        <f>IF(('2回目フォームの回答 '!Q13="そうだ"),1,(IF(('2回目フォームの回答 '!Q13="まぁそうだ"),2,(IF(('2回目フォームの回答 '!Q13="ややちがう"),3,(IF(('2回目フォームの回答 '!Q13="ちがう"),4,"")))))))</f>
        <v>1</v>
      </c>
      <c r="T13" s="1">
        <f>IF(('2回目フォームの回答 '!R13="そうだ"),1,(IF(('2回目フォームの回答 '!R13="まぁそうだ"),2,(IF(('2回目フォームの回答 '!R13="ややちがう"),3,(IF(('2回目フォームの回答 '!R13="ちがう"),4,"")))))))</f>
        <v>2</v>
      </c>
      <c r="U13" s="1">
        <f>IF(('2回目フォームの回答 '!S13="そうだ"),1,(IF(('2回目フォームの回答 '!S13="まぁそうだ"),2,(IF(('2回目フォームの回答 '!S13="ややちがう"),3,(IF(('2回目フォームの回答 '!S13="ちがう"),4,"")))))))</f>
        <v>2</v>
      </c>
      <c r="V13" s="1">
        <f t="shared" si="48"/>
        <v>8</v>
      </c>
      <c r="W13" s="1">
        <f t="shared" si="11"/>
        <v>3</v>
      </c>
      <c r="X13" s="1">
        <f t="shared" si="12"/>
        <v>10</v>
      </c>
      <c r="Y13" s="1">
        <f t="shared" si="13"/>
        <v>4</v>
      </c>
      <c r="Z13" s="1">
        <f t="shared" si="14"/>
        <v>2</v>
      </c>
      <c r="AA13" s="1">
        <f t="shared" si="15"/>
        <v>3</v>
      </c>
      <c r="AB13" s="1">
        <f t="shared" si="16"/>
        <v>7</v>
      </c>
      <c r="AC13" s="1">
        <f t="shared" si="17"/>
        <v>3</v>
      </c>
      <c r="AD13" s="1">
        <f t="shared" si="18"/>
        <v>4</v>
      </c>
      <c r="AE13" s="1">
        <f t="shared" si="0"/>
        <v>5</v>
      </c>
      <c r="AF13" s="1">
        <f t="shared" si="19"/>
        <v>7</v>
      </c>
      <c r="AG13" s="1">
        <f t="shared" si="1"/>
        <v>3</v>
      </c>
      <c r="AH13" s="1">
        <f t="shared" si="20"/>
        <v>3</v>
      </c>
      <c r="AI13" s="1">
        <f t="shared" si="21"/>
        <v>3</v>
      </c>
      <c r="AJ13" s="1">
        <f t="shared" si="22"/>
        <v>3</v>
      </c>
      <c r="AK13" s="1">
        <f t="shared" si="23"/>
        <v>3</v>
      </c>
      <c r="AL13" s="1">
        <f t="shared" si="24"/>
        <v>3</v>
      </c>
      <c r="AM13" s="1">
        <f t="shared" si="25"/>
        <v>3</v>
      </c>
      <c r="AN13" s="1">
        <f>IF(('2回目フォームの回答 '!T13="ほとんどなかった"),1,(IF(('2回目フォームの回答 '!T13="ときどきあった"),2,(IF(('2回目フォームの回答 '!T13="しばしばあった"),3,(IF(('2回目フォームの回答 '!T13="ほとんどいつもあった"),4,"")))))))</f>
        <v>1</v>
      </c>
      <c r="AO13" s="1">
        <f>IF(('2回目フォームの回答 '!U13="ほとんどなかった"),1,(IF(('2回目フォームの回答 '!U13="ときどきあった"),2,(IF(('2回目フォームの回答 '!U13="しばしばあった"),3,(IF(('2回目フォームの回答 '!U13="ほとんどいつもあった"),4,"")))))))</f>
        <v>2</v>
      </c>
      <c r="AP13" s="1">
        <f>IF(('2回目フォームの回答 '!V13="ほとんどなかった"),1,(IF(('2回目フォームの回答 '!V13="ときどきあった"),2,(IF(('2回目フォームの回答 '!V13="しばしばあった"),3,(IF(('2回目フォームの回答 '!V13="ほとんどいつもあった"),4,"")))))))</f>
        <v>1</v>
      </c>
      <c r="AQ13" s="1">
        <f>IF(('2回目フォームの回答 '!W13="ほとんどなかった"),1,(IF(('2回目フォームの回答 '!W13="ときどきあった"),2,(IF(('2回目フォームの回答 '!W13="しばしばあった"),3,(IF(('2回目フォームの回答 '!W13="ほとんどいつもあった"),4,"")))))))</f>
        <v>2</v>
      </c>
      <c r="AR13" s="1">
        <f>IF(('2回目フォームの回答 '!X13="ほとんどなかった"),1,(IF(('2回目フォームの回答 '!X13="ときどきあった"),2,(IF(('2回目フォームの回答 '!X13="しばしばあった"),3,(IF(('2回目フォームの回答 '!X13="ほとんどいつもあった"),4,"")))))))</f>
        <v>2</v>
      </c>
      <c r="AS13" s="1">
        <f>IF(('2回目フォームの回答 '!Y13="ほとんどなかった"),1,(IF(('2回目フォームの回答 '!Y13="ときどきあった"),2,(IF(('2回目フォームの回答 '!Y13="しばしばあった"),3,(IF(('2回目フォームの回答 '!Y13="ほとんどいつもあった"),4,"")))))))</f>
        <v>3</v>
      </c>
      <c r="AT13" s="1">
        <f>IF(('2回目フォームの回答 '!Z13="ほとんどなかった"),1,(IF(('2回目フォームの回答 '!Z13="ときどきあった"),2,(IF(('2回目フォームの回答 '!Z13="しばしばあった"),3,(IF(('2回目フォームの回答 '!Z13="ほとんどいつもあった"),4,"")))))))</f>
        <v>3</v>
      </c>
      <c r="AU13" s="1">
        <f>IF(('2回目フォームの回答 '!AA13="ほとんどなかった"),1,(IF(('2回目フォームの回答 '!AA13="ときどきあった"),2,(IF(('2回目フォームの回答 '!AA13="しばしばあった"),3,(IF(('2回目フォームの回答 '!AA13="ほとんどいつもあった"),4,"")))))))</f>
        <v>2</v>
      </c>
      <c r="AV13" s="1">
        <f>IF(('2回目フォームの回答 '!AB13="ほとんどなかった"),1,(IF(('2回目フォームの回答 '!AB13="ときどきばあった"),2,(IF(('2回目フォームの回答 '!AB13="しばしばあった"),3,(IF(('2回目フォームの回答 '!AB13="ほとんどいつもあった"),4,"")))))))</f>
        <v>4</v>
      </c>
      <c r="AW13" s="1">
        <f>IF(('2回目フォームの回答 '!AC13="ほとんどなかった"),1,(IF(('2回目フォームの回答 '!AC13="ときどきあった"),2,(IF(('2回目フォームの回答 '!AC13="しばしばあった"),3,(IF(('2回目フォームの回答 '!AC13="ほとんどいつもあった"),4,"")))))))</f>
        <v>3</v>
      </c>
      <c r="AX13" s="1">
        <f>IF(('2回目フォームの回答 '!AD13="ほとんどなかった"),1,(IF(('2回目フォームの回答 '!AD13="ときどきあった"),2,(IF(('2回目フォームの回答 '!AD13="しばしばあった"),3,(IF(('2回目フォームの回答 '!AD13="ほとんどいつもあった"),4,"")))))))</f>
        <v>4</v>
      </c>
      <c r="AY13" s="1">
        <f>IF(('2回目フォームの回答 '!AE13="ほとんどなかった"),1,(IF(('2回目フォームの回答 '!AE13="ときどきあった"),2,(IF(('2回目フォームの回答 '!AE13="しばしばあった"),3,(IF(('2回目フォームの回答 '!AE13="ほとんどいつもあった"),4,"")))))))</f>
        <v>3</v>
      </c>
      <c r="AZ13" s="1">
        <f>IF(('2回目フォームの回答 '!AF13="ほとんどなかった"),1,(IF(('2回目フォームの回答 '!AF13="ときどきあった"),2,(IF(('2回目フォームの回答 '!AF13="しばしばあった"),3,(IF(('2回目フォームの回答 '!AF13="ほとんどいつもあった"),4,"")))))))</f>
        <v>2</v>
      </c>
      <c r="BA13" s="1">
        <f>IF(('2回目フォームの回答 '!AG13="ほとんどなかった"),1,(IF(('2回目フォームの回答 '!AG13="ときどきあった"),2,(IF(('2回目フォームの回答 '!AG13="しばしばあった"),3,(IF(('2回目フォームの回答 '!AG13="ほとんどいつもあった"),4,"")))))))</f>
        <v>4</v>
      </c>
      <c r="BB13" s="1">
        <f>IF(('2回目フォームの回答 '!AH13="ほとんどなかった"),1,(IF(('2回目フォームの回答 '!AH13="ときどきあった"),2,(IF(('2回目フォームの回答 '!AH13="しばしばあった"),3,(IF(('2回目フォームの回答 '!AH13="ほとんどいつもあった"),4,"")))))))</f>
        <v>4</v>
      </c>
      <c r="BC13" s="1">
        <f>IF(('2回目フォームの回答 '!AI13="ほとんどなかった"),1,(IF(('2回目フォームの回答 '!AI13="ときどきあった"),2,(IF(('2回目フォームの回答 '!AI13="しばしばあった"),3,(IF(('2回目フォームの回答 '!AI13="ほとんどいつもあった"),4,"")))))))</f>
        <v>3</v>
      </c>
      <c r="BD13" s="1">
        <f>IF(('2回目フォームの回答 '!AJ13="ほとんどなかった"),1,(IF(('2回目フォームの回答 '!AJ13="ときどきあった"),2,(IF(('2回目フォームの回答 '!AJ13="しばしばあった"),3,(IF(('2回目フォームの回答 '!AJ13="ほとんどいつもあった"),4,"")))))))</f>
        <v>2</v>
      </c>
      <c r="BE13" s="1">
        <f>IF(('2回目フォームの回答 '!AK13="ほとんどなかった"),1,(IF(('2回目フォームの回答 '!AK13="ときどきあった"),2,(IF(('2回目フォームの回答 '!AK13="しばしばあった"),3,(IF(('2回目フォームの回答 '!AK13="ほとんどいつもあった"),4,"")))))))</f>
        <v>2</v>
      </c>
      <c r="BF13" s="1">
        <f>IF(('2回目フォームの回答 '!AL13="ほとんどなかった"),1,(IF(('2回目フォームの回答 '!AL13="ときどきあった"),2,(IF(('2回目フォームの回答 '!AL13="しばしばあった"),3,(IF(('2回目フォームの回答 '!AL13="ほとんどいつもあった"),4,"")))))))</f>
        <v>1</v>
      </c>
      <c r="BG13" s="1">
        <f>IF(('2回目フォームの回答 '!AM13="ほとんどなかった"),1,(IF(('2回目フォームの回答 '!AM13="ときどきあった"),2,(IF(('2回目フォームの回答 '!AM13="しばしばあった"),3,(IF(('2回目フォームの回答 '!AM13="ほとんどいつもあった"),4,"")))))))</f>
        <v>1</v>
      </c>
      <c r="BH13" s="1">
        <f>IF(('2回目フォームの回答 '!AN13="ほとんどなかった"),1,(IF(('2回目フォームの回答 '!AN13="ときどきあった"),2,(IF(('2回目フォームの回答 '!AN13="しばしばあった"),3,(IF(('2回目フォームの回答 '!AN13="ほとんどいつもあった"),4,"")))))))</f>
        <v>3</v>
      </c>
      <c r="BI13" s="1">
        <f>IF(('2回目フォームの回答 '!AO13="ほとんどなかった"),1,(IF(('2回目フォームの回答 '!AO13="ときどきあった"),2,(IF(('2回目フォームの回答 '!AO13="しばしばあった"),3,(IF(('2回目フォームの回答 '!AO13="ほとんどいつもあった"),4,"")))))))</f>
        <v>1</v>
      </c>
      <c r="BJ13" s="1">
        <f>IF(('2回目フォームの回答 '!AP13="ほとんどなかった"),1,(IF(('2回目フォームの回答 '!AP13="ときどきあった"),2,(IF(('2回目フォームの回答 '!AP13="しばしばあった"),3,(IF(('2回目フォームの回答 '!AP13="ほとんどいつもあった"),4,"")))))))</f>
        <v>2</v>
      </c>
      <c r="BK13" s="1">
        <f>IF(('2回目フォームの回答 '!AQ13="ほとんどなかった"),1,(IF(('2回目フォームの回答 '!AQ13="ときどきあった"),2,(IF(('2回目フォームの回答 '!AQ13="しばしばあった"),3,(IF(('2回目フォームの回答 '!AQ13="ほとんどいつもあった"),4,"")))))))</f>
        <v>3</v>
      </c>
      <c r="BL13" s="1">
        <f>IF(('2回目フォームの回答 '!AR13="ほとんどなかった"),1,(IF(('2回目フォームの回答 '!AR13="ときどきあった"),2,(IF(('2回目フォームの回答 '!AR13="しばしばあった"),3,(IF(('2回目フォームの回答 '!AR13="ほとんどいつもあった"),4,"")))))))</f>
        <v>2</v>
      </c>
      <c r="BM13" s="1">
        <f>IF(('2回目フォームの回答 '!AS13="ほとんどなかった"),1,(IF(('2回目フォームの回答 '!AS13="ときどきあった"),2,(IF(('2回目フォームの回答 '!AS13="しばしばあった"),3,(IF(('2回目フォームの回答 '!AS13="ほとんどいつもあった"),4,"")))))))</f>
        <v>4</v>
      </c>
      <c r="BN13" s="1">
        <f>IF(('2回目フォームの回答 '!AT13="ほとんどなかった"),1,(IF(('2回目フォームの回答 '!AT13="ときどきあった"),2,(IF(('2回目フォームの回答 '!AT13="しばしばあった"),3,(IF(('2回目フォームの回答 '!AT13="ほとんどいつもあった"),4,"")))))))</f>
        <v>1</v>
      </c>
      <c r="BO13" s="1">
        <f>IF(('2回目フォームの回答 '!AU13="ほとんどなかった"),1,(IF(('2回目フォームの回答 '!AU13="ときどきあった"),2,(IF(('2回目フォームの回答 '!AU13="しばしばあった"),3,(IF(('2回目フォームの回答 '!AU13="ほとんどいつもあった"),4,"")))))))</f>
        <v>4</v>
      </c>
      <c r="BP13" s="1">
        <f>IF(('2回目フォームの回答 '!AV13="ほとんどなかった"),1,(IF(('2回目フォームの回答 '!AV13="ときどきあった"),2,(IF(('2回目フォームの回答 '!AV13="しばしばあった"),3,(IF(('2回目フォームの回答 '!AV13="ほとんどいつもあった"),4,"")))))))</f>
        <v>1</v>
      </c>
      <c r="BQ13" s="1">
        <f t="shared" si="26"/>
        <v>4</v>
      </c>
      <c r="BR13" s="1">
        <f t="shared" si="27"/>
        <v>4</v>
      </c>
      <c r="BS13" s="1">
        <f t="shared" si="28"/>
        <v>7</v>
      </c>
      <c r="BT13" s="1">
        <f t="shared" si="2"/>
        <v>3</v>
      </c>
      <c r="BU13" s="1">
        <f t="shared" si="3"/>
        <v>9</v>
      </c>
      <c r="BV13" s="1">
        <f t="shared" si="4"/>
        <v>4</v>
      </c>
      <c r="BW13" s="1">
        <f t="shared" si="29"/>
        <v>10</v>
      </c>
      <c r="BX13" s="1">
        <f t="shared" si="5"/>
        <v>4</v>
      </c>
      <c r="BY13" s="1">
        <f t="shared" si="30"/>
        <v>17</v>
      </c>
      <c r="BZ13" s="1">
        <f t="shared" si="6"/>
        <v>4</v>
      </c>
      <c r="CA13" s="1">
        <f t="shared" si="31"/>
        <v>23</v>
      </c>
      <c r="CB13" s="1">
        <f t="shared" si="32"/>
        <v>3</v>
      </c>
      <c r="CC13" s="1">
        <f>IF(('2回目フォームの回答 '!AW13="非常に"),1,(IF(('2回目フォームの回答 '!AW13="かなり"),2,(IF(('2回目フォームの回答 '!AW13="多少"),3,(IF(('2回目フォームの回答 '!AW13="全くない"),4,"")))))))</f>
        <v>4</v>
      </c>
      <c r="CD13" s="1">
        <f>IF(('2回目フォームの回答 '!AX13="非常に"),1,(IF(('2回目フォームの回答 '!AX13="かなり"),2,(IF(('2回目フォームの回答 '!AX13="多少"),3,(IF(('2回目フォームの回答 '!AX13="全くない"),4,"")))))))</f>
        <v>4</v>
      </c>
      <c r="CE13" s="1">
        <f>IF(('2回目フォームの回答 '!AY13="非常に"),1,(IF(('2回目フォームの回答 '!AY13="かなり"),2,(IF(('2回目フォームの回答 '!AY13="多少"),3,(IF(('2回目フォームの回答 '!AY13="全くない"),4,"")))))))</f>
        <v>3</v>
      </c>
      <c r="CF13" s="1">
        <f>IF(('2回目フォームの回答 '!AZ13="非常に"),1,(IF(('2回目フォームの回答 '!AZ13="かなり"),2,(IF(('2回目フォームの回答 '!AZ13="多少"),3,(IF(('2回目フォームの回答 '!AZ13="全くない"),4,"")))))))</f>
        <v>3</v>
      </c>
      <c r="CG13" s="1">
        <f>IF(('2回目フォームの回答 '!BA13="非常に"),1,(IF(('2回目フォームの回答 '!BA13="かなり"),2,(IF(('2回目フォームの回答 '!BA13="多少"),3,(IF(('2回目フォームの回答 '!BA13="全くない"),4,"")))))))</f>
        <v>3</v>
      </c>
      <c r="CH13" s="1">
        <f>IF(('2回目フォームの回答 '!BB13="非常に"),1,(IF(('2回目フォームの回答 '!BB13="かなり"),2,(IF(('2回目フォームの回答 '!BB13="多少"),3,(IF(('2回目フォームの回答 '!BB13="全くない"),4,"")))))))</f>
        <v>2</v>
      </c>
      <c r="CI13" s="1">
        <f>IF(('2回目フォームの回答 '!BC13="非常に"),1,(IF(('2回目フォームの回答 '!BC13="かなり"),2,(IF(('2回目フォームの回答 '!BC13="多少"),3,(IF(('2回目フォームの回答 '!BC13="全くない"),4,"")))))))</f>
        <v>3</v>
      </c>
      <c r="CJ13" s="1">
        <f>IF(('2回目フォームの回答 '!BD13="非常に"),1,(IF(('2回目フォームの回答 '!BD13="かなり"),2,(IF(('2回目フォームの回答 '!BD13="多少"),3,(IF(('2回目フォームの回答 '!BD13="全くない"),4,"")))))))</f>
        <v>3</v>
      </c>
      <c r="CK13" s="1">
        <f>IF(('2回目フォームの回答 '!BE13="非常に"),1,(IF(('2回目フォームの回答 '!BE13="かなり"),2,(IF(('2回目フォームの回答 '!BE13="多少"),3,(IF(('2回目フォームの回答 '!BE13="全くない"),4,"")))))))</f>
        <v>3</v>
      </c>
      <c r="CL13" s="1">
        <f>IF(('2回目フォームの回答 '!BF13="満足"),1,(IF(('2回目フォームの回答 '!BF13="まぁ満足"),2,(IF(('2回目フォームの回答 '!BF13="やや満足"),3,(IF(('2回目フォームの回答 '!BF13="不満足"),4,"")))))))</f>
        <v>4</v>
      </c>
      <c r="CM13" s="1">
        <f>IF(('2回目フォームの回答 '!BG13="満足"),1,(IF(('2回目フォームの回答 '!BG13="まぁ満足"),2,(IF(('2回目フォームの回答 '!BG13="やや満足"),3,(IF(('2回目フォームの回答 '!BG13="不満足"),4,"")))))))</f>
        <v>2</v>
      </c>
      <c r="CN13" s="1">
        <f t="shared" si="33"/>
        <v>5</v>
      </c>
      <c r="CO13" s="1">
        <f t="shared" si="7"/>
        <v>4</v>
      </c>
      <c r="CP13" s="1">
        <f t="shared" si="34"/>
        <v>5</v>
      </c>
      <c r="CQ13" s="1">
        <f t="shared" si="8"/>
        <v>5</v>
      </c>
      <c r="CR13" s="1">
        <f t="shared" si="35"/>
        <v>7</v>
      </c>
      <c r="CS13" s="1">
        <f t="shared" si="36"/>
        <v>4</v>
      </c>
      <c r="CT13" s="1">
        <f t="shared" si="37"/>
        <v>4</v>
      </c>
      <c r="CU13" s="1">
        <f t="shared" si="9"/>
        <v>4</v>
      </c>
      <c r="CV13" s="1">
        <f t="shared" si="38"/>
        <v>22</v>
      </c>
      <c r="CW13" s="1">
        <f t="shared" si="39"/>
        <v>30</v>
      </c>
      <c r="CX13" s="1">
        <f t="shared" si="10"/>
        <v>13</v>
      </c>
      <c r="CY13" s="29" t="str">
        <f t="shared" si="40"/>
        <v>中①</v>
      </c>
      <c r="CZ13" s="1">
        <f>'2回目フォームの回答 '!BH13</f>
        <v>0.5</v>
      </c>
      <c r="DA13" s="2">
        <f t="shared" si="41"/>
        <v>0.5</v>
      </c>
      <c r="DB13" s="1">
        <f>IF(('2回目フォームの回答 '!BI13="いつもより寝つきは良い"),0,(IF(('2回目フォームの回答 '!BI13="いつもより少し時間がかかった"),1,(IF(('2回目フォームの回答 '!BI13="いつもよりかなり時間がかかった"),2,(IF(('2回目フォームの回答 '!BI13="いつもより非常に時間がかかった、あるいは全く眠れなかった"),3,"")))))))</f>
        <v>1</v>
      </c>
      <c r="DC13" s="1">
        <f>IF(('2回目フォームの回答 '!BJ13="問題になるほどのことはなかった"),0,(IF(('2回目フォームの回答 '!BJ13="少し困ることがある"),1,(IF(('2回目フォームの回答 '!BJ13="かなり困っている"),2,(IF(('2回目フォームの回答 '!BJ13="深刻な状態、あるいは全く眠れなかった"),3,"")))))))</f>
        <v>0</v>
      </c>
      <c r="DD13" s="1">
        <f>IF(('2回目フォームの回答 '!BK13="そのようなことはなかった"),0,(IF(('2回目フォームの回答 '!BK13="少し早かった"),1,(IF(('2回目フォームの回答 '!BK13="かなり早かった"),2,(IF(('2回目フォームの回答 '!BK13="非常に早かった、あるいは全く眠れなかった"),3,"")))))))</f>
        <v>0</v>
      </c>
      <c r="DE13" s="1">
        <f>IF(('2回目フォームの回答 '!BL13="十分である"),0,(IF(('2回目フォームの回答 '!BL13="少し足りない"),1,(IF(('2回目フォームの回答 '!BL13="かなり足りない"),2,(IF(('2回目フォームの回答 '!BL13="全く足りない、あるいは全く眠れなかった"),3,"")))))))</f>
        <v>2</v>
      </c>
      <c r="DF13" s="1">
        <f>IF(('2回目フォームの回答 '!BM13="満足している"),0,(IF(('2回目フォームの回答 '!BM13="少し不満である"),1,(IF(('2回目フォームの回答 '!BM13="かなり不満である"),2,(IF(('2回目フォームの回答 '!BM13="非常に不満である、あるいは全く眠れなかった"),3,"")))))))</f>
        <v>1</v>
      </c>
      <c r="DG13" s="1">
        <f>IF(('2回目フォームの回答 '!BN13="いつもどおり"),0,(IF(('2回目フォームの回答 '!BN13="少し滅入った"),1,(IF(('2回目フォームの回答 '!BN13="かなり滅入った"),2,(IF(('2回目フォームの回答 '!BN13="非常に滅入った"),3,"")))))))</f>
        <v>2</v>
      </c>
      <c r="DH13" s="1">
        <f>IF(('2回目フォームの回答 '!BO13="いつもどおり"),0,(IF(('2回目フォームの回答 '!BO13="少し低下した"),1,(IF(('2回目フォームの回答 '!BO13="かなり低下した"),2,(IF(('2回目フォームの回答 '!BO13="非常に低下した"),3,"")))))))</f>
        <v>1</v>
      </c>
      <c r="DI13" s="1">
        <f>IF(('2回目フォームの回答 '!BP13="全くなかった"),0,(IF(('2回目フォームの回答 '!BP13="少しあった"),1,(IF(('2回目フォームの回答 '!BP13="かなりあった"),2,(IF(('2回目フォームの回答 '!BP13="激しかった"),3,"")))))))</f>
        <v>3</v>
      </c>
      <c r="DJ13">
        <f t="shared" si="42"/>
        <v>10</v>
      </c>
      <c r="DK13" s="4" t="str">
        <f t="shared" si="43"/>
        <v>高</v>
      </c>
      <c r="DL13" s="5">
        <v>12.1</v>
      </c>
      <c r="DM13" s="5">
        <v>10.1</v>
      </c>
      <c r="DN13" s="5">
        <v>7.7</v>
      </c>
      <c r="DO13" s="5">
        <f t="shared" si="44"/>
        <v>29.9</v>
      </c>
      <c r="DP13" s="5"/>
      <c r="DQ13" s="5" t="s">
        <v>200</v>
      </c>
      <c r="DR13" s="5"/>
      <c r="DS13" s="71">
        <v>0.31388888888888888</v>
      </c>
      <c r="DT13" s="66">
        <v>296</v>
      </c>
      <c r="DU13" s="59">
        <f>INDEX('1回目結果'!DR:DR,MATCH($DT13,'1回目結果'!$A:$A,0))</f>
        <v>3.5999999999999997E-2</v>
      </c>
      <c r="DV13" s="59">
        <f>INDEX('1回目結果'!DS:DS,MATCH($DT13,'1回目結果'!$A:$A,0))</f>
        <v>35.4</v>
      </c>
      <c r="DW13" s="59">
        <f>INDEX('1回目結果'!DT:DT,MATCH($DT13,'1回目結果'!$A:$A,0))</f>
        <v>0.1</v>
      </c>
      <c r="DX13" s="59">
        <f>INDEX('1回目結果'!DU:DU,MATCH($DT13,'1回目結果'!$A:$A,0))</f>
        <v>10</v>
      </c>
      <c r="DY13" s="59">
        <f>IFERROR(INDEX('1回目結果'!DL:DL,MATCH('2回目結果'!$DT13,'1回目結果'!$A:$A,0)),"")</f>
        <v>13.8</v>
      </c>
      <c r="DZ13" s="59">
        <f>IFERROR(INDEX('1回目結果'!DM:DM,MATCH('2回目結果'!$DT13,'1回目結果'!$A:$A,0)),"")</f>
        <v>7.9</v>
      </c>
      <c r="EA13" s="59">
        <f>IFERROR(INDEX('1回目結果'!DN:DN,MATCH('2回目結果'!$DT13,'1回目結果'!$A:$A,0)),"")</f>
        <v>5.9</v>
      </c>
      <c r="EB13" s="59">
        <f>IFERROR(INDEX('1回目結果'!DO:DO,MATCH('2回目結果'!$DT13,'1回目結果'!$A:$A,0)),"")</f>
        <v>27.6</v>
      </c>
      <c r="EC13" s="59">
        <f>IFERROR(INDEX('1回目結果'!DP:DP,MATCH('2回目結果'!$DT13,'1回目結果'!$A:$A,0)),"")</f>
        <v>0</v>
      </c>
      <c r="ED13" s="59">
        <f>IFERROR(INDEX('1回目結果'!DQ:DQ,MATCH('2回目結果'!$DT13,'1回目結果'!$A:$A,0)),"")</f>
        <v>0</v>
      </c>
      <c r="EE13" s="54">
        <v>0.26</v>
      </c>
      <c r="EF13" s="54">
        <v>169.98</v>
      </c>
      <c r="EG13" s="54">
        <v>0.15</v>
      </c>
      <c r="EH13" s="54">
        <v>10</v>
      </c>
      <c r="EI13" s="43" t="s">
        <v>115</v>
      </c>
      <c r="EJ13" s="44">
        <f t="shared" si="45"/>
        <v>1</v>
      </c>
      <c r="EK13" s="44"/>
      <c r="EL13">
        <f t="shared" si="46"/>
        <v>2.2999999999999972</v>
      </c>
      <c r="EM13">
        <f t="shared" si="47"/>
        <v>1.7999999999999998</v>
      </c>
    </row>
    <row r="14" spans="1:143" ht="15.75" customHeight="1">
      <c r="A14" s="1">
        <v>333</v>
      </c>
      <c r="B14" s="24" t="s">
        <v>139</v>
      </c>
      <c r="C14" s="52">
        <v>33759</v>
      </c>
      <c r="D14" s="38">
        <v>32</v>
      </c>
      <c r="E14" s="1">
        <f>IF(('2回目フォームの回答 '!C14="そうだ"),1,(IF(('2回目フォームの回答 '!C14="まぁそうだ"),2,(IF(('2回目フォームの回答 '!C14="ややちがう"),3,(IF(('2回目フォームの回答 '!C14="ちがう"),4,"")))))))</f>
        <v>2</v>
      </c>
      <c r="F14" s="1">
        <f>IF(('2回目フォームの回答 '!D14="そうだ"),1,(IF(('2回目フォームの回答 '!D14="まぁそうだ"),2,(IF(('2回目フォームの回答 '!D14="ややちがう"),3,(IF(('2回目フォームの回答 '!D14="ちがう"),4,"")))))))</f>
        <v>3</v>
      </c>
      <c r="G14" s="1">
        <f>IF(('2回目フォームの回答 '!E14="そうだ"),1,(IF(('2回目フォームの回答 '!E14="まぁそうだ"),2,(IF(('2回目フォームの回答 '!E14="ややちがう"),3,(IF(('2回目フォームの回答 '!E14="ちがう"),4,"")))))))</f>
        <v>1</v>
      </c>
      <c r="H14" s="1">
        <f>IF(('2回目フォームの回答 '!F14="そうだ"),1,(IF(('2回目フォームの回答 '!F14="まぁそうだ"),2,(IF(('2回目フォームの回答 '!F14="ややちがう"),3,(IF(('2回目フォームの回答 '!F14="ちがう"),4,"")))))))</f>
        <v>2</v>
      </c>
      <c r="I14" s="1">
        <f>IF(('2回目フォームの回答 '!G14="そうだ"),1,(IF(('2回目フォームの回答 '!G14="まぁそうだ"),2,(IF(('2回目フォームの回答 '!G14="ややちがう"),3,(IF(('2回目フォームの回答 '!G14="ちがう"),4,"")))))))</f>
        <v>3</v>
      </c>
      <c r="J14" s="1">
        <f>IF(('2回目フォームの回答 '!H14="そうだ"),1,(IF(('2回目フォームの回答 '!H14="まぁそうだ"),2,(IF(('2回目フォームの回答 '!H14="ややちがう"),3,(IF(('2回目フォームの回答 '!H14="ちがう"),4,"")))))))</f>
        <v>2</v>
      </c>
      <c r="K14" s="1">
        <f>IF(('2回目フォームの回答 '!I14="そうだ"),1,(IF(('2回目フォームの回答 '!I14="まぁそうだ"),2,(IF(('2回目フォームの回答 '!I14="ややちがう"),3,(IF(('2回目フォームの回答 '!I14="ちがう"),4,"")))))))</f>
        <v>4</v>
      </c>
      <c r="L14" s="1">
        <f>IF(('2回目フォームの回答 '!J14="そうだ"),1,(IF(('2回目フォームの回答 '!J14="まぁそうだ"),2,(IF(('2回目フォームの回答 '!J14="ややちがう"),3,(IF(('2回目フォームの回答 '!J14="ちがう"),4,"")))))))</f>
        <v>2</v>
      </c>
      <c r="M14" s="1">
        <f>IF(('2回目フォームの回答 '!K14="そうだ"),1,(IF(('2回目フォームの回答 '!K14="まぁそうだ"),2,(IF(('2回目フォームの回答 '!K14="ややちがう"),3,(IF(('2回目フォームの回答 '!K14="ちがう"),4,"")))))))</f>
        <v>2</v>
      </c>
      <c r="N14" s="1">
        <f>IF(('2回目フォームの回答 '!L14="そうだ"),1,(IF(('2回目フォームの回答 '!L14="まぁそうだ"),2,(IF(('2回目フォームの回答 '!L14="ややちがう"),3,(IF(('2回目フォームの回答 '!L14="ちがう"),4,"")))))))</f>
        <v>3</v>
      </c>
      <c r="O14" s="1">
        <f>IF(('2回目フォームの回答 '!M14="そうだ"),1,(IF(('2回目フォームの回答 '!M14="まぁそうだ"),2,(IF(('2回目フォームの回答 '!M14="ややちがう"),3,(IF(('2回目フォームの回答 '!M14="ちがう"),4,"")))))))</f>
        <v>3</v>
      </c>
      <c r="P14" s="1">
        <f>IF(('2回目フォームの回答 '!N14="そうだ"),1,(IF(('2回目フォームの回答 '!N14="まぁそうだ"),2,(IF(('2回目フォームの回答 '!N14="ややちがう"),3,(IF(('2回目フォームの回答 '!N14="ちがう"),4,"")))))))</f>
        <v>3</v>
      </c>
      <c r="Q14" s="1">
        <f>IF(('2回目フォームの回答 '!O14="そうだ"),1,(IF(('2回目フォームの回答 '!O14="まぁそうだ"),2,(IF(('2回目フォームの回答 '!O14="ややちがう"),3,(IF(('2回目フォームの回答 '!O14="ちがう"),4,"")))))))</f>
        <v>4</v>
      </c>
      <c r="R14" s="1">
        <f>IF(('2回目フォームの回答 '!P14="そうだ"),1,(IF(('2回目フォームの回答 '!P14="まぁそうだ"),2,(IF(('2回目フォームの回答 '!P14="ややちがう"),3,(IF(('2回目フォームの回答 '!P14="ちがう"),4,"")))))))</f>
        <v>1</v>
      </c>
      <c r="S14" s="1">
        <f>IF(('2回目フォームの回答 '!Q14="そうだ"),1,(IF(('2回目フォームの回答 '!Q14="まぁそうだ"),2,(IF(('2回目フォームの回答 '!Q14="ややちがう"),3,(IF(('2回目フォームの回答 '!Q14="ちがう"),4,"")))))))</f>
        <v>3</v>
      </c>
      <c r="T14" s="1">
        <f>IF(('2回目フォームの回答 '!R14="そうだ"),1,(IF(('2回目フォームの回答 '!R14="まぁそうだ"),2,(IF(('2回目フォームの回答 '!R14="ややちがう"),3,(IF(('2回目フォームの回答 '!R14="ちがう"),4,"")))))))</f>
        <v>3</v>
      </c>
      <c r="U14" s="1">
        <f>IF(('2回目フォームの回答 '!S14="そうだ"),1,(IF(('2回目フォームの回答 '!S14="まぁそうだ"),2,(IF(('2回目フォームの回答 '!S14="ややちがう"),3,(IF(('2回目フォームの回答 '!S14="ちがう"),4,"")))))))</f>
        <v>4</v>
      </c>
      <c r="V14" s="1">
        <f t="shared" si="48"/>
        <v>9</v>
      </c>
      <c r="W14" s="1">
        <f t="shared" si="11"/>
        <v>3</v>
      </c>
      <c r="X14" s="1">
        <f t="shared" si="12"/>
        <v>8</v>
      </c>
      <c r="Y14" s="1">
        <f t="shared" si="13"/>
        <v>3</v>
      </c>
      <c r="Z14" s="1">
        <f t="shared" si="14"/>
        <v>1</v>
      </c>
      <c r="AA14" s="1">
        <f t="shared" si="15"/>
        <v>2</v>
      </c>
      <c r="AB14" s="1">
        <f t="shared" si="16"/>
        <v>4</v>
      </c>
      <c r="AC14" s="1">
        <f t="shared" si="17"/>
        <v>2</v>
      </c>
      <c r="AD14" s="1">
        <f t="shared" si="18"/>
        <v>2</v>
      </c>
      <c r="AE14" s="1">
        <f t="shared" si="0"/>
        <v>3</v>
      </c>
      <c r="AF14" s="1">
        <f t="shared" si="19"/>
        <v>8</v>
      </c>
      <c r="AG14" s="1">
        <f t="shared" si="1"/>
        <v>3</v>
      </c>
      <c r="AH14" s="1">
        <f t="shared" si="20"/>
        <v>3</v>
      </c>
      <c r="AI14" s="1">
        <f t="shared" si="21"/>
        <v>3</v>
      </c>
      <c r="AJ14" s="1">
        <f t="shared" si="22"/>
        <v>2</v>
      </c>
      <c r="AK14" s="1">
        <f t="shared" si="23"/>
        <v>4</v>
      </c>
      <c r="AL14" s="1">
        <f t="shared" si="24"/>
        <v>1</v>
      </c>
      <c r="AM14" s="1">
        <f t="shared" si="25"/>
        <v>5</v>
      </c>
      <c r="AN14" s="1">
        <f>IF(('2回目フォームの回答 '!T14="ほとんどなかった"),1,(IF(('2回目フォームの回答 '!T14="ときどきあった"),2,(IF(('2回目フォームの回答 '!T14="しばしばあった"),3,(IF(('2回目フォームの回答 '!T14="ほとんどいつもあった"),4,"")))))))</f>
        <v>1</v>
      </c>
      <c r="AO14" s="1">
        <f>IF(('2回目フォームの回答 '!U14="ほとんどなかった"),1,(IF(('2回目フォームの回答 '!U14="ときどきあった"),2,(IF(('2回目フォームの回答 '!U14="しばしばあった"),3,(IF(('2回目フォームの回答 '!U14="ほとんどいつもあった"),4,"")))))))</f>
        <v>1</v>
      </c>
      <c r="AP14" s="1">
        <f>IF(('2回目フォームの回答 '!V14="ほとんどなかった"),1,(IF(('2回目フォームの回答 '!V14="ときどきあった"),2,(IF(('2回目フォームの回答 '!V14="しばしばあった"),3,(IF(('2回目フォームの回答 '!V14="ほとんどいつもあった"),4,"")))))))</f>
        <v>1</v>
      </c>
      <c r="AQ14" s="1">
        <f>IF(('2回目フォームの回答 '!W14="ほとんどなかった"),1,(IF(('2回目フォームの回答 '!W14="ときどきあった"),2,(IF(('2回目フォームの回答 '!W14="しばしばあった"),3,(IF(('2回目フォームの回答 '!W14="ほとんどいつもあった"),4,"")))))))</f>
        <v>2</v>
      </c>
      <c r="AR14" s="1">
        <f>IF(('2回目フォームの回答 '!X14="ほとんどなかった"),1,(IF(('2回目フォームの回答 '!X14="ときどきあった"),2,(IF(('2回目フォームの回答 '!X14="しばしばあった"),3,(IF(('2回目フォームの回答 '!X14="ほとんどいつもあった"),4,"")))))))</f>
        <v>2</v>
      </c>
      <c r="AS14" s="1">
        <f>IF(('2回目フォームの回答 '!Y14="ほとんどなかった"),1,(IF(('2回目フォームの回答 '!Y14="ときどきあった"),2,(IF(('2回目フォームの回答 '!Y14="しばしばあった"),3,(IF(('2回目フォームの回答 '!Y14="ほとんどいつもあった"),4,"")))))))</f>
        <v>3</v>
      </c>
      <c r="AT14" s="1">
        <f>IF(('2回目フォームの回答 '!Z14="ほとんどなかった"),1,(IF(('2回目フォームの回答 '!Z14="ときどきあった"),2,(IF(('2回目フォームの回答 '!Z14="しばしばあった"),3,(IF(('2回目フォームの回答 '!Z14="ほとんどいつもあった"),4,"")))))))</f>
        <v>3</v>
      </c>
      <c r="AU14" s="1">
        <f>IF(('2回目フォームの回答 '!AA14="ほとんどなかった"),1,(IF(('2回目フォームの回答 '!AA14="ときどきあった"),2,(IF(('2回目フォームの回答 '!AA14="しばしばあった"),3,(IF(('2回目フォームの回答 '!AA14="ほとんどいつもあった"),4,"")))))))</f>
        <v>3</v>
      </c>
      <c r="AV14" s="1">
        <f>IF(('2回目フォームの回答 '!AB14="ほとんどなかった"),1,(IF(('2回目フォームの回答 '!AB14="ときどきばあった"),2,(IF(('2回目フォームの回答 '!AB14="しばしばあった"),3,(IF(('2回目フォームの回答 '!AB14="ほとんどいつもあった"),4,"")))))))</f>
        <v>4</v>
      </c>
      <c r="AW14" s="1">
        <f>IF(('2回目フォームの回答 '!AC14="ほとんどなかった"),1,(IF(('2回目フォームの回答 '!AC14="ときどきあった"),2,(IF(('2回目フォームの回答 '!AC14="しばしばあった"),3,(IF(('2回目フォームの回答 '!AC14="ほとんどいつもあった"),4,"")))))))</f>
        <v>2</v>
      </c>
      <c r="AX14" s="1">
        <f>IF(('2回目フォームの回答 '!AD14="ほとんどなかった"),1,(IF(('2回目フォームの回答 '!AD14="ときどきあった"),2,(IF(('2回目フォームの回答 '!AD14="しばしばあった"),3,(IF(('2回目フォームの回答 '!AD14="ほとんどいつもあった"),4,"")))))))</f>
        <v>2</v>
      </c>
      <c r="AY14" s="1">
        <f>IF(('2回目フォームの回答 '!AE14="ほとんどなかった"),1,(IF(('2回目フォームの回答 '!AE14="ときどきあった"),2,(IF(('2回目フォームの回答 '!AE14="しばしばあった"),3,(IF(('2回目フォームの回答 '!AE14="ほとんどいつもあった"),4,"")))))))</f>
        <v>2</v>
      </c>
      <c r="AZ14" s="1">
        <f>IF(('2回目フォームの回答 '!AF14="ほとんどなかった"),1,(IF(('2回目フォームの回答 '!AF14="ときどきあった"),2,(IF(('2回目フォームの回答 '!AF14="しばしばあった"),3,(IF(('2回目フォームの回答 '!AF14="ほとんどいつもあった"),4,"")))))))</f>
        <v>4</v>
      </c>
      <c r="BA14" s="1">
        <f>IF(('2回目フォームの回答 '!AG14="ほとんどなかった"),1,(IF(('2回目フォームの回答 '!AG14="ときどきあった"),2,(IF(('2回目フォームの回答 '!AG14="しばしばあった"),3,(IF(('2回目フォームの回答 '!AG14="ほとんどいつもあった"),4,"")))))))</f>
        <v>3</v>
      </c>
      <c r="BB14" s="1">
        <f>IF(('2回目フォームの回答 '!AH14="ほとんどなかった"),1,(IF(('2回目フォームの回答 '!AH14="ときどきあった"),2,(IF(('2回目フォームの回答 '!AH14="しばしばあった"),3,(IF(('2回目フォームの回答 '!AH14="ほとんどいつもあった"),4,"")))))))</f>
        <v>2</v>
      </c>
      <c r="BC14" s="1">
        <f>IF(('2回目フォームの回答 '!AI14="ほとんどなかった"),1,(IF(('2回目フォームの回答 '!AI14="ときどきあった"),2,(IF(('2回目フォームの回答 '!AI14="しばしばあった"),3,(IF(('2回目フォームの回答 '!AI14="ほとんどいつもあった"),4,"")))))))</f>
        <v>2</v>
      </c>
      <c r="BD14" s="1">
        <f>IF(('2回目フォームの回答 '!AJ14="ほとんどなかった"),1,(IF(('2回目フォームの回答 '!AJ14="ときどきあった"),2,(IF(('2回目フォームの回答 '!AJ14="しばしばあった"),3,(IF(('2回目フォームの回答 '!AJ14="ほとんどいつもあった"),4,"")))))))</f>
        <v>2</v>
      </c>
      <c r="BE14" s="1">
        <f>IF(('2回目フォームの回答 '!AK14="ほとんどなかった"),1,(IF(('2回目フォームの回答 '!AK14="ときどきあった"),2,(IF(('2回目フォームの回答 '!AK14="しばしばあった"),3,(IF(('2回目フォームの回答 '!AK14="ほとんどいつもあった"),4,"")))))))</f>
        <v>2</v>
      </c>
      <c r="BF14" s="1">
        <f>IF(('2回目フォームの回答 '!AL14="ほとんどなかった"),1,(IF(('2回目フォームの回答 '!AL14="ときどきあった"),2,(IF(('2回目フォームの回答 '!AL14="しばしばあった"),3,(IF(('2回目フォームの回答 '!AL14="ほとんどいつもあった"),4,"")))))))</f>
        <v>2</v>
      </c>
      <c r="BG14" s="1">
        <f>IF(('2回目フォームの回答 '!AM14="ほとんどなかった"),1,(IF(('2回目フォームの回答 '!AM14="ときどきあった"),2,(IF(('2回目フォームの回答 '!AM14="しばしばあった"),3,(IF(('2回目フォームの回答 '!AM14="ほとんどいつもあった"),4,"")))))))</f>
        <v>2</v>
      </c>
      <c r="BH14" s="1">
        <f>IF(('2回目フォームの回答 '!AN14="ほとんどなかった"),1,(IF(('2回目フォームの回答 '!AN14="ときどきあった"),2,(IF(('2回目フォームの回答 '!AN14="しばしばあった"),3,(IF(('2回目フォームの回答 '!AN14="ほとんどいつもあった"),4,"")))))))</f>
        <v>3</v>
      </c>
      <c r="BI14" s="1">
        <f>IF(('2回目フォームの回答 '!AO14="ほとんどなかった"),1,(IF(('2回目フォームの回答 '!AO14="ときどきあった"),2,(IF(('2回目フォームの回答 '!AO14="しばしばあった"),3,(IF(('2回目フォームの回答 '!AO14="ほとんどいつもあった"),4,"")))))))</f>
        <v>3</v>
      </c>
      <c r="BJ14" s="1">
        <f>IF(('2回目フォームの回答 '!AP14="ほとんどなかった"),1,(IF(('2回目フォームの回答 '!AP14="ときどきあった"),2,(IF(('2回目フォームの回答 '!AP14="しばしばあった"),3,(IF(('2回目フォームの回答 '!AP14="ほとんどいつもあった"),4,"")))))))</f>
        <v>3</v>
      </c>
      <c r="BK14" s="1">
        <f>IF(('2回目フォームの回答 '!AQ14="ほとんどなかった"),1,(IF(('2回目フォームの回答 '!AQ14="ときどきあった"),2,(IF(('2回目フォームの回答 '!AQ14="しばしばあった"),3,(IF(('2回目フォームの回答 '!AQ14="ほとんどいつもあった"),4,"")))))))</f>
        <v>3</v>
      </c>
      <c r="BL14" s="1">
        <f>IF(('2回目フォームの回答 '!AR14="ほとんどなかった"),1,(IF(('2回目フォームの回答 '!AR14="ときどきあった"),2,(IF(('2回目フォームの回答 '!AR14="しばしばあった"),3,(IF(('2回目フォームの回答 '!AR14="ほとんどいつもあった"),4,"")))))))</f>
        <v>2</v>
      </c>
      <c r="BM14" s="1">
        <f>IF(('2回目フォームの回答 '!AS14="ほとんどなかった"),1,(IF(('2回目フォームの回答 '!AS14="ときどきあった"),2,(IF(('2回目フォームの回答 '!AS14="しばしばあった"),3,(IF(('2回目フォームの回答 '!AS14="ほとんどいつもあった"),4,"")))))))</f>
        <v>2</v>
      </c>
      <c r="BN14" s="1">
        <f>IF(('2回目フォームの回答 '!AT14="ほとんどなかった"),1,(IF(('2回目フォームの回答 '!AT14="ときどきあった"),2,(IF(('2回目フォームの回答 '!AT14="しばしばあった"),3,(IF(('2回目フォームの回答 '!AT14="ほとんどいつもあった"),4,"")))))))</f>
        <v>2</v>
      </c>
      <c r="BO14" s="1">
        <f>IF(('2回目フォームの回答 '!AU14="ほとんどなかった"),1,(IF(('2回目フォームの回答 '!AU14="ときどきあった"),2,(IF(('2回目フォームの回答 '!AU14="しばしばあった"),3,(IF(('2回目フォームの回答 '!AU14="ほとんどいつもあった"),4,"")))))))</f>
        <v>2</v>
      </c>
      <c r="BP14" s="1">
        <f>IF(('2回目フォームの回答 '!AV14="ほとんどなかった"),1,(IF(('2回目フォームの回答 '!AV14="ときどきあった"),2,(IF(('2回目フォームの回答 '!AV14="しばしばあった"),3,(IF(('2回目フォームの回答 '!AV14="ほとんどいつもあった"),4,"")))))))</f>
        <v>2</v>
      </c>
      <c r="BQ14" s="1">
        <f t="shared" si="26"/>
        <v>3</v>
      </c>
      <c r="BR14" s="1">
        <f t="shared" si="27"/>
        <v>5</v>
      </c>
      <c r="BS14" s="1">
        <f t="shared" si="28"/>
        <v>7</v>
      </c>
      <c r="BT14" s="1">
        <f t="shared" si="2"/>
        <v>3</v>
      </c>
      <c r="BU14" s="1">
        <f t="shared" si="3"/>
        <v>10</v>
      </c>
      <c r="BV14" s="1">
        <f t="shared" si="4"/>
        <v>4</v>
      </c>
      <c r="BW14" s="1">
        <f t="shared" si="29"/>
        <v>6</v>
      </c>
      <c r="BX14" s="1">
        <f t="shared" si="5"/>
        <v>3</v>
      </c>
      <c r="BY14" s="1">
        <f t="shared" si="30"/>
        <v>15</v>
      </c>
      <c r="BZ14" s="1">
        <f t="shared" si="6"/>
        <v>4</v>
      </c>
      <c r="CA14" s="1">
        <f t="shared" si="31"/>
        <v>26</v>
      </c>
      <c r="CB14" s="1">
        <f t="shared" si="32"/>
        <v>4</v>
      </c>
      <c r="CC14" s="1">
        <f>IF(('2回目フォームの回答 '!AW14="非常に"),1,(IF(('2回目フォームの回答 '!AW14="かなり"),2,(IF(('2回目フォームの回答 '!AW14="多少"),3,(IF(('2回目フォームの回答 '!AW14="全くない"),4,"")))))))</f>
        <v>2</v>
      </c>
      <c r="CD14" s="1">
        <f>IF(('2回目フォームの回答 '!AX14="非常に"),1,(IF(('2回目フォームの回答 '!AX14="かなり"),2,(IF(('2回目フォームの回答 '!AX14="多少"),3,(IF(('2回目フォームの回答 '!AX14="全くない"),4,"")))))))</f>
        <v>2</v>
      </c>
      <c r="CE14" s="1">
        <f>IF(('2回目フォームの回答 '!AY14="非常に"),1,(IF(('2回目フォームの回答 '!AY14="かなり"),2,(IF(('2回目フォームの回答 '!AY14="多少"),3,(IF(('2回目フォームの回答 '!AY14="全くない"),4,"")))))))</f>
        <v>2</v>
      </c>
      <c r="CF14" s="1">
        <f>IF(('2回目フォームの回答 '!AZ14="非常に"),1,(IF(('2回目フォームの回答 '!AZ14="かなり"),2,(IF(('2回目フォームの回答 '!AZ14="多少"),3,(IF(('2回目フォームの回答 '!AZ14="全くない"),4,"")))))))</f>
        <v>3</v>
      </c>
      <c r="CG14" s="1">
        <f>IF(('2回目フォームの回答 '!BA14="非常に"),1,(IF(('2回目フォームの回答 '!BA14="かなり"),2,(IF(('2回目フォームの回答 '!BA14="多少"),3,(IF(('2回目フォームの回答 '!BA14="全くない"),4,"")))))))</f>
        <v>3</v>
      </c>
      <c r="CH14" s="1">
        <f>IF(('2回目フォームの回答 '!BB14="非常に"),1,(IF(('2回目フォームの回答 '!BB14="かなり"),2,(IF(('2回目フォームの回答 '!BB14="多少"),3,(IF(('2回目フォームの回答 '!BB14="全くない"),4,"")))))))</f>
        <v>3</v>
      </c>
      <c r="CI14" s="1">
        <f>IF(('2回目フォームの回答 '!BC14="非常に"),1,(IF(('2回目フォームの回答 '!BC14="かなり"),2,(IF(('2回目フォームの回答 '!BC14="多少"),3,(IF(('2回目フォームの回答 '!BC14="全くない"),4,"")))))))</f>
        <v>2</v>
      </c>
      <c r="CJ14" s="1">
        <f>IF(('2回目フォームの回答 '!BD14="非常に"),1,(IF(('2回目フォームの回答 '!BD14="かなり"),2,(IF(('2回目フォームの回答 '!BD14="多少"),3,(IF(('2回目フォームの回答 '!BD14="全くない"),4,"")))))))</f>
        <v>2</v>
      </c>
      <c r="CK14" s="1">
        <f>IF(('2回目フォームの回答 '!BE14="非常に"),1,(IF(('2回目フォームの回答 '!BE14="かなり"),2,(IF(('2回目フォームの回答 '!BE14="多少"),3,(IF(('2回目フォームの回答 '!BE14="全くない"),4,"")))))))</f>
        <v>2</v>
      </c>
      <c r="CL14" s="1">
        <f>IF(('2回目フォームの回答 '!BF14="満足"),1,(IF(('2回目フォームの回答 '!BF14="まぁ満足"),2,(IF(('2回目フォームの回答 '!BF14="やや満足"),3,(IF(('2回目フォームの回答 '!BF14="不満足"),4,"")))))))</f>
        <v>3</v>
      </c>
      <c r="CM14" s="1">
        <f>IF(('2回目フォームの回答 '!BG14="満足"),1,(IF(('2回目フォームの回答 '!BG14="まぁ満足"),2,(IF(('2回目フォームの回答 '!BG14="やや満足"),3,(IF(('2回目フォームの回答 '!BG14="不満足"),4,"")))))))</f>
        <v>3</v>
      </c>
      <c r="CN14" s="1">
        <f t="shared" si="33"/>
        <v>8</v>
      </c>
      <c r="CO14" s="1">
        <f t="shared" si="7"/>
        <v>3</v>
      </c>
      <c r="CP14" s="1">
        <f t="shared" si="34"/>
        <v>8</v>
      </c>
      <c r="CQ14" s="1">
        <f t="shared" si="8"/>
        <v>3</v>
      </c>
      <c r="CR14" s="1">
        <f t="shared" si="35"/>
        <v>8</v>
      </c>
      <c r="CS14" s="1">
        <f t="shared" si="36"/>
        <v>4</v>
      </c>
      <c r="CT14" s="1">
        <f t="shared" si="37"/>
        <v>4</v>
      </c>
      <c r="CU14" s="1">
        <f t="shared" si="9"/>
        <v>4</v>
      </c>
      <c r="CV14" s="1">
        <f t="shared" si="38"/>
        <v>23</v>
      </c>
      <c r="CW14" s="1">
        <f t="shared" si="39"/>
        <v>28</v>
      </c>
      <c r="CX14" s="1">
        <f t="shared" si="10"/>
        <v>10</v>
      </c>
      <c r="CY14" s="29" t="str">
        <f t="shared" si="40"/>
        <v>中①</v>
      </c>
      <c r="CZ14" s="1">
        <f>'2回目フォームの回答 '!BH14</f>
        <v>0.7</v>
      </c>
      <c r="DA14" s="2">
        <f t="shared" si="41"/>
        <v>0.30000000000000004</v>
      </c>
      <c r="DB14" s="1">
        <f>IF(('2回目フォームの回答 '!BI14="いつもより寝つきは良い"),0,(IF(('2回目フォームの回答 '!BI14="いつもより少し時間がかかった"),1,(IF(('2回目フォームの回答 '!BI14="いつもよりかなり時間がかかった"),2,(IF(('2回目フォームの回答 '!BI14="いつもより非常に時間がかかった、あるいは全く眠れなかった"),3,"")))))))</f>
        <v>0</v>
      </c>
      <c r="DC14" s="1">
        <f>IF(('2回目フォームの回答 '!BJ14="問題になるほどのことはなかった"),0,(IF(('2回目フォームの回答 '!BJ14="少し困ることがある"),1,(IF(('2回目フォームの回答 '!BJ14="かなり困っている"),2,(IF(('2回目フォームの回答 '!BJ14="深刻な状態、あるいは全く眠れなかった"),3,"")))))))</f>
        <v>0</v>
      </c>
      <c r="DD14" s="1">
        <f>IF(('2回目フォームの回答 '!BK14="そのようなことはなかった"),0,(IF(('2回目フォームの回答 '!BK14="少し早かった"),1,(IF(('2回目フォームの回答 '!BK14="かなり早かった"),2,(IF(('2回目フォームの回答 '!BK14="非常に早かった、あるいは全く眠れなかった"),3,"")))))))</f>
        <v>0</v>
      </c>
      <c r="DE14" s="1">
        <f>IF(('2回目フォームの回答 '!BL14="十分である"),0,(IF(('2回目フォームの回答 '!BL14="少し足りない"),1,(IF(('2回目フォームの回答 '!BL14="かなり足りない"),2,(IF(('2回目フォームの回答 '!BL14="全く足りない、あるいは全く眠れなかった"),3,"")))))))</f>
        <v>1</v>
      </c>
      <c r="DF14" s="1">
        <f>IF(('2回目フォームの回答 '!BM14="満足している"),0,(IF(('2回目フォームの回答 '!BM14="少し不満である"),1,(IF(('2回目フォームの回答 '!BM14="かなり不満である"),2,(IF(('2回目フォームの回答 '!BM14="非常に不満である、あるいは全く眠れなかった"),3,"")))))))</f>
        <v>1</v>
      </c>
      <c r="DG14" s="1">
        <f>IF(('2回目フォームの回答 '!BN14="いつもどおり"),0,(IF(('2回目フォームの回答 '!BN14="少し滅入った"),1,(IF(('2回目フォームの回答 '!BN14="かなり滅入った"),2,(IF(('2回目フォームの回答 '!BN14="非常に滅入った"),3,"")))))))</f>
        <v>1</v>
      </c>
      <c r="DH14" s="1">
        <f>IF(('2回目フォームの回答 '!BO14="いつもどおり"),0,(IF(('2回目フォームの回答 '!BO14="少し低下した"),1,(IF(('2回目フォームの回答 '!BO14="かなり低下した"),2,(IF(('2回目フォームの回答 '!BO14="非常に低下した"),3,"")))))))</f>
        <v>1</v>
      </c>
      <c r="DI14" s="1">
        <f>IF(('2回目フォームの回答 '!BP14="全くなかった"),0,(IF(('2回目フォームの回答 '!BP14="少しあった"),1,(IF(('2回目フォームの回答 '!BP14="かなりあった"),2,(IF(('2回目フォームの回答 '!BP14="激しかった"),3,"")))))))</f>
        <v>2</v>
      </c>
      <c r="DJ14">
        <f t="shared" si="42"/>
        <v>6</v>
      </c>
      <c r="DK14" s="4" t="str">
        <f t="shared" si="43"/>
        <v>高</v>
      </c>
      <c r="DL14" s="5">
        <v>14</v>
      </c>
      <c r="DM14" s="5">
        <v>13.4</v>
      </c>
      <c r="DN14" s="5">
        <v>9.3000000000000007</v>
      </c>
      <c r="DO14" s="5">
        <f t="shared" si="44"/>
        <v>36.700000000000003</v>
      </c>
      <c r="DP14" s="5"/>
      <c r="DQ14" s="5" t="s">
        <v>200</v>
      </c>
      <c r="DR14" s="5"/>
      <c r="DS14" s="71">
        <v>0.36458333333333331</v>
      </c>
      <c r="DT14" s="66">
        <v>293</v>
      </c>
      <c r="DU14" s="59">
        <f>INDEX('1回目結果'!DR:DR,MATCH($DT14,'1回目結果'!$A:$A,0))</f>
        <v>0.54</v>
      </c>
      <c r="DV14" s="59">
        <f>INDEX('1回目結果'!DS:DS,MATCH($DT14,'1回目結果'!$A:$A,0))</f>
        <v>62.17</v>
      </c>
      <c r="DW14" s="59">
        <f>INDEX('1回目結果'!DT:DT,MATCH($DT14,'1回目結果'!$A:$A,0))</f>
        <v>0.87</v>
      </c>
      <c r="DX14" s="59">
        <f>INDEX('1回目結果'!DU:DU,MATCH($DT14,'1回目結果'!$A:$A,0))</f>
        <v>44</v>
      </c>
      <c r="DY14" s="59">
        <f>IFERROR(INDEX('1回目結果'!DL:DL,MATCH('2回目結果'!$DT14,'1回目結果'!$A:$A,0)),"")</f>
        <v>6.3</v>
      </c>
      <c r="DZ14" s="59">
        <f>IFERROR(INDEX('1回目結果'!DM:DM,MATCH('2回目結果'!$DT14,'1回目結果'!$A:$A,0)),"")</f>
        <v>7.2</v>
      </c>
      <c r="EA14" s="59">
        <f>IFERROR(INDEX('1回目結果'!DN:DN,MATCH('2回目結果'!$DT14,'1回目結果'!$A:$A,0)),"")</f>
        <v>13.1</v>
      </c>
      <c r="EB14" s="59">
        <f>IFERROR(INDEX('1回目結果'!DO:DO,MATCH('2回目結果'!$DT14,'1回目結果'!$A:$A,0)),"")</f>
        <v>26.6</v>
      </c>
      <c r="EC14" s="59">
        <f>IFERROR(INDEX('1回目結果'!DP:DP,MATCH('2回目結果'!$DT14,'1回目結果'!$A:$A,0)),"")</f>
        <v>0</v>
      </c>
      <c r="ED14" s="59">
        <f>IFERROR(INDEX('1回目結果'!DQ:DQ,MATCH('2回目結果'!$DT14,'1回目結果'!$A:$A,0)),"")</f>
        <v>0</v>
      </c>
      <c r="EE14" s="54">
        <v>1.448</v>
      </c>
      <c r="EF14" s="54">
        <v>132.74</v>
      </c>
      <c r="EG14" s="54">
        <v>1.0900000000000001</v>
      </c>
      <c r="EH14" s="54">
        <v>55</v>
      </c>
      <c r="EI14" s="43" t="s">
        <v>115</v>
      </c>
      <c r="EJ14" s="44">
        <f t="shared" si="45"/>
        <v>1.25</v>
      </c>
      <c r="EK14" s="44">
        <f t="shared" ref="EK14:EK15" si="51">EG14/DW14</f>
        <v>1.2528735632183909</v>
      </c>
      <c r="EL14">
        <f t="shared" si="46"/>
        <v>10.100000000000001</v>
      </c>
      <c r="EM14">
        <f t="shared" si="47"/>
        <v>-3.7999999999999989</v>
      </c>
    </row>
    <row r="15" spans="1:143" ht="15.75" customHeight="1">
      <c r="A15" s="1">
        <v>334</v>
      </c>
      <c r="B15" s="24" t="s">
        <v>139</v>
      </c>
      <c r="C15" s="52">
        <v>36424</v>
      </c>
      <c r="D15" s="38">
        <v>25</v>
      </c>
      <c r="E15" s="1">
        <f>IF(('2回目フォームの回答 '!C15="そうだ"),1,(IF(('2回目フォームの回答 '!C15="まぁそうだ"),2,(IF(('2回目フォームの回答 '!C15="ややちがう"),3,(IF(('2回目フォームの回答 '!C15="ちがう"),4,"")))))))</f>
        <v>4</v>
      </c>
      <c r="F15" s="1">
        <f>IF(('2回目フォームの回答 '!D15="そうだ"),1,(IF(('2回目フォームの回答 '!D15="まぁそうだ"),2,(IF(('2回目フォームの回答 '!D15="ややちがう"),3,(IF(('2回目フォームの回答 '!D15="ちがう"),4,"")))))))</f>
        <v>4</v>
      </c>
      <c r="G15" s="1">
        <f>IF(('2回目フォームの回答 '!E15="そうだ"),1,(IF(('2回目フォームの回答 '!E15="まぁそうだ"),2,(IF(('2回目フォームの回答 '!E15="ややちがう"),3,(IF(('2回目フォームの回答 '!E15="ちがう"),4,"")))))))</f>
        <v>2</v>
      </c>
      <c r="H15" s="1">
        <f>IF(('2回目フォームの回答 '!F15="そうだ"),1,(IF(('2回目フォームの回答 '!F15="まぁそうだ"),2,(IF(('2回目フォームの回答 '!F15="ややちがう"),3,(IF(('2回目フォームの回答 '!F15="ちがう"),4,"")))))))</f>
        <v>2</v>
      </c>
      <c r="I15" s="1">
        <f>IF(('2回目フォームの回答 '!G15="そうだ"),1,(IF(('2回目フォームの回答 '!G15="まぁそうだ"),2,(IF(('2回目フォームの回答 '!G15="ややちがう"),3,(IF(('2回目フォームの回答 '!G15="ちがう"),4,"")))))))</f>
        <v>2</v>
      </c>
      <c r="J15" s="1">
        <f>IF(('2回目フォームの回答 '!H15="そうだ"),1,(IF(('2回目フォームの回答 '!H15="まぁそうだ"),2,(IF(('2回目フォームの回答 '!H15="ややちがう"),3,(IF(('2回目フォームの回答 '!H15="ちがう"),4,"")))))))</f>
        <v>2</v>
      </c>
      <c r="K15" s="1">
        <f>IF(('2回目フォームの回答 '!I15="そうだ"),1,(IF(('2回目フォームの回答 '!I15="まぁそうだ"),2,(IF(('2回目フォームの回答 '!I15="ややちがう"),3,(IF(('2回目フォームの回答 '!I15="ちがう"),4,"")))))))</f>
        <v>4</v>
      </c>
      <c r="L15" s="1">
        <f>IF(('2回目フォームの回答 '!J15="そうだ"),1,(IF(('2回目フォームの回答 '!J15="まぁそうだ"),2,(IF(('2回目フォームの回答 '!J15="ややちがう"),3,(IF(('2回目フォームの回答 '!J15="ちがう"),4,"")))))))</f>
        <v>1</v>
      </c>
      <c r="M15" s="1">
        <f>IF(('2回目フォームの回答 '!K15="そうだ"),1,(IF(('2回目フォームの回答 '!K15="まぁそうだ"),2,(IF(('2回目フォームの回答 '!K15="ややちがう"),3,(IF(('2回目フォームの回答 '!K15="ちがう"),4,"")))))))</f>
        <v>1</v>
      </c>
      <c r="N15" s="1">
        <f>IF(('2回目フォームの回答 '!L15="そうだ"),1,(IF(('2回目フォームの回答 '!L15="まぁそうだ"),2,(IF(('2回目フォームの回答 '!L15="ややちがう"),3,(IF(('2回目フォームの回答 '!L15="ちがう"),4,"")))))))</f>
        <v>1</v>
      </c>
      <c r="O15" s="1">
        <f>IF(('2回目フォームの回答 '!M15="そうだ"),1,(IF(('2回目フォームの回答 '!M15="まぁそうだ"),2,(IF(('2回目フォームの回答 '!M15="ややちがう"),3,(IF(('2回目フォームの回答 '!M15="ちがう"),4,"")))))))</f>
        <v>4</v>
      </c>
      <c r="P15" s="1">
        <f>IF(('2回目フォームの回答 '!N15="そうだ"),1,(IF(('2回目フォームの回答 '!N15="まぁそうだ"),2,(IF(('2回目フォームの回答 '!N15="ややちがう"),3,(IF(('2回目フォームの回答 '!N15="ちがう"),4,"")))))))</f>
        <v>4</v>
      </c>
      <c r="Q15" s="1">
        <f>IF(('2回目フォームの回答 '!O15="そうだ"),1,(IF(('2回目フォームの回答 '!O15="まぁそうだ"),2,(IF(('2回目フォームの回答 '!O15="ややちがう"),3,(IF(('2回目フォームの回答 '!O15="ちがう"),4,"")))))))</f>
        <v>4</v>
      </c>
      <c r="R15" s="1">
        <f>IF(('2回目フォームの回答 '!P15="そうだ"),1,(IF(('2回目フォームの回答 '!P15="まぁそうだ"),2,(IF(('2回目フォームの回答 '!P15="ややちがう"),3,(IF(('2回目フォームの回答 '!P15="ちがう"),4,"")))))))</f>
        <v>1</v>
      </c>
      <c r="S15" s="1">
        <f>IF(('2回目フォームの回答 '!Q15="そうだ"),1,(IF(('2回目フォームの回答 '!Q15="まぁそうだ"),2,(IF(('2回目フォームの回答 '!Q15="ややちがう"),3,(IF(('2回目フォームの回答 '!Q15="ちがう"),4,"")))))))</f>
        <v>4</v>
      </c>
      <c r="T15" s="1">
        <f>IF(('2回目フォームの回答 '!R15="そうだ"),1,(IF(('2回目フォームの回答 '!R15="まぁそうだ"),2,(IF(('2回目フォームの回答 '!R15="ややちがう"),3,(IF(('2回目フォームの回答 '!R15="ちがう"),4,"")))))))</f>
        <v>1</v>
      </c>
      <c r="U15" s="1">
        <f>IF(('2回目フォームの回答 '!S15="そうだ"),1,(IF(('2回目フォームの回答 '!S15="まぁそうだ"),2,(IF(('2回目フォームの回答 '!S15="ややちがう"),3,(IF(('2回目フォームの回答 '!S15="ちがう"),4,"")))))))</f>
        <v>1</v>
      </c>
      <c r="V15" s="1">
        <f t="shared" si="48"/>
        <v>5</v>
      </c>
      <c r="W15" s="1">
        <f t="shared" si="11"/>
        <v>1</v>
      </c>
      <c r="X15" s="1">
        <f t="shared" si="12"/>
        <v>9</v>
      </c>
      <c r="Y15" s="1">
        <f t="shared" si="13"/>
        <v>3</v>
      </c>
      <c r="Z15" s="1">
        <f t="shared" si="14"/>
        <v>1</v>
      </c>
      <c r="AA15" s="1">
        <f t="shared" si="15"/>
        <v>2</v>
      </c>
      <c r="AB15" s="1">
        <f t="shared" si="16"/>
        <v>3</v>
      </c>
      <c r="AC15" s="1">
        <f t="shared" si="17"/>
        <v>1</v>
      </c>
      <c r="AD15" s="1">
        <f t="shared" si="18"/>
        <v>1</v>
      </c>
      <c r="AE15" s="1">
        <f t="shared" si="0"/>
        <v>2</v>
      </c>
      <c r="AF15" s="1">
        <f t="shared" si="19"/>
        <v>12</v>
      </c>
      <c r="AG15" s="1">
        <f t="shared" si="1"/>
        <v>1</v>
      </c>
      <c r="AH15" s="1">
        <f t="shared" si="20"/>
        <v>4</v>
      </c>
      <c r="AI15" s="1">
        <f t="shared" si="21"/>
        <v>2</v>
      </c>
      <c r="AJ15" s="1">
        <f t="shared" si="22"/>
        <v>4</v>
      </c>
      <c r="AK15" s="1">
        <f t="shared" si="23"/>
        <v>1</v>
      </c>
      <c r="AL15" s="1">
        <f t="shared" si="24"/>
        <v>4</v>
      </c>
      <c r="AM15" s="1">
        <f t="shared" si="25"/>
        <v>1</v>
      </c>
      <c r="AN15" s="1">
        <f>IF(('2回目フォームの回答 '!T15="ほとんどなかった"),1,(IF(('2回目フォームの回答 '!T15="ときどきあった"),2,(IF(('2回目フォームの回答 '!T15="しばしばあった"),3,(IF(('2回目フォームの回答 '!T15="ほとんどいつもあった"),4,"")))))))</f>
        <v>2</v>
      </c>
      <c r="AO15" s="1">
        <f>IF(('2回目フォームの回答 '!U15="ほとんどなかった"),1,(IF(('2回目フォームの回答 '!U15="ときどきあった"),2,(IF(('2回目フォームの回答 '!U15="しばしばあった"),3,(IF(('2回目フォームの回答 '!U15="ほとんどいつもあった"),4,"")))))))</f>
        <v>2</v>
      </c>
      <c r="AP15" s="1">
        <f>IF(('2回目フォームの回答 '!V15="ほとんどなかった"),1,(IF(('2回目フォームの回答 '!V15="ときどきあった"),2,(IF(('2回目フォームの回答 '!V15="しばしばあった"),3,(IF(('2回目フォームの回答 '!V15="ほとんどいつもあった"),4,"")))))))</f>
        <v>2</v>
      </c>
      <c r="AQ15" s="1">
        <f>IF(('2回目フォームの回答 '!W15="ほとんどなかった"),1,(IF(('2回目フォームの回答 '!W15="ときどきあった"),2,(IF(('2回目フォームの回答 '!W15="しばしばあった"),3,(IF(('2回目フォームの回答 '!W15="ほとんどいつもあった"),4,"")))))))</f>
        <v>1</v>
      </c>
      <c r="AR15" s="1">
        <f>IF(('2回目フォームの回答 '!X15="ほとんどなかった"),1,(IF(('2回目フォームの回答 '!X15="ときどきあった"),2,(IF(('2回目フォームの回答 '!X15="しばしばあった"),3,(IF(('2回目フォームの回答 '!X15="ほとんどいつもあった"),4,"")))))))</f>
        <v>1</v>
      </c>
      <c r="AS15" s="1">
        <f>IF(('2回目フォームの回答 '!Y15="ほとんどなかった"),1,(IF(('2回目フォームの回答 '!Y15="ときどきあった"),2,(IF(('2回目フォームの回答 '!Y15="しばしばあった"),3,(IF(('2回目フォームの回答 '!Y15="ほとんどいつもあった"),4,"")))))))</f>
        <v>1</v>
      </c>
      <c r="AT15" s="1">
        <f>IF(('2回目フォームの回答 '!Z15="ほとんどなかった"),1,(IF(('2回目フォームの回答 '!Z15="ときどきあった"),2,(IF(('2回目フォームの回答 '!Z15="しばしばあった"),3,(IF(('2回目フォームの回答 '!Z15="ほとんどいつもあった"),4,"")))))))</f>
        <v>1</v>
      </c>
      <c r="AU15" s="1">
        <f>IF(('2回目フォームの回答 '!AA15="ほとんどなかった"),1,(IF(('2回目フォームの回答 '!AA15="ときどきあった"),2,(IF(('2回目フォームの回答 '!AA15="しばしばあった"),3,(IF(('2回目フォームの回答 '!AA15="ほとんどいつもあった"),4,"")))))))</f>
        <v>1</v>
      </c>
      <c r="AV15" s="1">
        <f>IF(('2回目フォームの回答 '!AB15="ほとんどなかった"),1,(IF(('2回目フォームの回答 '!AB15="ときどきばあった"),2,(IF(('2回目フォームの回答 '!AB15="しばしばあった"),3,(IF(('2回目フォームの回答 '!AB15="ほとんどいつもあった"),4,"")))))))</f>
        <v>1</v>
      </c>
      <c r="AW15" s="1">
        <f>IF(('2回目フォームの回答 '!AC15="ほとんどなかった"),1,(IF(('2回目フォームの回答 '!AC15="ときどきあった"),2,(IF(('2回目フォームの回答 '!AC15="しばしばあった"),3,(IF(('2回目フォームの回答 '!AC15="ほとんどいつもあった"),4,"")))))))</f>
        <v>1</v>
      </c>
      <c r="AX15" s="1">
        <f>IF(('2回目フォームの回答 '!AD15="ほとんどなかった"),1,(IF(('2回目フォームの回答 '!AD15="ときどきあった"),2,(IF(('2回目フォームの回答 '!AD15="しばしばあった"),3,(IF(('2回目フォームの回答 '!AD15="ほとんどいつもあった"),4,"")))))))</f>
        <v>1</v>
      </c>
      <c r="AY15" s="1">
        <f>IF(('2回目フォームの回答 '!AE15="ほとんどなかった"),1,(IF(('2回目フォームの回答 '!AE15="ときどきあった"),2,(IF(('2回目フォームの回答 '!AE15="しばしばあった"),3,(IF(('2回目フォームの回答 '!AE15="ほとんどいつもあった"),4,"")))))))</f>
        <v>1</v>
      </c>
      <c r="AZ15" s="1">
        <f>IF(('2回目フォームの回答 '!AF15="ほとんどなかった"),1,(IF(('2回目フォームの回答 '!AF15="ときどきあった"),2,(IF(('2回目フォームの回答 '!AF15="しばしばあった"),3,(IF(('2回目フォームの回答 '!AF15="ほとんどいつもあった"),4,"")))))))</f>
        <v>1</v>
      </c>
      <c r="BA15" s="1">
        <f>IF(('2回目フォームの回答 '!AG15="ほとんどなかった"),1,(IF(('2回目フォームの回答 '!AG15="ときどきあった"),2,(IF(('2回目フォームの回答 '!AG15="しばしばあった"),3,(IF(('2回目フォームの回答 '!AG15="ほとんどいつもあった"),4,"")))))))</f>
        <v>1</v>
      </c>
      <c r="BB15" s="1">
        <f>IF(('2回目フォームの回答 '!AH15="ほとんどなかった"),1,(IF(('2回目フォームの回答 '!AH15="ときどきあった"),2,(IF(('2回目フォームの回答 '!AH15="しばしばあった"),3,(IF(('2回目フォームの回答 '!AH15="ほとんどいつもあった"),4,"")))))))</f>
        <v>1</v>
      </c>
      <c r="BC15" s="1">
        <f>IF(('2回目フォームの回答 '!AI15="ほとんどなかった"),1,(IF(('2回目フォームの回答 '!AI15="ときどきあった"),2,(IF(('2回目フォームの回答 '!AI15="しばしばあった"),3,(IF(('2回目フォームの回答 '!AI15="ほとんどいつもあった"),4,"")))))))</f>
        <v>1</v>
      </c>
      <c r="BD15" s="1">
        <f>IF(('2回目フォームの回答 '!AJ15="ほとんどなかった"),1,(IF(('2回目フォームの回答 '!AJ15="ときどきあった"),2,(IF(('2回目フォームの回答 '!AJ15="しばしばあった"),3,(IF(('2回目フォームの回答 '!AJ15="ほとんどいつもあった"),4,"")))))))</f>
        <v>1</v>
      </c>
      <c r="BE15" s="1">
        <f>IF(('2回目フォームの回答 '!AK15="ほとんどなかった"),1,(IF(('2回目フォームの回答 '!AK15="ときどきあった"),2,(IF(('2回目フォームの回答 '!AK15="しばしばあった"),3,(IF(('2回目フォームの回答 '!AK15="ほとんどいつもあった"),4,"")))))))</f>
        <v>1</v>
      </c>
      <c r="BF15" s="1">
        <f>IF(('2回目フォームの回答 '!AL15="ほとんどなかった"),1,(IF(('2回目フォームの回答 '!AL15="ときどきあった"),2,(IF(('2回目フォームの回答 '!AL15="しばしばあった"),3,(IF(('2回目フォームの回答 '!AL15="ほとんどいつもあった"),4,"")))))))</f>
        <v>1</v>
      </c>
      <c r="BG15" s="1">
        <f>IF(('2回目フォームの回答 '!AM15="ほとんどなかった"),1,(IF(('2回目フォームの回答 '!AM15="ときどきあった"),2,(IF(('2回目フォームの回答 '!AM15="しばしばあった"),3,(IF(('2回目フォームの回答 '!AM15="ほとんどいつもあった"),4,"")))))))</f>
        <v>1</v>
      </c>
      <c r="BH15" s="1">
        <f>IF(('2回目フォームの回答 '!AN15="ほとんどなかった"),1,(IF(('2回目フォームの回答 '!AN15="ときどきあった"),2,(IF(('2回目フォームの回答 '!AN15="しばしばあった"),3,(IF(('2回目フォームの回答 '!AN15="ほとんどいつもあった"),4,"")))))))</f>
        <v>3</v>
      </c>
      <c r="BI15" s="1">
        <f>IF(('2回目フォームの回答 '!AO15="ほとんどなかった"),1,(IF(('2回目フォームの回答 '!AO15="ときどきあった"),2,(IF(('2回目フォームの回答 '!AO15="しばしばあった"),3,(IF(('2回目フォームの回答 '!AO15="ほとんどいつもあった"),4,"")))))))</f>
        <v>3</v>
      </c>
      <c r="BJ15" s="1">
        <f>IF(('2回目フォームの回答 '!AP15="ほとんどなかった"),1,(IF(('2回目フォームの回答 '!AP15="ときどきあった"),2,(IF(('2回目フォームの回答 '!AP15="しばしばあった"),3,(IF(('2回目フォームの回答 '!AP15="ほとんどいつもあった"),4,"")))))))</f>
        <v>3</v>
      </c>
      <c r="BK15" s="1">
        <f>IF(('2回目フォームの回答 '!AQ15="ほとんどなかった"),1,(IF(('2回目フォームの回答 '!AQ15="ときどきあった"),2,(IF(('2回目フォームの回答 '!AQ15="しばしばあった"),3,(IF(('2回目フォームの回答 '!AQ15="ほとんどいつもあった"),4,"")))))))</f>
        <v>4</v>
      </c>
      <c r="BL15" s="1">
        <f>IF(('2回目フォームの回答 '!AR15="ほとんどなかった"),1,(IF(('2回目フォームの回答 '!AR15="ときどきあった"),2,(IF(('2回目フォームの回答 '!AR15="しばしばあった"),3,(IF(('2回目フォームの回答 '!AR15="ほとんどいつもあった"),4,"")))))))</f>
        <v>1</v>
      </c>
      <c r="BM15" s="1">
        <f>IF(('2回目フォームの回答 '!AS15="ほとんどなかった"),1,(IF(('2回目フォームの回答 '!AS15="ときどきあった"),2,(IF(('2回目フォームの回答 '!AS15="しばしばあった"),3,(IF(('2回目フォームの回答 '!AS15="ほとんどいつもあった"),4,"")))))))</f>
        <v>4</v>
      </c>
      <c r="BN15" s="1">
        <f>IF(('2回目フォームの回答 '!AT15="ほとんどなかった"),1,(IF(('2回目フォームの回答 '!AT15="ときどきあった"),2,(IF(('2回目フォームの回答 '!AT15="しばしばあった"),3,(IF(('2回目フォームの回答 '!AT15="ほとんどいつもあった"),4,"")))))))</f>
        <v>2</v>
      </c>
      <c r="BO15" s="1">
        <f>IF(('2回目フォームの回答 '!AU15="ほとんどなかった"),1,(IF(('2回目フォームの回答 '!AU15="ときどきあった"),2,(IF(('2回目フォームの回答 '!AU15="しばしばあった"),3,(IF(('2回目フォームの回答 '!AU15="ほとんどいつもあった"),4,"")))))))</f>
        <v>4</v>
      </c>
      <c r="BP15" s="1">
        <f>IF(('2回目フォームの回答 '!AV15="ほとんどなかった"),1,(IF(('2回目フォームの回答 '!AV15="ときどきあった"),2,(IF(('2回目フォームの回答 '!AV15="しばしばあった"),3,(IF(('2回目フォームの回答 '!AV15="ほとんどいつもあった"),4,"")))))))</f>
        <v>2</v>
      </c>
      <c r="BQ15" s="1">
        <f t="shared" si="26"/>
        <v>6</v>
      </c>
      <c r="BR15" s="1">
        <f t="shared" si="27"/>
        <v>3</v>
      </c>
      <c r="BS15" s="1">
        <f t="shared" si="28"/>
        <v>3</v>
      </c>
      <c r="BT15" s="1">
        <f t="shared" si="2"/>
        <v>1</v>
      </c>
      <c r="BU15" s="1">
        <f t="shared" si="3"/>
        <v>3</v>
      </c>
      <c r="BV15" s="1">
        <f t="shared" si="4"/>
        <v>1</v>
      </c>
      <c r="BW15" s="1">
        <f t="shared" si="29"/>
        <v>3</v>
      </c>
      <c r="BX15" s="1">
        <f t="shared" si="5"/>
        <v>1</v>
      </c>
      <c r="BY15" s="1">
        <f t="shared" si="30"/>
        <v>6</v>
      </c>
      <c r="BZ15" s="1">
        <f t="shared" si="6"/>
        <v>1</v>
      </c>
      <c r="CA15" s="1">
        <f t="shared" si="31"/>
        <v>28</v>
      </c>
      <c r="CB15" s="1">
        <f t="shared" si="32"/>
        <v>5</v>
      </c>
      <c r="CC15" s="1">
        <f>IF(('2回目フォームの回答 '!AW15="非常に"),1,(IF(('2回目フォームの回答 '!AW15="かなり"),2,(IF(('2回目フォームの回答 '!AW15="多少"),3,(IF(('2回目フォームの回答 '!AW15="全くない"),4,"")))))))</f>
        <v>1</v>
      </c>
      <c r="CD15" s="1">
        <f>IF(('2回目フォームの回答 '!AX15="非常に"),1,(IF(('2回目フォームの回答 '!AX15="かなり"),2,(IF(('2回目フォームの回答 '!AX15="多少"),3,(IF(('2回目フォームの回答 '!AX15="全くない"),4,"")))))))</f>
        <v>1</v>
      </c>
      <c r="CE15" s="1">
        <f>IF(('2回目フォームの回答 '!AY15="非常に"),1,(IF(('2回目フォームの回答 '!AY15="かなり"),2,(IF(('2回目フォームの回答 '!AY15="多少"),3,(IF(('2回目フォームの回答 '!AY15="全くない"),4,"")))))))</f>
        <v>1</v>
      </c>
      <c r="CF15" s="1">
        <f>IF(('2回目フォームの回答 '!AZ15="非常に"),1,(IF(('2回目フォームの回答 '!AZ15="かなり"),2,(IF(('2回目フォームの回答 '!AZ15="多少"),3,(IF(('2回目フォームの回答 '!AZ15="全くない"),4,"")))))))</f>
        <v>1</v>
      </c>
      <c r="CG15" s="1">
        <f>IF(('2回目フォームの回答 '!BA15="非常に"),1,(IF(('2回目フォームの回答 '!BA15="かなり"),2,(IF(('2回目フォームの回答 '!BA15="多少"),3,(IF(('2回目フォームの回答 '!BA15="全くない"),4,"")))))))</f>
        <v>1</v>
      </c>
      <c r="CH15" s="1">
        <f>IF(('2回目フォームの回答 '!BB15="非常に"),1,(IF(('2回目フォームの回答 '!BB15="かなり"),2,(IF(('2回目フォームの回答 '!BB15="多少"),3,(IF(('2回目フォームの回答 '!BB15="全くない"),4,"")))))))</f>
        <v>1</v>
      </c>
      <c r="CI15" s="1">
        <f>IF(('2回目フォームの回答 '!BC15="非常に"),1,(IF(('2回目フォームの回答 '!BC15="かなり"),2,(IF(('2回目フォームの回答 '!BC15="多少"),3,(IF(('2回目フォームの回答 '!BC15="全くない"),4,"")))))))</f>
        <v>1</v>
      </c>
      <c r="CJ15" s="1">
        <f>IF(('2回目フォームの回答 '!BD15="非常に"),1,(IF(('2回目フォームの回答 '!BD15="かなり"),2,(IF(('2回目フォームの回答 '!BD15="多少"),3,(IF(('2回目フォームの回答 '!BD15="全くない"),4,"")))))))</f>
        <v>1</v>
      </c>
      <c r="CK15" s="1">
        <f>IF(('2回目フォームの回答 '!BE15="非常に"),1,(IF(('2回目フォームの回答 '!BE15="かなり"),2,(IF(('2回目フォームの回答 '!BE15="多少"),3,(IF(('2回目フォームの回答 '!BE15="全くない"),4,"")))))))</f>
        <v>1</v>
      </c>
      <c r="CL15" s="1">
        <f>IF(('2回目フォームの回答 '!BF15="満足"),1,(IF(('2回目フォームの回答 '!BF15="まぁ満足"),2,(IF(('2回目フォームの回答 '!BF15="やや満足"),3,(IF(('2回目フォームの回答 '!BF15="不満足"),4,"")))))))</f>
        <v>2</v>
      </c>
      <c r="CM15" s="1">
        <f>IF(('2回目フォームの回答 '!BG15="満足"),1,(IF(('2回目フォームの回答 '!BG15="まぁ満足"),2,(IF(('2回目フォームの回答 '!BG15="やや満足"),3,(IF(('2回目フォームの回答 '!BG15="不満足"),4,"")))))))</f>
        <v>1</v>
      </c>
      <c r="CN15" s="1">
        <f t="shared" si="33"/>
        <v>12</v>
      </c>
      <c r="CO15" s="1">
        <f t="shared" si="7"/>
        <v>1</v>
      </c>
      <c r="CP15" s="1">
        <f t="shared" si="34"/>
        <v>12</v>
      </c>
      <c r="CQ15" s="1">
        <f t="shared" si="8"/>
        <v>1</v>
      </c>
      <c r="CR15" s="1">
        <f t="shared" si="35"/>
        <v>12</v>
      </c>
      <c r="CS15" s="1">
        <f t="shared" si="36"/>
        <v>1</v>
      </c>
      <c r="CT15" s="1">
        <f t="shared" si="37"/>
        <v>7</v>
      </c>
      <c r="CU15" s="1">
        <f t="shared" si="9"/>
        <v>2</v>
      </c>
      <c r="CV15" s="1">
        <f t="shared" si="38"/>
        <v>12</v>
      </c>
      <c r="CW15" s="1">
        <f t="shared" si="39"/>
        <v>14</v>
      </c>
      <c r="CX15" s="1">
        <f t="shared" si="10"/>
        <v>3</v>
      </c>
      <c r="CY15" s="29" t="str">
        <f t="shared" si="40"/>
        <v>低</v>
      </c>
      <c r="CZ15" s="1">
        <f>'2回目フォームの回答 '!BH15</f>
        <v>0.75</v>
      </c>
      <c r="DA15" s="2">
        <f t="shared" si="41"/>
        <v>0.25</v>
      </c>
      <c r="DB15" s="1">
        <f>IF(('2回目フォームの回答 '!BI15="いつもより寝つきは良い"),0,(IF(('2回目フォームの回答 '!BI15="いつもより少し時間がかかった"),1,(IF(('2回目フォームの回答 '!BI15="いつもよりかなり時間がかかった"),2,(IF(('2回目フォームの回答 '!BI15="いつもより非常に時間がかかった、あるいは全く眠れなかった"),3,"")))))))</f>
        <v>1</v>
      </c>
      <c r="DC15" s="1">
        <f>IF(('2回目フォームの回答 '!BJ15="問題になるほどのことはなかった"),0,(IF(('2回目フォームの回答 '!BJ15="少し困ることがある"),1,(IF(('2回目フォームの回答 '!BJ15="かなり困っている"),2,(IF(('2回目フォームの回答 '!BJ15="深刻な状態、あるいは全く眠れなかった"),3,"")))))))</f>
        <v>1</v>
      </c>
      <c r="DD15" s="1">
        <f>IF(('2回目フォームの回答 '!BK15="そのようなことはなかった"),0,(IF(('2回目フォームの回答 '!BK15="少し早かった"),1,(IF(('2回目フォームの回答 '!BK15="かなり早かった"),2,(IF(('2回目フォームの回答 '!BK15="非常に早かった、あるいは全く眠れなかった"),3,"")))))))</f>
        <v>1</v>
      </c>
      <c r="DE15" s="1">
        <f>IF(('2回目フォームの回答 '!BL15="十分である"),0,(IF(('2回目フォームの回答 '!BL15="少し足りない"),1,(IF(('2回目フォームの回答 '!BL15="かなり足りない"),2,(IF(('2回目フォームの回答 '!BL15="全く足りない、あるいは全く眠れなかった"),3,"")))))))</f>
        <v>1</v>
      </c>
      <c r="DF15" s="1">
        <f>IF(('2回目フォームの回答 '!BM15="満足している"),0,(IF(('2回目フォームの回答 '!BM15="少し不満である"),1,(IF(('2回目フォームの回答 '!BM15="かなり不満である"),2,(IF(('2回目フォームの回答 '!BM15="非常に不満である、あるいは全く眠れなかった"),3,"")))))))</f>
        <v>1</v>
      </c>
      <c r="DG15" s="1">
        <f>IF(('2回目フォームの回答 '!BN15="いつもどおり"),0,(IF(('2回目フォームの回答 '!BN15="少し滅入った"),1,(IF(('2回目フォームの回答 '!BN15="かなり滅入った"),2,(IF(('2回目フォームの回答 '!BN15="非常に滅入った"),3,"")))))))</f>
        <v>0</v>
      </c>
      <c r="DH15" s="1">
        <f>IF(('2回目フォームの回答 '!BO15="いつもどおり"),0,(IF(('2回目フォームの回答 '!BO15="少し低下した"),1,(IF(('2回目フォームの回答 '!BO15="かなり低下した"),2,(IF(('2回目フォームの回答 '!BO15="非常に低下した"),3,"")))))))</f>
        <v>0</v>
      </c>
      <c r="DI15" s="1">
        <f>IF(('2回目フォームの回答 '!BP15="全くなかった"),0,(IF(('2回目フォームの回答 '!BP15="少しあった"),1,(IF(('2回目フォームの回答 '!BP15="かなりあった"),2,(IF(('2回目フォームの回答 '!BP15="激しかった"),3,"")))))))</f>
        <v>1</v>
      </c>
      <c r="DJ15">
        <f t="shared" si="42"/>
        <v>6</v>
      </c>
      <c r="DK15" s="4" t="str">
        <f t="shared" si="43"/>
        <v>高</v>
      </c>
      <c r="DL15" s="5">
        <v>0.1</v>
      </c>
      <c r="DM15" s="5">
        <v>0</v>
      </c>
      <c r="DN15" s="5">
        <v>0</v>
      </c>
      <c r="DO15" s="5">
        <f t="shared" si="44"/>
        <v>0.1</v>
      </c>
      <c r="DP15" s="5"/>
      <c r="DQ15" s="5"/>
      <c r="DR15" s="5"/>
      <c r="DS15" s="71">
        <v>0.3125</v>
      </c>
      <c r="DT15" s="66">
        <v>292</v>
      </c>
      <c r="DU15" s="59">
        <f>INDEX('1回目結果'!DR:DR,MATCH($DT15,'1回目結果'!$A:$A,0))</f>
        <v>0.73599999999999999</v>
      </c>
      <c r="DV15" s="59">
        <f>INDEX('1回目結果'!DS:DS,MATCH($DT15,'1回目結果'!$A:$A,0))</f>
        <v>142.71</v>
      </c>
      <c r="DW15" s="59">
        <f>INDEX('1回目結果'!DT:DT,MATCH($DT15,'1回目結果'!$A:$A,0))</f>
        <v>0.52</v>
      </c>
      <c r="DX15" s="59">
        <f>INDEX('1回目結果'!DU:DU,MATCH($DT15,'1回目結果'!$A:$A,0))</f>
        <v>26</v>
      </c>
      <c r="DY15" s="59">
        <f>IFERROR(INDEX('1回目結果'!DL:DL,MATCH('2回目結果'!$DT15,'1回目結果'!$A:$A,0)),"")</f>
        <v>0</v>
      </c>
      <c r="DZ15" s="59">
        <f>IFERROR(INDEX('1回目結果'!DM:DM,MATCH('2回目結果'!$DT15,'1回目結果'!$A:$A,0)),"")</f>
        <v>0</v>
      </c>
      <c r="EA15" s="59">
        <f>IFERROR(INDEX('1回目結果'!DN:DN,MATCH('2回目結果'!$DT15,'1回目結果'!$A:$A,0)),"")</f>
        <v>4.9000000000000004</v>
      </c>
      <c r="EB15" s="59">
        <f>IFERROR(INDEX('1回目結果'!DO:DO,MATCH('2回目結果'!$DT15,'1回目結果'!$A:$A,0)),"")</f>
        <v>4.9000000000000004</v>
      </c>
      <c r="EC15" s="59">
        <f>IFERROR(INDEX('1回目結果'!DP:DP,MATCH('2回目結果'!$DT15,'1回目結果'!$A:$A,0)),"")</f>
        <v>0</v>
      </c>
      <c r="ED15" s="59">
        <f>IFERROR(INDEX('1回目結果'!DQ:DQ,MATCH('2回目結果'!$DT15,'1回目結果'!$A:$A,0)),"")</f>
        <v>0</v>
      </c>
      <c r="EE15" s="54">
        <v>1.6759999999999999</v>
      </c>
      <c r="EF15" s="54">
        <v>222.24</v>
      </c>
      <c r="EG15" s="54">
        <v>0.75</v>
      </c>
      <c r="EH15" s="54">
        <v>38</v>
      </c>
      <c r="EI15" s="43" t="s">
        <v>115</v>
      </c>
      <c r="EJ15" s="44">
        <f t="shared" si="45"/>
        <v>1.4615384615384615</v>
      </c>
      <c r="EK15" s="44">
        <f t="shared" si="51"/>
        <v>1.4423076923076923</v>
      </c>
      <c r="EL15">
        <f t="shared" si="46"/>
        <v>-4.8000000000000007</v>
      </c>
      <c r="EM15">
        <f t="shared" si="47"/>
        <v>-4.9000000000000004</v>
      </c>
    </row>
    <row r="16" spans="1:143" ht="15.75" customHeight="1">
      <c r="A16" s="1">
        <v>335</v>
      </c>
      <c r="B16" s="24" t="s">
        <v>139</v>
      </c>
      <c r="C16" s="52">
        <v>35587</v>
      </c>
      <c r="D16" s="38">
        <v>27</v>
      </c>
      <c r="E16" s="1">
        <f>IF(('2回目フォームの回答 '!C16="そうだ"),1,(IF(('2回目フォームの回答 '!C16="まぁそうだ"),2,(IF(('2回目フォームの回答 '!C16="ややちがう"),3,(IF(('2回目フォームの回答 '!C16="ちがう"),4,"")))))))</f>
        <v>2</v>
      </c>
      <c r="F16" s="1">
        <f>IF(('2回目フォームの回答 '!D16="そうだ"),1,(IF(('2回目フォームの回答 '!D16="まぁそうだ"),2,(IF(('2回目フォームの回答 '!D16="ややちがう"),3,(IF(('2回目フォームの回答 '!D16="ちがう"),4,"")))))))</f>
        <v>2</v>
      </c>
      <c r="G16" s="1">
        <f>IF(('2回目フォームの回答 '!E16="そうだ"),1,(IF(('2回目フォームの回答 '!E16="まぁそうだ"),2,(IF(('2回目フォームの回答 '!E16="ややちがう"),3,(IF(('2回目フォームの回答 '!E16="ちがう"),4,"")))))))</f>
        <v>1</v>
      </c>
      <c r="H16" s="1">
        <f>IF(('2回目フォームの回答 '!F16="そうだ"),1,(IF(('2回目フォームの回答 '!F16="まぁそうだ"),2,(IF(('2回目フォームの回答 '!F16="ややちがう"),3,(IF(('2回目フォームの回答 '!F16="ちがう"),4,"")))))))</f>
        <v>2</v>
      </c>
      <c r="I16" s="1">
        <f>IF(('2回目フォームの回答 '!G16="そうだ"),1,(IF(('2回目フォームの回答 '!G16="まぁそうだ"),2,(IF(('2回目フォームの回答 '!G16="ややちがう"),3,(IF(('2回目フォームの回答 '!G16="ちがう"),4,"")))))))</f>
        <v>2</v>
      </c>
      <c r="J16" s="1">
        <f>IF(('2回目フォームの回答 '!H16="そうだ"),1,(IF(('2回目フォームの回答 '!H16="まぁそうだ"),2,(IF(('2回目フォームの回答 '!H16="ややちがう"),3,(IF(('2回目フォームの回答 '!H16="ちがう"),4,"")))))))</f>
        <v>2</v>
      </c>
      <c r="K16" s="1">
        <f>IF(('2回目フォームの回答 '!I16="そうだ"),1,(IF(('2回目フォームの回答 '!I16="まぁそうだ"),2,(IF(('2回目フォームの回答 '!I16="ややちがう"),3,(IF(('2回目フォームの回答 '!I16="ちがう"),4,"")))))))</f>
        <v>4</v>
      </c>
      <c r="L16" s="1">
        <f>IF(('2回目フォームの回答 '!J16="そうだ"),1,(IF(('2回目フォームの回答 '!J16="まぁそうだ"),2,(IF(('2回目フォームの回答 '!J16="ややちがう"),3,(IF(('2回目フォームの回答 '!J16="ちがう"),4,"")))))))</f>
        <v>3</v>
      </c>
      <c r="M16" s="1">
        <f>IF(('2回目フォームの回答 '!K16="そうだ"),1,(IF(('2回目フォームの回答 '!K16="まぁそうだ"),2,(IF(('2回目フォームの回答 '!K16="ややちがう"),3,(IF(('2回目フォームの回答 '!K16="ちがう"),4,"")))))))</f>
        <v>3</v>
      </c>
      <c r="N16" s="1">
        <f>IF(('2回目フォームの回答 '!L16="そうだ"),1,(IF(('2回目フォームの回答 '!L16="まぁそうだ"),2,(IF(('2回目フォームの回答 '!L16="ややちがう"),3,(IF(('2回目フォームの回答 '!L16="ちがう"),4,"")))))))</f>
        <v>4</v>
      </c>
      <c r="O16" s="1">
        <f>IF(('2回目フォームの回答 '!M16="そうだ"),1,(IF(('2回目フォームの回答 '!M16="まぁそうだ"),2,(IF(('2回目フォームの回答 '!M16="ややちがう"),3,(IF(('2回目フォームの回答 '!M16="ちがう"),4,"")))))))</f>
        <v>3</v>
      </c>
      <c r="P16" s="1">
        <f>IF(('2回目フォームの回答 '!N16="そうだ"),1,(IF(('2回目フォームの回答 '!N16="まぁそうだ"),2,(IF(('2回目フォームの回答 '!N16="ややちがう"),3,(IF(('2回目フォームの回答 '!N16="ちがう"),4,"")))))))</f>
        <v>2</v>
      </c>
      <c r="Q16" s="1">
        <f>IF(('2回目フォームの回答 '!O16="そうだ"),1,(IF(('2回目フォームの回答 '!O16="まぁそうだ"),2,(IF(('2回目フォームの回答 '!O16="ややちがう"),3,(IF(('2回目フォームの回答 '!O16="ちがう"),4,"")))))))</f>
        <v>2</v>
      </c>
      <c r="R16" s="1">
        <f>IF(('2回目フォームの回答 '!P16="そうだ"),1,(IF(('2回目フォームの回答 '!P16="まぁそうだ"),2,(IF(('2回目フォームの回答 '!P16="ややちがう"),3,(IF(('2回目フォームの回答 '!P16="ちがう"),4,"")))))))</f>
        <v>2</v>
      </c>
      <c r="S16" s="1">
        <f>IF(('2回目フォームの回答 '!Q16="そうだ"),1,(IF(('2回目フォームの回答 '!Q16="まぁそうだ"),2,(IF(('2回目フォームの回答 '!Q16="ややちがう"),3,(IF(('2回目フォームの回答 '!Q16="ちがう"),4,"")))))))</f>
        <v>3</v>
      </c>
      <c r="T16" s="1">
        <f>IF(('2回目フォームの回答 '!R16="そうだ"),1,(IF(('2回目フォームの回答 '!R16="まぁそうだ"),2,(IF(('2回目フォームの回答 '!R16="ややちがう"),3,(IF(('2回目フォームの回答 '!R16="ちがう"),4,"")))))))</f>
        <v>2</v>
      </c>
      <c r="U16" s="1">
        <f>IF(('2回目フォームの回答 '!S16="そうだ"),1,(IF(('2回目フォームの回答 '!S16="まぁそうだ"),2,(IF(('2回目フォームの回答 '!S16="ややちがう"),3,(IF(('2回目フォームの回答 '!S16="ちがう"),4,"")))))))</f>
        <v>1</v>
      </c>
      <c r="V16" s="1">
        <f t="shared" si="48"/>
        <v>10</v>
      </c>
      <c r="W16" s="1">
        <f t="shared" si="11"/>
        <v>4</v>
      </c>
      <c r="X16" s="1">
        <f t="shared" si="12"/>
        <v>9</v>
      </c>
      <c r="Y16" s="1">
        <f t="shared" si="13"/>
        <v>3</v>
      </c>
      <c r="Z16" s="1">
        <f t="shared" si="14"/>
        <v>1</v>
      </c>
      <c r="AA16" s="1">
        <f t="shared" si="15"/>
        <v>2</v>
      </c>
      <c r="AB16" s="1">
        <f t="shared" si="16"/>
        <v>8</v>
      </c>
      <c r="AC16" s="1">
        <f t="shared" si="17"/>
        <v>4</v>
      </c>
      <c r="AD16" s="1">
        <f t="shared" si="18"/>
        <v>2</v>
      </c>
      <c r="AE16" s="1">
        <f t="shared" si="0"/>
        <v>3</v>
      </c>
      <c r="AF16" s="1">
        <f t="shared" si="19"/>
        <v>5</v>
      </c>
      <c r="AG16" s="1">
        <f t="shared" si="1"/>
        <v>4</v>
      </c>
      <c r="AH16" s="1">
        <f t="shared" si="20"/>
        <v>3</v>
      </c>
      <c r="AI16" s="1">
        <f t="shared" si="21"/>
        <v>3</v>
      </c>
      <c r="AJ16" s="1">
        <f t="shared" si="22"/>
        <v>3</v>
      </c>
      <c r="AK16" s="1">
        <f t="shared" si="23"/>
        <v>3</v>
      </c>
      <c r="AL16" s="1">
        <f t="shared" si="24"/>
        <v>4</v>
      </c>
      <c r="AM16" s="1">
        <f t="shared" si="25"/>
        <v>1</v>
      </c>
      <c r="AN16" s="1">
        <f>IF(('2回目フォームの回答 '!T16="ほとんどなかった"),1,(IF(('2回目フォームの回答 '!T16="ときどきあった"),2,(IF(('2回目フォームの回答 '!T16="しばしばあった"),3,(IF(('2回目フォームの回答 '!T16="ほとんどいつもあった"),4,"")))))))</f>
        <v>3</v>
      </c>
      <c r="AO16" s="1">
        <f>IF(('2回目フォームの回答 '!U16="ほとんどなかった"),1,(IF(('2回目フォームの回答 '!U16="ときどきあった"),2,(IF(('2回目フォームの回答 '!U16="しばしばあった"),3,(IF(('2回目フォームの回答 '!U16="ほとんどいつもあった"),4,"")))))))</f>
        <v>1</v>
      </c>
      <c r="AP16" s="1">
        <f>IF(('2回目フォームの回答 '!V16="ほとんどなかった"),1,(IF(('2回目フォームの回答 '!V16="ときどきあった"),2,(IF(('2回目フォームの回答 '!V16="しばしばあった"),3,(IF(('2回目フォームの回答 '!V16="ほとんどいつもあった"),4,"")))))))</f>
        <v>1</v>
      </c>
      <c r="AQ16" s="1">
        <f>IF(('2回目フォームの回答 '!W16="ほとんどなかった"),1,(IF(('2回目フォームの回答 '!W16="ときどきあった"),2,(IF(('2回目フォームの回答 '!W16="しばしばあった"),3,(IF(('2回目フォームの回答 '!W16="ほとんどいつもあった"),4,"")))))))</f>
        <v>1</v>
      </c>
      <c r="AR16" s="1">
        <f>IF(('2回目フォームの回答 '!X16="ほとんどなかった"),1,(IF(('2回目フォームの回答 '!X16="ときどきあった"),2,(IF(('2回目フォームの回答 '!X16="しばしばあった"),3,(IF(('2回目フォームの回答 '!X16="ほとんどいつもあった"),4,"")))))))</f>
        <v>1</v>
      </c>
      <c r="AS16" s="1">
        <f>IF(('2回目フォームの回答 '!Y16="ほとんどなかった"),1,(IF(('2回目フォームの回答 '!Y16="ときどきあった"),2,(IF(('2回目フォームの回答 '!Y16="しばしばあった"),3,(IF(('2回目フォームの回答 '!Y16="ほとんどいつもあった"),4,"")))))))</f>
        <v>2</v>
      </c>
      <c r="AT16" s="1">
        <f>IF(('2回目フォームの回答 '!Z16="ほとんどなかった"),1,(IF(('2回目フォームの回答 '!Z16="ときどきあった"),2,(IF(('2回目フォームの回答 '!Z16="しばしばあった"),3,(IF(('2回目フォームの回答 '!Z16="ほとんどいつもあった"),4,"")))))))</f>
        <v>3</v>
      </c>
      <c r="AU16" s="1">
        <f>IF(('2回目フォームの回答 '!AA16="ほとんどなかった"),1,(IF(('2回目フォームの回答 '!AA16="ときどきあった"),2,(IF(('2回目フォームの回答 '!AA16="しばしばあった"),3,(IF(('2回目フォームの回答 '!AA16="ほとんどいつもあった"),4,"")))))))</f>
        <v>3</v>
      </c>
      <c r="AV16" s="1">
        <f>IF(('2回目フォームの回答 '!AB16="ほとんどなかった"),1,(IF(('2回目フォームの回答 '!AB16="ときどきばあった"),2,(IF(('2回目フォームの回答 '!AB16="しばしばあった"),3,(IF(('2回目フォームの回答 '!AB16="ほとんどいつもあった"),4,"")))))))</f>
        <v>3</v>
      </c>
      <c r="AW16" s="1">
        <f>IF(('2回目フォームの回答 '!AC16="ほとんどなかった"),1,(IF(('2回目フォームの回答 '!AC16="ときどきあった"),2,(IF(('2回目フォームの回答 '!AC16="しばしばあった"),3,(IF(('2回目フォームの回答 '!AC16="ほとんどいつもあった"),4,"")))))))</f>
        <v>3</v>
      </c>
      <c r="AX16" s="1">
        <f>IF(('2回目フォームの回答 '!AD16="ほとんどなかった"),1,(IF(('2回目フォームの回答 '!AD16="ときどきあった"),2,(IF(('2回目フォームの回答 '!AD16="しばしばあった"),3,(IF(('2回目フォームの回答 '!AD16="ほとんどいつもあった"),4,"")))))))</f>
        <v>4</v>
      </c>
      <c r="AY16" s="1">
        <f>IF(('2回目フォームの回答 '!AE16="ほとんどなかった"),1,(IF(('2回目フォームの回答 '!AE16="ときどきあった"),2,(IF(('2回目フォームの回答 '!AE16="しばしばあった"),3,(IF(('2回目フォームの回答 '!AE16="ほとんどいつもあった"),4,"")))))))</f>
        <v>3</v>
      </c>
      <c r="AZ16" s="1">
        <f>IF(('2回目フォームの回答 '!AF16="ほとんどなかった"),1,(IF(('2回目フォームの回答 '!AF16="ときどきあった"),2,(IF(('2回目フォームの回答 '!AF16="しばしばあった"),3,(IF(('2回目フォームの回答 '!AF16="ほとんどいつもあった"),4,"")))))))</f>
        <v>3</v>
      </c>
      <c r="BA16" s="1">
        <f>IF(('2回目フォームの回答 '!AG16="ほとんどなかった"),1,(IF(('2回目フォームの回答 '!AG16="ときどきあった"),2,(IF(('2回目フォームの回答 '!AG16="しばしばあった"),3,(IF(('2回目フォームの回答 '!AG16="ほとんどいつもあった"),4,"")))))))</f>
        <v>3</v>
      </c>
      <c r="BB16" s="1">
        <f>IF(('2回目フォームの回答 '!AH16="ほとんどなかった"),1,(IF(('2回目フォームの回答 '!AH16="ときどきあった"),2,(IF(('2回目フォームの回答 '!AH16="しばしばあった"),3,(IF(('2回目フォームの回答 '!AH16="ほとんどいつもあった"),4,"")))))))</f>
        <v>3</v>
      </c>
      <c r="BC16" s="1">
        <f>IF(('2回目フォームの回答 '!AI16="ほとんどなかった"),1,(IF(('2回目フォームの回答 '!AI16="ときどきあった"),2,(IF(('2回目フォームの回答 '!AI16="しばしばあった"),3,(IF(('2回目フォームの回答 '!AI16="ほとんどいつもあった"),4,"")))))))</f>
        <v>3</v>
      </c>
      <c r="BD16" s="1">
        <f>IF(('2回目フォームの回答 '!AJ16="ほとんどなかった"),1,(IF(('2回目フォームの回答 '!AJ16="ときどきあった"),2,(IF(('2回目フォームの回答 '!AJ16="しばしばあった"),3,(IF(('2回目フォームの回答 '!AJ16="ほとんどいつもあった"),4,"")))))))</f>
        <v>2</v>
      </c>
      <c r="BE16" s="1">
        <f>IF(('2回目フォームの回答 '!AK16="ほとんどなかった"),1,(IF(('2回目フォームの回答 '!AK16="ときどきあった"),2,(IF(('2回目フォームの回答 '!AK16="しばしばあった"),3,(IF(('2回目フォームの回答 '!AK16="ほとんどいつもあった"),4,"")))))))</f>
        <v>3</v>
      </c>
      <c r="BF16" s="1">
        <f>IF(('2回目フォームの回答 '!AL16="ほとんどなかった"),1,(IF(('2回目フォームの回答 '!AL16="ときどきあった"),2,(IF(('2回目フォームの回答 '!AL16="しばしばあった"),3,(IF(('2回目フォームの回答 '!AL16="ほとんどいつもあった"),4,"")))))))</f>
        <v>1</v>
      </c>
      <c r="BG16" s="1">
        <f>IF(('2回目フォームの回答 '!AM16="ほとんどなかった"),1,(IF(('2回目フォームの回答 '!AM16="ときどきあった"),2,(IF(('2回目フォームの回答 '!AM16="しばしばあった"),3,(IF(('2回目フォームの回答 '!AM16="ほとんどいつもあった"),4,"")))))))</f>
        <v>1</v>
      </c>
      <c r="BH16" s="1">
        <f>IF(('2回目フォームの回答 '!AN16="ほとんどなかった"),1,(IF(('2回目フォームの回答 '!AN16="ときどきあった"),2,(IF(('2回目フォームの回答 '!AN16="しばしばあった"),3,(IF(('2回目フォームの回答 '!AN16="ほとんどいつもあった"),4,"")))))))</f>
        <v>2</v>
      </c>
      <c r="BI16" s="1">
        <f>IF(('2回目フォームの回答 '!AO16="ほとんどなかった"),1,(IF(('2回目フォームの回答 '!AO16="ときどきあった"),2,(IF(('2回目フォームの回答 '!AO16="しばしばあった"),3,(IF(('2回目フォームの回答 '!AO16="ほとんどいつもあった"),4,"")))))))</f>
        <v>4</v>
      </c>
      <c r="BJ16" s="1">
        <f>IF(('2回目フォームの回答 '!AP16="ほとんどなかった"),1,(IF(('2回目フォームの回答 '!AP16="ときどきあった"),2,(IF(('2回目フォームの回答 '!AP16="しばしばあった"),3,(IF(('2回目フォームの回答 '!AP16="ほとんどいつもあった"),4,"")))))))</f>
        <v>1</v>
      </c>
      <c r="BK16" s="1">
        <f>IF(('2回目フォームの回答 '!AQ16="ほとんどなかった"),1,(IF(('2回目フォームの回答 '!AQ16="ときどきあった"),2,(IF(('2回目フォームの回答 '!AQ16="しばしばあった"),3,(IF(('2回目フォームの回答 '!AQ16="ほとんどいつもあった"),4,"")))))))</f>
        <v>3</v>
      </c>
      <c r="BL16" s="1">
        <f>IF(('2回目フォームの回答 '!AR16="ほとんどなかった"),1,(IF(('2回目フォームの回答 '!AR16="ときどきあった"),2,(IF(('2回目フォームの回答 '!AR16="しばしばあった"),3,(IF(('2回目フォームの回答 '!AR16="ほとんどいつもあった"),4,"")))))))</f>
        <v>1</v>
      </c>
      <c r="BM16" s="1">
        <f>IF(('2回目フォームの回答 '!AS16="ほとんどなかった"),1,(IF(('2回目フォームの回答 '!AS16="ときどきあった"),2,(IF(('2回目フォームの回答 '!AS16="しばしばあった"),3,(IF(('2回目フォームの回答 '!AS16="ほとんどいつもあった"),4,"")))))))</f>
        <v>2</v>
      </c>
      <c r="BN16" s="1">
        <f>IF(('2回目フォームの回答 '!AT16="ほとんどなかった"),1,(IF(('2回目フォームの回答 '!AT16="ときどきあった"),2,(IF(('2回目フォームの回答 '!AT16="しばしばあった"),3,(IF(('2回目フォームの回答 '!AT16="ほとんどいつもあった"),4,"")))))))</f>
        <v>2</v>
      </c>
      <c r="BO16" s="1">
        <f>IF(('2回目フォームの回答 '!AU16="ほとんどなかった"),1,(IF(('2回目フォームの回答 '!AU16="ときどきあった"),2,(IF(('2回目フォームの回答 '!AU16="しばしばあった"),3,(IF(('2回目フォームの回答 '!AU16="ほとんどいつもあった"),4,"")))))))</f>
        <v>2</v>
      </c>
      <c r="BP16" s="1">
        <f>IF(('2回目フォームの回答 '!AV16="ほとんどなかった"),1,(IF(('2回目フォームの回答 '!AV16="ときどきあった"),2,(IF(('2回目フォームの回答 '!AV16="しばしばあった"),3,(IF(('2回目フォームの回答 '!AV16="ほとんどいつもあった"),4,"")))))))</f>
        <v>3</v>
      </c>
      <c r="BQ16" s="1">
        <f t="shared" si="26"/>
        <v>5</v>
      </c>
      <c r="BR16" s="1">
        <f t="shared" si="27"/>
        <v>4</v>
      </c>
      <c r="BS16" s="1">
        <f t="shared" si="28"/>
        <v>4</v>
      </c>
      <c r="BT16" s="1">
        <f t="shared" si="2"/>
        <v>2</v>
      </c>
      <c r="BU16" s="1">
        <f t="shared" si="3"/>
        <v>9</v>
      </c>
      <c r="BV16" s="1">
        <f t="shared" si="4"/>
        <v>4</v>
      </c>
      <c r="BW16" s="1">
        <f t="shared" si="29"/>
        <v>10</v>
      </c>
      <c r="BX16" s="1">
        <f t="shared" si="5"/>
        <v>5</v>
      </c>
      <c r="BY16" s="1">
        <f t="shared" si="30"/>
        <v>17</v>
      </c>
      <c r="BZ16" s="1">
        <f t="shared" si="6"/>
        <v>5</v>
      </c>
      <c r="CA16" s="1">
        <f t="shared" si="31"/>
        <v>22</v>
      </c>
      <c r="CB16" s="1">
        <f t="shared" si="32"/>
        <v>4</v>
      </c>
      <c r="CC16" s="1">
        <f>IF(('2回目フォームの回答 '!AW16="非常に"),1,(IF(('2回目フォームの回答 '!AW16="かなり"),2,(IF(('2回目フォームの回答 '!AW16="多少"),3,(IF(('2回目フォームの回答 '!AW16="全くない"),4,"")))))))</f>
        <v>2</v>
      </c>
      <c r="CD16" s="1">
        <f>IF(('2回目フォームの回答 '!AX16="非常に"),1,(IF(('2回目フォームの回答 '!AX16="かなり"),2,(IF(('2回目フォームの回答 '!AX16="多少"),3,(IF(('2回目フォームの回答 '!AX16="全くない"),4,"")))))))</f>
        <v>2</v>
      </c>
      <c r="CE16" s="1">
        <f>IF(('2回目フォームの回答 '!AY16="非常に"),1,(IF(('2回目フォームの回答 '!AY16="かなり"),2,(IF(('2回目フォームの回答 '!AY16="多少"),3,(IF(('2回目フォームの回答 '!AY16="全くない"),4,"")))))))</f>
        <v>1</v>
      </c>
      <c r="CF16" s="1">
        <f>IF(('2回目フォームの回答 '!AZ16="非常に"),1,(IF(('2回目フォームの回答 '!AZ16="かなり"),2,(IF(('2回目フォームの回答 '!AZ16="多少"),3,(IF(('2回目フォームの回答 '!AZ16="全くない"),4,"")))))))</f>
        <v>1</v>
      </c>
      <c r="CG16" s="1">
        <f>IF(('2回目フォームの回答 '!BA16="非常に"),1,(IF(('2回目フォームの回答 '!BA16="かなり"),2,(IF(('2回目フォームの回答 '!BA16="多少"),3,(IF(('2回目フォームの回答 '!BA16="全くない"),4,"")))))))</f>
        <v>1</v>
      </c>
      <c r="CH16" s="1">
        <f>IF(('2回目フォームの回答 '!BB16="非常に"),1,(IF(('2回目フォームの回答 '!BB16="かなり"),2,(IF(('2回目フォームの回答 '!BB16="多少"),3,(IF(('2回目フォームの回答 '!BB16="全くない"),4,"")))))))</f>
        <v>2</v>
      </c>
      <c r="CI16" s="1">
        <f>IF(('2回目フォームの回答 '!BC16="非常に"),1,(IF(('2回目フォームの回答 '!BC16="かなり"),2,(IF(('2回目フォームの回答 '!BC16="多少"),3,(IF(('2回目フォームの回答 '!BC16="全くない"),4,"")))))))</f>
        <v>3</v>
      </c>
      <c r="CJ16" s="1">
        <f>IF(('2回目フォームの回答 '!BD16="非常に"),1,(IF(('2回目フォームの回答 '!BD16="かなり"),2,(IF(('2回目フォームの回答 '!BD16="多少"),3,(IF(('2回目フォームの回答 '!BD16="全くない"),4,"")))))))</f>
        <v>3</v>
      </c>
      <c r="CK16" s="1">
        <f>IF(('2回目フォームの回答 '!BE16="非常に"),1,(IF(('2回目フォームの回答 '!BE16="かなり"),2,(IF(('2回目フォームの回答 '!BE16="多少"),3,(IF(('2回目フォームの回答 '!BE16="全くない"),4,"")))))))</f>
        <v>2</v>
      </c>
      <c r="CL16" s="1">
        <f>IF(('2回目フォームの回答 '!BF16="満足"),1,(IF(('2回目フォームの回答 '!BF16="まぁ満足"),2,(IF(('2回目フォームの回答 '!BF16="やや満足"),3,(IF(('2回目フォームの回答 '!BF16="不満足"),4,"")))))))</f>
        <v>2</v>
      </c>
      <c r="CM16" s="1">
        <f>IF(('2回目フォームの回答 '!BG16="満足"),1,(IF(('2回目フォームの回答 '!BG16="まぁ満足"),2,(IF(('2回目フォームの回答 '!BG16="やや満足"),3,(IF(('2回目フォームの回答 '!BG16="不満足"),4,"")))))))</f>
        <v>3</v>
      </c>
      <c r="CN16" s="1">
        <f t="shared" si="33"/>
        <v>9</v>
      </c>
      <c r="CO16" s="1">
        <f t="shared" si="7"/>
        <v>2</v>
      </c>
      <c r="CP16" s="1">
        <f t="shared" si="34"/>
        <v>9</v>
      </c>
      <c r="CQ16" s="1">
        <f t="shared" si="8"/>
        <v>3</v>
      </c>
      <c r="CR16" s="1">
        <f t="shared" si="35"/>
        <v>10</v>
      </c>
      <c r="CS16" s="1">
        <f t="shared" si="36"/>
        <v>2</v>
      </c>
      <c r="CT16" s="1">
        <f t="shared" si="37"/>
        <v>5</v>
      </c>
      <c r="CU16" s="1">
        <f t="shared" si="9"/>
        <v>3</v>
      </c>
      <c r="CV16" s="1">
        <f t="shared" si="38"/>
        <v>24</v>
      </c>
      <c r="CW16" s="1">
        <f t="shared" si="39"/>
        <v>27</v>
      </c>
      <c r="CX16" s="1">
        <f t="shared" si="10"/>
        <v>7</v>
      </c>
      <c r="CY16" s="29" t="str">
        <f t="shared" si="40"/>
        <v>高</v>
      </c>
      <c r="CZ16" s="1">
        <f>'2回目フォームの回答 '!BH16</f>
        <v>0.7</v>
      </c>
      <c r="DA16" s="2">
        <f t="shared" si="41"/>
        <v>0.30000000000000004</v>
      </c>
      <c r="DB16" s="1">
        <f>IF(('2回目フォームの回答 '!BI16="いつもより寝つきは良い"),0,(IF(('2回目フォームの回答 '!BI16="いつもより少し時間がかかった"),1,(IF(('2回目フォームの回答 '!BI16="いつもよりかなり時間がかかった"),2,(IF(('2回目フォームの回答 '!BI16="いつもより非常に時間がかかった、あるいは全く眠れなかった"),3,"")))))))</f>
        <v>0</v>
      </c>
      <c r="DC16" s="1">
        <f>IF(('2回目フォームの回答 '!BJ16="問題になるほどのことはなかった"),0,(IF(('2回目フォームの回答 '!BJ16="少し困ることがある"),1,(IF(('2回目フォームの回答 '!BJ16="かなり困っている"),2,(IF(('2回目フォームの回答 '!BJ16="深刻な状態、あるいは全く眠れなかった"),3,"")))))))</f>
        <v>0</v>
      </c>
      <c r="DD16" s="1">
        <f>IF(('2回目フォームの回答 '!BK16="そのようなことはなかった"),0,(IF(('2回目フォームの回答 '!BK16="少し早かった"),1,(IF(('2回目フォームの回答 '!BK16="かなり早かった"),2,(IF(('2回目フォームの回答 '!BK16="非常に早かった、あるいは全く眠れなかった"),3,"")))))))</f>
        <v>1</v>
      </c>
      <c r="DE16" s="1">
        <f>IF(('2回目フォームの回答 '!BL16="十分である"),0,(IF(('2回目フォームの回答 '!BL16="少し足りない"),1,(IF(('2回目フォームの回答 '!BL16="かなり足りない"),2,(IF(('2回目フォームの回答 '!BL16="全く足りない、あるいは全く眠れなかった"),3,"")))))))</f>
        <v>2</v>
      </c>
      <c r="DF16" s="1">
        <f>IF(('2回目フォームの回答 '!BM16="満足している"),0,(IF(('2回目フォームの回答 '!BM16="少し不満である"),1,(IF(('2回目フォームの回答 '!BM16="かなり不満である"),2,(IF(('2回目フォームの回答 '!BM16="非常に不満である、あるいは全く眠れなかった"),3,"")))))))</f>
        <v>2</v>
      </c>
      <c r="DG16" s="1">
        <f>IF(('2回目フォームの回答 '!BN16="いつもどおり"),0,(IF(('2回目フォームの回答 '!BN16="少し滅入った"),1,(IF(('2回目フォームの回答 '!BN16="かなり滅入った"),2,(IF(('2回目フォームの回答 '!BN16="非常に滅入った"),3,"")))))))</f>
        <v>2</v>
      </c>
      <c r="DH16" s="1">
        <f>IF(('2回目フォームの回答 '!BO16="いつもどおり"),0,(IF(('2回目フォームの回答 '!BO16="少し低下した"),1,(IF(('2回目フォームの回答 '!BO16="かなり低下した"),2,(IF(('2回目フォームの回答 '!BO16="非常に低下した"),3,"")))))))</f>
        <v>2</v>
      </c>
      <c r="DI16" s="1">
        <f>IF(('2回目フォームの回答 '!BP16="全くなかった"),0,(IF(('2回目フォームの回答 '!BP16="少しあった"),1,(IF(('2回目フォームの回答 '!BP16="かなりあった"),2,(IF(('2回目フォームの回答 '!BP16="激しかった"),3,"")))))))</f>
        <v>3</v>
      </c>
      <c r="DJ16">
        <f t="shared" si="42"/>
        <v>12</v>
      </c>
      <c r="DK16" s="4" t="str">
        <f t="shared" si="43"/>
        <v>高</v>
      </c>
      <c r="DL16" s="5">
        <v>3.7</v>
      </c>
      <c r="DM16" s="5">
        <v>6.3</v>
      </c>
      <c r="DN16" s="5">
        <v>4</v>
      </c>
      <c r="DO16" s="5">
        <f t="shared" si="44"/>
        <v>14</v>
      </c>
      <c r="DP16" s="5" t="s">
        <v>200</v>
      </c>
      <c r="DQ16" s="5"/>
      <c r="DR16" s="5" t="s">
        <v>200</v>
      </c>
      <c r="DS16" s="71"/>
      <c r="DT16" s="66">
        <v>294</v>
      </c>
      <c r="DU16" s="59">
        <f>INDEX('1回目結果'!DR:DR,MATCH($DT16,'1回目結果'!$A:$A,0))</f>
        <v>0.35599999999999998</v>
      </c>
      <c r="DV16" s="59">
        <f>INDEX('1回目結果'!DS:DS,MATCH($DT16,'1回目結果'!$A:$A,0))</f>
        <v>59.28</v>
      </c>
      <c r="DW16" s="59">
        <f>INDEX('1回目結果'!DT:DT,MATCH($DT16,'1回目結果'!$A:$A,0))</f>
        <v>0.6</v>
      </c>
      <c r="DX16" s="59">
        <f>INDEX('1回目結果'!DU:DU,MATCH($DT16,'1回目結果'!$A:$A,0))</f>
        <v>10</v>
      </c>
      <c r="DY16" s="59">
        <f>IFERROR(INDEX('1回目結果'!DL:DL,MATCH('2回目結果'!$DT16,'1回目結果'!$A:$A,0)),"")</f>
        <v>0</v>
      </c>
      <c r="DZ16" s="59">
        <f>IFERROR(INDEX('1回目結果'!DM:DM,MATCH('2回目結果'!$DT16,'1回目結果'!$A:$A,0)),"")</f>
        <v>5.4</v>
      </c>
      <c r="EA16" s="59">
        <f>IFERROR(INDEX('1回目結果'!DN:DN,MATCH('2回目結果'!$DT16,'1回目結果'!$A:$A,0)),"")</f>
        <v>3.6</v>
      </c>
      <c r="EB16" s="59">
        <f>IFERROR(INDEX('1回目結果'!DO:DO,MATCH('2回目結果'!$DT16,'1回目結果'!$A:$A,0)),"")</f>
        <v>9</v>
      </c>
      <c r="EC16" s="59">
        <f>IFERROR(INDEX('1回目結果'!DP:DP,MATCH('2回目結果'!$DT16,'1回目結果'!$A:$A,0)),"")</f>
        <v>0</v>
      </c>
      <c r="ED16" s="59" t="str">
        <f>IFERROR(INDEX('1回目結果'!DQ:DQ,MATCH('2回目結果'!$DT16,'1回目結果'!$A:$A,0)),"")</f>
        <v>〇</v>
      </c>
      <c r="EE16" s="54">
        <v>0.68</v>
      </c>
      <c r="EF16" s="54">
        <v>81.540000000000006</v>
      </c>
      <c r="EG16" s="54">
        <v>0.83</v>
      </c>
      <c r="EH16" s="54">
        <v>42</v>
      </c>
      <c r="EI16" s="43" t="s">
        <v>115</v>
      </c>
      <c r="EJ16" s="44">
        <f t="shared" si="45"/>
        <v>4.2</v>
      </c>
      <c r="EK16" s="44"/>
      <c r="EL16">
        <f t="shared" si="46"/>
        <v>5</v>
      </c>
      <c r="EM16">
        <f t="shared" si="47"/>
        <v>0.39999999999999991</v>
      </c>
    </row>
    <row r="17" spans="1:143" ht="15.75" customHeight="1">
      <c r="A17" s="7">
        <v>336</v>
      </c>
      <c r="B17" s="24" t="s">
        <v>140</v>
      </c>
      <c r="C17" s="52">
        <v>36423</v>
      </c>
      <c r="D17" s="38">
        <v>25</v>
      </c>
      <c r="E17" s="1">
        <f>IF(('2回目フォームの回答 '!C17="そうだ"),1,(IF(('2回目フォームの回答 '!C17="まぁそうだ"),2,(IF(('2回目フォームの回答 '!C17="ややちがう"),3,(IF(('2回目フォームの回答 '!C17="ちがう"),4,"")))))))</f>
        <v>3</v>
      </c>
      <c r="F17" s="1">
        <f>IF(('2回目フォームの回答 '!D17="そうだ"),1,(IF(('2回目フォームの回答 '!D17="まぁそうだ"),2,(IF(('2回目フォームの回答 '!D17="ややちがう"),3,(IF(('2回目フォームの回答 '!D17="ちがう"),4,"")))))))</f>
        <v>3</v>
      </c>
      <c r="G17" s="1">
        <f>IF(('2回目フォームの回答 '!E17="そうだ"),1,(IF(('2回目フォームの回答 '!E17="まぁそうだ"),2,(IF(('2回目フォームの回答 '!E17="ややちがう"),3,(IF(('2回目フォームの回答 '!E17="ちがう"),4,"")))))))</f>
        <v>1</v>
      </c>
      <c r="H17" s="1">
        <f>IF(('2回目フォームの回答 '!F17="そうだ"),1,(IF(('2回目フォームの回答 '!F17="まぁそうだ"),2,(IF(('2回目フォームの回答 '!F17="ややちがう"),3,(IF(('2回目フォームの回答 '!F17="ちがう"),4,"")))))))</f>
        <v>2</v>
      </c>
      <c r="I17" s="1">
        <f>IF(('2回目フォームの回答 '!G17="そうだ"),1,(IF(('2回目フォームの回答 '!G17="まぁそうだ"),2,(IF(('2回目フォームの回答 '!G17="ややちがう"),3,(IF(('2回目フォームの回答 '!G17="ちがう"),4,"")))))))</f>
        <v>2</v>
      </c>
      <c r="J17" s="1">
        <f>IF(('2回目フォームの回答 '!H17="そうだ"),1,(IF(('2回目フォームの回答 '!H17="まぁそうだ"),2,(IF(('2回目フォームの回答 '!H17="ややちがう"),3,(IF(('2回目フォームの回答 '!H17="ちがう"),4,"")))))))</f>
        <v>2</v>
      </c>
      <c r="K17" s="1">
        <f>IF(('2回目フォームの回答 '!I17="そうだ"),1,(IF(('2回目フォームの回答 '!I17="まぁそうだ"),2,(IF(('2回目フォームの回答 '!I17="ややちがう"),3,(IF(('2回目フォームの回答 '!I17="ちがう"),4,"")))))))</f>
        <v>4</v>
      </c>
      <c r="L17" s="1">
        <f>IF(('2回目フォームの回答 '!J17="そうだ"),1,(IF(('2回目フォームの回答 '!J17="まぁそうだ"),2,(IF(('2回目フォームの回答 '!J17="ややちがう"),3,(IF(('2回目フォームの回答 '!J17="ちがう"),4,"")))))))</f>
        <v>2</v>
      </c>
      <c r="M17" s="1">
        <f>IF(('2回目フォームの回答 '!K17="そうだ"),1,(IF(('2回目フォームの回答 '!K17="まぁそうだ"),2,(IF(('2回目フォームの回答 '!K17="ややちがう"),3,(IF(('2回目フォームの回答 '!K17="ちがう"),4,"")))))))</f>
        <v>2</v>
      </c>
      <c r="N17" s="1">
        <f>IF(('2回目フォームの回答 '!L17="そうだ"),1,(IF(('2回目フォームの回答 '!L17="まぁそうだ"),2,(IF(('2回目フォームの回答 '!L17="ややちがう"),3,(IF(('2回目フォームの回答 '!L17="ちがう"),4,"")))))))</f>
        <v>2</v>
      </c>
      <c r="O17" s="1">
        <f>IF(('2回目フォームの回答 '!M17="そうだ"),1,(IF(('2回目フォームの回答 '!M17="まぁそうだ"),2,(IF(('2回目フォームの回答 '!M17="ややちがう"),3,(IF(('2回目フォームの回答 '!M17="ちがう"),4,"")))))))</f>
        <v>4</v>
      </c>
      <c r="P17" s="1">
        <f>IF(('2回目フォームの回答 '!N17="そうだ"),1,(IF(('2回目フォームの回答 '!N17="まぁそうだ"),2,(IF(('2回目フォームの回答 '!N17="ややちがう"),3,(IF(('2回目フォームの回答 '!N17="ちがう"),4,"")))))))</f>
        <v>2</v>
      </c>
      <c r="Q17" s="1">
        <f>IF(('2回目フォームの回答 '!O17="そうだ"),1,(IF(('2回目フォームの回答 '!O17="まぁそうだ"),2,(IF(('2回目フォームの回答 '!O17="ややちがう"),3,(IF(('2回目フォームの回答 '!O17="ちがう"),4,"")))))))</f>
        <v>4</v>
      </c>
      <c r="R17" s="1">
        <f>IF(('2回目フォームの回答 '!P17="そうだ"),1,(IF(('2回目フォームの回答 '!P17="まぁそうだ"),2,(IF(('2回目フォームの回答 '!P17="ややちがう"),3,(IF(('2回目フォームの回答 '!P17="ちがう"),4,"")))))))</f>
        <v>2</v>
      </c>
      <c r="S17" s="1">
        <f>IF(('2回目フォームの回答 '!Q17="そうだ"),1,(IF(('2回目フォームの回答 '!Q17="まぁそうだ"),2,(IF(('2回目フォームの回答 '!Q17="ややちがう"),3,(IF(('2回目フォームの回答 '!Q17="ちがう"),4,"")))))))</f>
        <v>1</v>
      </c>
      <c r="T17" s="1">
        <f>IF(('2回目フォームの回答 '!R17="そうだ"),1,(IF(('2回目フォームの回答 '!R17="まぁそうだ"),2,(IF(('2回目フォームの回答 '!R17="ややちがう"),3,(IF(('2回目フォームの回答 '!R17="ちがう"),4,"")))))))</f>
        <v>2</v>
      </c>
      <c r="U17" s="1">
        <f>IF(('2回目フォームの回答 '!S17="そうだ"),1,(IF(('2回目フォームの回答 '!S17="まぁそうだ"),2,(IF(('2回目フォームの回答 '!S17="ややちがう"),3,(IF(('2回目フォームの回答 '!S17="ちがう"),4,"")))))))</f>
        <v>2</v>
      </c>
      <c r="V17" s="1">
        <f t="shared" si="48"/>
        <v>8</v>
      </c>
      <c r="W17" s="1">
        <f t="shared" si="11"/>
        <v>3</v>
      </c>
      <c r="X17" s="1">
        <f t="shared" si="12"/>
        <v>9</v>
      </c>
      <c r="Y17" s="1">
        <f t="shared" si="13"/>
        <v>4</v>
      </c>
      <c r="Z17" s="1">
        <f t="shared" si="14"/>
        <v>1</v>
      </c>
      <c r="AA17" s="1">
        <f t="shared" si="15"/>
        <v>2</v>
      </c>
      <c r="AB17" s="1">
        <f t="shared" si="16"/>
        <v>6</v>
      </c>
      <c r="AC17" s="1">
        <f t="shared" si="17"/>
        <v>3</v>
      </c>
      <c r="AD17" s="1">
        <f t="shared" si="18"/>
        <v>4</v>
      </c>
      <c r="AE17" s="1">
        <f t="shared" si="0"/>
        <v>5</v>
      </c>
      <c r="AF17" s="1">
        <f t="shared" si="19"/>
        <v>9</v>
      </c>
      <c r="AG17" s="1">
        <f t="shared" si="1"/>
        <v>2</v>
      </c>
      <c r="AH17" s="1">
        <f t="shared" si="20"/>
        <v>4</v>
      </c>
      <c r="AI17" s="1">
        <f t="shared" si="21"/>
        <v>2</v>
      </c>
      <c r="AJ17" s="1">
        <f t="shared" si="22"/>
        <v>3</v>
      </c>
      <c r="AK17" s="1">
        <f t="shared" si="23"/>
        <v>3</v>
      </c>
      <c r="AL17" s="1">
        <f t="shared" si="24"/>
        <v>3</v>
      </c>
      <c r="AM17" s="1">
        <f t="shared" si="25"/>
        <v>3</v>
      </c>
      <c r="AN17" s="1">
        <f>IF(('2回目フォームの回答 '!T17="ほとんどなかった"),1,(IF(('2回目フォームの回答 '!T17="ときどきあった"),2,(IF(('2回目フォームの回答 '!T17="しばしばあった"),3,(IF(('2回目フォームの回答 '!T17="ほとんどいつもあった"),4,"")))))))</f>
        <v>3</v>
      </c>
      <c r="AO17" s="1">
        <f>IF(('2回目フォームの回答 '!U17="ほとんどなかった"),1,(IF(('2回目フォームの回答 '!U17="ときどきあった"),2,(IF(('2回目フォームの回答 '!U17="しばしばあった"),3,(IF(('2回目フォームの回答 '!U17="ほとんどいつもあった"),4,"")))))))</f>
        <v>3</v>
      </c>
      <c r="AP17" s="1">
        <f>IF(('2回目フォームの回答 '!V17="ほとんどなかった"),1,(IF(('2回目フォームの回答 '!V17="ときどきあった"),2,(IF(('2回目フォームの回答 '!V17="しばしばあった"),3,(IF(('2回目フォームの回答 '!V17="ほとんどいつもあった"),4,"")))))))</f>
        <v>2</v>
      </c>
      <c r="AQ17" s="1">
        <f>IF(('2回目フォームの回答 '!W17="ほとんどなかった"),1,(IF(('2回目フォームの回答 '!W17="ときどきあった"),2,(IF(('2回目フォームの回答 '!W17="しばしばあった"),3,(IF(('2回目フォームの回答 '!W17="ほとんどいつもあった"),4,"")))))))</f>
        <v>2</v>
      </c>
      <c r="AR17" s="1">
        <f>IF(('2回目フォームの回答 '!X17="ほとんどなかった"),1,(IF(('2回目フォームの回答 '!X17="ときどきあった"),2,(IF(('2回目フォームの回答 '!X17="しばしばあった"),3,(IF(('2回目フォームの回答 '!X17="ほとんどいつもあった"),4,"")))))))</f>
        <v>2</v>
      </c>
      <c r="AS17" s="1">
        <f>IF(('2回目フォームの回答 '!Y17="ほとんどなかった"),1,(IF(('2回目フォームの回答 '!Y17="ときどきあった"),2,(IF(('2回目フォームの回答 '!Y17="しばしばあった"),3,(IF(('2回目フォームの回答 '!Y17="ほとんどいつもあった"),4,"")))))))</f>
        <v>2</v>
      </c>
      <c r="AT17" s="1">
        <f>IF(('2回目フォームの回答 '!Z17="ほとんどなかった"),1,(IF(('2回目フォームの回答 '!Z17="ときどきあった"),2,(IF(('2回目フォームの回答 '!Z17="しばしばあった"),3,(IF(('2回目フォームの回答 '!Z17="ほとんどいつもあった"),4,"")))))))</f>
        <v>2</v>
      </c>
      <c r="AU17" s="1">
        <f>IF(('2回目フォームの回答 '!AA17="ほとんどなかった"),1,(IF(('2回目フォームの回答 '!AA17="ときどきあった"),2,(IF(('2回目フォームの回答 '!AA17="しばしばあった"),3,(IF(('2回目フォームの回答 '!AA17="ほとんどいつもあった"),4,"")))))))</f>
        <v>2</v>
      </c>
      <c r="AV17" s="1">
        <f>IF(('2回目フォームの回答 '!AB17="ほとんどなかった"),1,(IF(('2回目フォームの回答 '!AB17="ときどきばあった"),2,(IF(('2回目フォームの回答 '!AB17="しばしばあった"),3,(IF(('2回目フォームの回答 '!AB17="ほとんどいつもあった"),4,"")))))))</f>
        <v>3</v>
      </c>
      <c r="AW17" s="1">
        <f>IF(('2回目フォームの回答 '!AC17="ほとんどなかった"),1,(IF(('2回目フォームの回答 '!AC17="ときどきあった"),2,(IF(('2回目フォームの回答 '!AC17="しばしばあった"),3,(IF(('2回目フォームの回答 '!AC17="ほとんどいつもあった"),4,"")))))))</f>
        <v>2</v>
      </c>
      <c r="AX17" s="1">
        <f>IF(('2回目フォームの回答 '!AD17="ほとんどなかった"),1,(IF(('2回目フォームの回答 '!AD17="ときどきあった"),2,(IF(('2回目フォームの回答 '!AD17="しばしばあった"),3,(IF(('2回目フォームの回答 '!AD17="ほとんどいつもあった"),4,"")))))))</f>
        <v>2</v>
      </c>
      <c r="AY17" s="1">
        <f>IF(('2回目フォームの回答 '!AE17="ほとんどなかった"),1,(IF(('2回目フォームの回答 '!AE17="ときどきあった"),2,(IF(('2回目フォームの回答 '!AE17="しばしばあった"),3,(IF(('2回目フォームの回答 '!AE17="ほとんどいつもあった"),4,"")))))))</f>
        <v>2</v>
      </c>
      <c r="AZ17" s="1">
        <f>IF(('2回目フォームの回答 '!AF17="ほとんどなかった"),1,(IF(('2回目フォームの回答 '!AF17="ときどきあった"),2,(IF(('2回目フォームの回答 '!AF17="しばしばあった"),3,(IF(('2回目フォームの回答 '!AF17="ほとんどいつもあった"),4,"")))))))</f>
        <v>2</v>
      </c>
      <c r="BA17" s="1">
        <f>IF(('2回目フォームの回答 '!AG17="ほとんどなかった"),1,(IF(('2回目フォームの回答 '!AG17="ときどきあった"),2,(IF(('2回目フォームの回答 '!AG17="しばしばあった"),3,(IF(('2回目フォームの回答 '!AG17="ほとんどいつもあった"),4,"")))))))</f>
        <v>3</v>
      </c>
      <c r="BB17" s="1">
        <f>IF(('2回目フォームの回答 '!AH17="ほとんどなかった"),1,(IF(('2回目フォームの回答 '!AH17="ときどきあった"),2,(IF(('2回目フォームの回答 '!AH17="しばしばあった"),3,(IF(('2回目フォームの回答 '!AH17="ほとんどいつもあった"),4,"")))))))</f>
        <v>3</v>
      </c>
      <c r="BC17" s="1">
        <f>IF(('2回目フォームの回答 '!AI17="ほとんどなかった"),1,(IF(('2回目フォームの回答 '!AI17="ときどきあった"),2,(IF(('2回目フォームの回答 '!AI17="しばしばあった"),3,(IF(('2回目フォームの回答 '!AI17="ほとんどいつもあった"),4,"")))))))</f>
        <v>2</v>
      </c>
      <c r="BD17" s="1">
        <f>IF(('2回目フォームの回答 '!AJ17="ほとんどなかった"),1,(IF(('2回目フォームの回答 '!AJ17="ときどきあった"),2,(IF(('2回目フォームの回答 '!AJ17="しばしばあった"),3,(IF(('2回目フォームの回答 '!AJ17="ほとんどいつもあった"),4,"")))))))</f>
        <v>2</v>
      </c>
      <c r="BE17" s="1">
        <f>IF(('2回目フォームの回答 '!AK17="ほとんどなかった"),1,(IF(('2回目フォームの回答 '!AK17="ときどきあった"),2,(IF(('2回目フォームの回答 '!AK17="しばしばあった"),3,(IF(('2回目フォームの回答 '!AK17="ほとんどいつもあった"),4,"")))))))</f>
        <v>1</v>
      </c>
      <c r="BF17" s="1">
        <f>IF(('2回目フォームの回答 '!AL17="ほとんどなかった"),1,(IF(('2回目フォームの回答 '!AL17="ときどきあった"),2,(IF(('2回目フォームの回答 '!AL17="しばしばあった"),3,(IF(('2回目フォームの回答 '!AL17="ほとんどいつもあった"),4,"")))))))</f>
        <v>2</v>
      </c>
      <c r="BG17" s="1">
        <f>IF(('2回目フォームの回答 '!AM17="ほとんどなかった"),1,(IF(('2回目フォームの回答 '!AM17="ときどきあった"),2,(IF(('2回目フォームの回答 '!AM17="しばしばあった"),3,(IF(('2回目フォームの回答 '!AM17="ほとんどいつもあった"),4,"")))))))</f>
        <v>1</v>
      </c>
      <c r="BH17" s="1">
        <f>IF(('2回目フォームの回答 '!AN17="ほとんどなかった"),1,(IF(('2回目フォームの回答 '!AN17="ときどきあった"),2,(IF(('2回目フォームの回答 '!AN17="しばしばあった"),3,(IF(('2回目フォームの回答 '!AN17="ほとんどいつもあった"),4,"")))))))</f>
        <v>2</v>
      </c>
      <c r="BI17" s="1">
        <f>IF(('2回目フォームの回答 '!AO17="ほとんどなかった"),1,(IF(('2回目フォームの回答 '!AO17="ときどきあった"),2,(IF(('2回目フォームの回答 '!AO17="しばしばあった"),3,(IF(('2回目フォームの回答 '!AO17="ほとんどいつもあった"),4,"")))))))</f>
        <v>3</v>
      </c>
      <c r="BJ17" s="1">
        <f>IF(('2回目フォームの回答 '!AP17="ほとんどなかった"),1,(IF(('2回目フォームの回答 '!AP17="ときどきあった"),2,(IF(('2回目フォームの回答 '!AP17="しばしばあった"),3,(IF(('2回目フォームの回答 '!AP17="ほとんどいつもあった"),4,"")))))))</f>
        <v>2</v>
      </c>
      <c r="BK17" s="1">
        <f>IF(('2回目フォームの回答 '!AQ17="ほとんどなかった"),1,(IF(('2回目フォームの回答 '!AQ17="ときどきあった"),2,(IF(('2回目フォームの回答 '!AQ17="しばしばあった"),3,(IF(('2回目フォームの回答 '!AQ17="ほとんどいつもあった"),4,"")))))))</f>
        <v>3</v>
      </c>
      <c r="BL17" s="1">
        <f>IF(('2回目フォームの回答 '!AR17="ほとんどなかった"),1,(IF(('2回目フォームの回答 '!AR17="ときどきあった"),2,(IF(('2回目フォームの回答 '!AR17="しばしばあった"),3,(IF(('2回目フォームの回答 '!AR17="ほとんどいつもあった"),4,"")))))))</f>
        <v>1</v>
      </c>
      <c r="BM17" s="1">
        <f>IF(('2回目フォームの回答 '!AS17="ほとんどなかった"),1,(IF(('2回目フォームの回答 '!AS17="ときどきあった"),2,(IF(('2回目フォームの回答 '!AS17="しばしばあった"),3,(IF(('2回目フォームの回答 '!AS17="ほとんどいつもあった"),4,"")))))))</f>
        <v>2</v>
      </c>
      <c r="BN17" s="1">
        <f>IF(('2回目フォームの回答 '!AT17="ほとんどなかった"),1,(IF(('2回目フォームの回答 '!AT17="ときどきあった"),2,(IF(('2回目フォームの回答 '!AT17="しばしばあった"),3,(IF(('2回目フォームの回答 '!AT17="ほとんどいつもあった"),4,"")))))))</f>
        <v>1</v>
      </c>
      <c r="BO17" s="1">
        <f>IF(('2回目フォームの回答 '!AU17="ほとんどなかった"),1,(IF(('2回目フォームの回答 '!AU17="ときどきあった"),2,(IF(('2回目フォームの回答 '!AU17="しばしばあった"),3,(IF(('2回目フォームの回答 '!AU17="ほとんどいつもあった"),4,"")))))))</f>
        <v>3</v>
      </c>
      <c r="BP17" s="1">
        <f>IF(('2回目フォームの回答 '!AV17="ほとんどなかった"),1,(IF(('2回目フォームの回答 '!AV17="ときどきあった"),2,(IF(('2回目フォームの回答 '!AV17="しばしばあった"),3,(IF(('2回目フォームの回答 '!AV17="ほとんどいつもあった"),4,"")))))))</f>
        <v>2</v>
      </c>
      <c r="BQ17" s="1">
        <f t="shared" si="26"/>
        <v>8</v>
      </c>
      <c r="BR17" s="1">
        <f t="shared" si="27"/>
        <v>2</v>
      </c>
      <c r="BS17" s="1">
        <f t="shared" si="28"/>
        <v>6</v>
      </c>
      <c r="BT17" s="1">
        <f t="shared" si="2"/>
        <v>3</v>
      </c>
      <c r="BU17" s="1">
        <f t="shared" si="3"/>
        <v>7</v>
      </c>
      <c r="BV17" s="1">
        <f t="shared" si="4"/>
        <v>3</v>
      </c>
      <c r="BW17" s="1">
        <f t="shared" si="29"/>
        <v>6</v>
      </c>
      <c r="BX17" s="1">
        <f t="shared" si="5"/>
        <v>3</v>
      </c>
      <c r="BY17" s="1">
        <f t="shared" si="30"/>
        <v>13</v>
      </c>
      <c r="BZ17" s="1">
        <f t="shared" si="6"/>
        <v>4</v>
      </c>
      <c r="CA17" s="1">
        <f t="shared" si="31"/>
        <v>22</v>
      </c>
      <c r="CB17" s="1">
        <f t="shared" si="32"/>
        <v>3</v>
      </c>
      <c r="CC17" s="1">
        <f>IF(('2回目フォームの回答 '!AW17="非常に"),1,(IF(('2回目フォームの回答 '!AW17="かなり"),2,(IF(('2回目フォームの回答 '!AW17="多少"),3,(IF(('2回目フォームの回答 '!AW17="全くない"),4,"")))))))</f>
        <v>3</v>
      </c>
      <c r="CD17" s="1">
        <f>IF(('2回目フォームの回答 '!AX17="非常に"),1,(IF(('2回目フォームの回答 '!AX17="かなり"),2,(IF(('2回目フォームの回答 '!AX17="多少"),3,(IF(('2回目フォームの回答 '!AX17="全くない"),4,"")))))))</f>
        <v>1</v>
      </c>
      <c r="CE17" s="1">
        <f>IF(('2回目フォームの回答 '!AY17="非常に"),1,(IF(('2回目フォームの回答 '!AY17="かなり"),2,(IF(('2回目フォームの回答 '!AY17="多少"),3,(IF(('2回目フォームの回答 '!AY17="全くない"),4,"")))))))</f>
        <v>1</v>
      </c>
      <c r="CF17" s="1">
        <f>IF(('2回目フォームの回答 '!AZ17="非常に"),1,(IF(('2回目フォームの回答 '!AZ17="かなり"),2,(IF(('2回目フォームの回答 '!AZ17="多少"),3,(IF(('2回目フォームの回答 '!AZ17="全くない"),4,"")))))))</f>
        <v>3</v>
      </c>
      <c r="CG17" s="1">
        <f>IF(('2回目フォームの回答 '!BA17="非常に"),1,(IF(('2回目フォームの回答 '!BA17="かなり"),2,(IF(('2回目フォームの回答 '!BA17="多少"),3,(IF(('2回目フォームの回答 '!BA17="全くない"),4,"")))))))</f>
        <v>2</v>
      </c>
      <c r="CH17" s="1">
        <f>IF(('2回目フォームの回答 '!BB17="非常に"),1,(IF(('2回目フォームの回答 '!BB17="かなり"),2,(IF(('2回目フォームの回答 '!BB17="多少"),3,(IF(('2回目フォームの回答 '!BB17="全くない"),4,"")))))))</f>
        <v>1</v>
      </c>
      <c r="CI17" s="1">
        <f>IF(('2回目フォームの回答 '!BC17="非常に"),1,(IF(('2回目フォームの回答 '!BC17="かなり"),2,(IF(('2回目フォームの回答 '!BC17="多少"),3,(IF(('2回目フォームの回答 '!BC17="全くない"),4,"")))))))</f>
        <v>2</v>
      </c>
      <c r="CJ17" s="1">
        <f>IF(('2回目フォームの回答 '!BD17="非常に"),1,(IF(('2回目フォームの回答 '!BD17="かなり"),2,(IF(('2回目フォームの回答 '!BD17="多少"),3,(IF(('2回目フォームの回答 '!BD17="全くない"),4,"")))))))</f>
        <v>1</v>
      </c>
      <c r="CK17" s="1">
        <f>IF(('2回目フォームの回答 '!BE17="非常に"),1,(IF(('2回目フォームの回答 '!BE17="かなり"),2,(IF(('2回目フォームの回答 '!BE17="多少"),3,(IF(('2回目フォームの回答 '!BE17="全くない"),4,"")))))))</f>
        <v>1</v>
      </c>
      <c r="CL17" s="1">
        <f>IF(('2回目フォームの回答 '!BF17="満足"),1,(IF(('2回目フォームの回答 '!BF17="まぁ満足"),2,(IF(('2回目フォームの回答 '!BF17="やや満足"),3,(IF(('2回目フォームの回答 '!BF17="不満足"),4,"")))))))</f>
        <v>2</v>
      </c>
      <c r="CM17" s="1">
        <f>IF(('2回目フォームの回答 '!BG17="満足"),1,(IF(('2回目フォームの回答 '!BG17="まぁ満足"),2,(IF(('2回目フォームの回答 '!BG17="やや満足"),3,(IF(('2回目フォームの回答 '!BG17="不満足"),4,"")))))))</f>
        <v>1</v>
      </c>
      <c r="CN17" s="1">
        <f t="shared" si="33"/>
        <v>7</v>
      </c>
      <c r="CO17" s="1">
        <f t="shared" si="7"/>
        <v>3</v>
      </c>
      <c r="CP17" s="1">
        <f t="shared" si="34"/>
        <v>11</v>
      </c>
      <c r="CQ17" s="1">
        <f t="shared" si="8"/>
        <v>2</v>
      </c>
      <c r="CR17" s="1">
        <f t="shared" si="35"/>
        <v>12</v>
      </c>
      <c r="CS17" s="1">
        <f t="shared" si="36"/>
        <v>1</v>
      </c>
      <c r="CT17" s="1">
        <f t="shared" si="37"/>
        <v>7</v>
      </c>
      <c r="CU17" s="1">
        <f t="shared" si="9"/>
        <v>2</v>
      </c>
      <c r="CV17" s="1">
        <f t="shared" si="38"/>
        <v>18</v>
      </c>
      <c r="CW17" s="1">
        <f t="shared" si="39"/>
        <v>27</v>
      </c>
      <c r="CX17" s="1">
        <f t="shared" si="10"/>
        <v>6</v>
      </c>
      <c r="CY17" s="29" t="str">
        <f t="shared" si="40"/>
        <v>低</v>
      </c>
      <c r="CZ17" s="1">
        <f>'2回目フォームの回答 '!BH17</f>
        <v>0.5</v>
      </c>
      <c r="DA17" s="2">
        <f t="shared" si="41"/>
        <v>0.5</v>
      </c>
      <c r="DB17" s="1">
        <f>IF(('2回目フォームの回答 '!BI17="いつもより寝つきは良い"),0,(IF(('2回目フォームの回答 '!BI17="いつもより少し時間がかかった"),1,(IF(('2回目フォームの回答 '!BI17="いつもよりかなり時間がかかった"),2,(IF(('2回目フォームの回答 '!BI17="いつもより非常に時間がかかった、あるいは全く眠れなかった"),3,"")))))))</f>
        <v>1</v>
      </c>
      <c r="DC17" s="1">
        <f>IF(('2回目フォームの回答 '!BJ17="問題になるほどのことはなかった"),0,(IF(('2回目フォームの回答 '!BJ17="少し困ることがある"),1,(IF(('2回目フォームの回答 '!BJ17="かなり困っている"),2,(IF(('2回目フォームの回答 '!BJ17="深刻な状態、あるいは全く眠れなかった"),3,"")))))))</f>
        <v>1</v>
      </c>
      <c r="DD17" s="1">
        <f>IF(('2回目フォームの回答 '!BK17="そのようなことはなかった"),0,(IF(('2回目フォームの回答 '!BK17="少し早かった"),1,(IF(('2回目フォームの回答 '!BK17="かなり早かった"),2,(IF(('2回目フォームの回答 '!BK17="非常に早かった、あるいは全く眠れなかった"),3,"")))))))</f>
        <v>0</v>
      </c>
      <c r="DE17" s="1">
        <f>IF(('2回目フォームの回答 '!BL17="十分である"),0,(IF(('2回目フォームの回答 '!BL17="少し足りない"),1,(IF(('2回目フォームの回答 '!BL17="かなり足りない"),2,(IF(('2回目フォームの回答 '!BL17="全く足りない、あるいは全く眠れなかった"),3,"")))))))</f>
        <v>2</v>
      </c>
      <c r="DF17" s="1">
        <f>IF(('2回目フォームの回答 '!BM17="満足している"),0,(IF(('2回目フォームの回答 '!BM17="少し不満である"),1,(IF(('2回目フォームの回答 '!BM17="かなり不満である"),2,(IF(('2回目フォームの回答 '!BM17="非常に不満である、あるいは全く眠れなかった"),3,"")))))))</f>
        <v>2</v>
      </c>
      <c r="DG17" s="1">
        <f>IF(('2回目フォームの回答 '!BN17="いつもどおり"),0,(IF(('2回目フォームの回答 '!BN17="少し滅入った"),1,(IF(('2回目フォームの回答 '!BN17="かなり滅入った"),2,(IF(('2回目フォームの回答 '!BN17="非常に滅入った"),3,"")))))))</f>
        <v>1</v>
      </c>
      <c r="DH17" s="1">
        <f>IF(('2回目フォームの回答 '!BO17="いつもどおり"),0,(IF(('2回目フォームの回答 '!BO17="少し低下した"),1,(IF(('2回目フォームの回答 '!BO17="かなり低下した"),2,(IF(('2回目フォームの回答 '!BO17="非常に低下した"),3,"")))))))</f>
        <v>1</v>
      </c>
      <c r="DI17" s="1">
        <f>IF(('2回目フォームの回答 '!BP17="全くなかった"),0,(IF(('2回目フォームの回答 '!BP17="少しあった"),1,(IF(('2回目フォームの回答 '!BP17="かなりあった"),2,(IF(('2回目フォームの回答 '!BP17="激しかった"),3,"")))))))</f>
        <v>2</v>
      </c>
      <c r="DJ17">
        <f t="shared" si="42"/>
        <v>10</v>
      </c>
      <c r="DK17" s="4" t="str">
        <f t="shared" si="43"/>
        <v>高</v>
      </c>
      <c r="DL17" s="5">
        <v>10.8</v>
      </c>
      <c r="DM17" s="5">
        <v>11.7</v>
      </c>
      <c r="DN17" s="5">
        <v>3</v>
      </c>
      <c r="DO17" s="5">
        <f t="shared" si="44"/>
        <v>25.5</v>
      </c>
      <c r="DP17" s="5"/>
      <c r="DQ17" s="5"/>
      <c r="DR17" s="5"/>
      <c r="DS17" s="71">
        <v>0.30138888888888887</v>
      </c>
      <c r="DT17" s="66">
        <v>317</v>
      </c>
      <c r="DU17" s="59">
        <f>INDEX('1回目結果'!DR:DR,MATCH($DT17,'1回目結果'!$A:$A,0))</f>
        <v>0.29199999999999998</v>
      </c>
      <c r="DV17" s="59">
        <f>INDEX('1回目結果'!DS:DS,MATCH($DT17,'1回目結果'!$A:$A,0))</f>
        <v>32.44</v>
      </c>
      <c r="DW17" s="59">
        <f>INDEX('1回目結果'!DT:DT,MATCH($DT17,'1回目結果'!$A:$A,0))</f>
        <v>0.9</v>
      </c>
      <c r="DX17" s="59">
        <f>INDEX('1回目結果'!DU:DU,MATCH($DT17,'1回目結果'!$A:$A,0))</f>
        <v>10</v>
      </c>
      <c r="DY17" s="59">
        <f>IFERROR(INDEX('1回目結果'!DL:DL,MATCH('2回目結果'!$DT17,'1回目結果'!$A:$A,0)),"")</f>
        <v>13.1</v>
      </c>
      <c r="DZ17" s="59">
        <f>IFERROR(INDEX('1回目結果'!DM:DM,MATCH('2回目結果'!$DT17,'1回目結果'!$A:$A,0)),"")</f>
        <v>9.6</v>
      </c>
      <c r="EA17" s="59">
        <f>IFERROR(INDEX('1回目結果'!DN:DN,MATCH('2回目結果'!$DT17,'1回目結果'!$A:$A,0)),"")</f>
        <v>11.5</v>
      </c>
      <c r="EB17" s="59">
        <f>IFERROR(INDEX('1回目結果'!DO:DO,MATCH('2回目結果'!$DT17,'1回目結果'!$A:$A,0)),"")</f>
        <v>34.200000000000003</v>
      </c>
      <c r="EC17" s="59" t="str">
        <f>IFERROR(INDEX('1回目結果'!DP:DP,MATCH('2回目結果'!$DT17,'1回目結果'!$A:$A,0)),"")</f>
        <v>〇</v>
      </c>
      <c r="ED17" s="59">
        <f>IFERROR(INDEX('1回目結果'!DQ:DQ,MATCH('2回目結果'!$DT17,'1回目結果'!$A:$A,0)),"")</f>
        <v>0</v>
      </c>
      <c r="EE17" s="54">
        <v>1.028</v>
      </c>
      <c r="EF17" s="54">
        <v>49.64</v>
      </c>
      <c r="EG17" s="54">
        <v>2.0699999999999998</v>
      </c>
      <c r="EH17" s="54">
        <v>81</v>
      </c>
      <c r="EI17" s="55" t="s">
        <v>233</v>
      </c>
      <c r="EJ17" s="44">
        <f t="shared" si="45"/>
        <v>8.1</v>
      </c>
      <c r="EK17" s="44"/>
      <c r="EL17">
        <f t="shared" si="46"/>
        <v>-8.7000000000000028</v>
      </c>
      <c r="EM17">
        <f t="shared" si="47"/>
        <v>-8.5</v>
      </c>
    </row>
    <row r="18" spans="1:143" ht="15.75" customHeight="1">
      <c r="A18" s="1">
        <v>337</v>
      </c>
      <c r="B18" s="24" t="s">
        <v>139</v>
      </c>
      <c r="C18" s="52">
        <v>28396</v>
      </c>
      <c r="D18" s="38">
        <v>47</v>
      </c>
      <c r="E18" s="1">
        <f>IF(('2回目フォームの回答 '!C18="そうだ"),1,(IF(('2回目フォームの回答 '!C18="まぁそうだ"),2,(IF(('2回目フォームの回答 '!C18="ややちがう"),3,(IF(('2回目フォームの回答 '!C18="ちがう"),4,"")))))))</f>
        <v>1</v>
      </c>
      <c r="F18" s="1">
        <f>IF(('2回目フォームの回答 '!D18="そうだ"),1,(IF(('2回目フォームの回答 '!D18="まぁそうだ"),2,(IF(('2回目フォームの回答 '!D18="ややちがう"),3,(IF(('2回目フォームの回答 '!D18="ちがう"),4,"")))))))</f>
        <v>1</v>
      </c>
      <c r="G18" s="1">
        <f>IF(('2回目フォームの回答 '!E18="そうだ"),1,(IF(('2回目フォームの回答 '!E18="まぁそうだ"),2,(IF(('2回目フォームの回答 '!E18="ややちがう"),3,(IF(('2回目フォームの回答 '!E18="ちがう"),4,"")))))))</f>
        <v>1</v>
      </c>
      <c r="H18" s="1">
        <f>IF(('2回目フォームの回答 '!F18="そうだ"),1,(IF(('2回目フォームの回答 '!F18="まぁそうだ"),2,(IF(('2回目フォームの回答 '!F18="ややちがう"),3,(IF(('2回目フォームの回答 '!F18="ちがう"),4,"")))))))</f>
        <v>2</v>
      </c>
      <c r="I18" s="1">
        <f>IF(('2回目フォームの回答 '!G18="そうだ"),1,(IF(('2回目フォームの回答 '!G18="まぁそうだ"),2,(IF(('2回目フォームの回答 '!G18="ややちがう"),3,(IF(('2回目フォームの回答 '!G18="ちがう"),4,"")))))))</f>
        <v>2</v>
      </c>
      <c r="J18" s="1">
        <f>IF(('2回目フォームの回答 '!H18="そうだ"),1,(IF(('2回目フォームの回答 '!H18="まぁそうだ"),2,(IF(('2回目フォームの回答 '!H18="ややちがう"),3,(IF(('2回目フォームの回答 '!H18="ちがう"),4,"")))))))</f>
        <v>1</v>
      </c>
      <c r="K18" s="1">
        <f>IF(('2回目フォームの回答 '!I18="そうだ"),1,(IF(('2回目フォームの回答 '!I18="まぁそうだ"),2,(IF(('2回目フォームの回答 '!I18="ややちがう"),3,(IF(('2回目フォームの回答 '!I18="ちがう"),4,"")))))))</f>
        <v>4</v>
      </c>
      <c r="L18" s="1">
        <f>IF(('2回目フォームの回答 '!J18="そうだ"),1,(IF(('2回目フォームの回答 '!J18="まぁそうだ"),2,(IF(('2回目フォームの回答 '!J18="ややちがう"),3,(IF(('2回目フォームの回答 '!J18="ちがう"),4,"")))))))</f>
        <v>2</v>
      </c>
      <c r="M18" s="1">
        <f>IF(('2回目フォームの回答 '!K18="そうだ"),1,(IF(('2回目フォームの回答 '!K18="まぁそうだ"),2,(IF(('2回目フォームの回答 '!K18="ややちがう"),3,(IF(('2回目フォームの回答 '!K18="ちがう"),4,"")))))))</f>
        <v>2</v>
      </c>
      <c r="N18" s="1">
        <f>IF(('2回目フォームの回答 '!L18="そうだ"),1,(IF(('2回目フォームの回答 '!L18="まぁそうだ"),2,(IF(('2回目フォームの回答 '!L18="ややちがう"),3,(IF(('2回目フォームの回答 '!L18="ちがう"),4,"")))))))</f>
        <v>2</v>
      </c>
      <c r="O18" s="1">
        <f>IF(('2回目フォームの回答 '!M18="そうだ"),1,(IF(('2回目フォームの回答 '!M18="まぁそうだ"),2,(IF(('2回目フォームの回答 '!M18="ややちがう"),3,(IF(('2回目フォームの回答 '!M18="ちがう"),4,"")))))))</f>
        <v>3</v>
      </c>
      <c r="P18" s="1">
        <f>IF(('2回目フォームの回答 '!N18="そうだ"),1,(IF(('2回目フォームの回答 '!N18="まぁそうだ"),2,(IF(('2回目フォームの回答 '!N18="ややちがう"),3,(IF(('2回目フォームの回答 '!N18="ちがう"),4,"")))))))</f>
        <v>3</v>
      </c>
      <c r="Q18" s="1">
        <f>IF(('2回目フォームの回答 '!O18="そうだ"),1,(IF(('2回目フォームの回答 '!O18="まぁそうだ"),2,(IF(('2回目フォームの回答 '!O18="ややちがう"),3,(IF(('2回目フォームの回答 '!O18="ちがう"),4,"")))))))</f>
        <v>4</v>
      </c>
      <c r="R18" s="1">
        <f>IF(('2回目フォームの回答 '!P18="そうだ"),1,(IF(('2回目フォームの回答 '!P18="まぁそうだ"),2,(IF(('2回目フォームの回答 '!P18="ややちがう"),3,(IF(('2回目フォームの回答 '!P18="ちがう"),4,"")))))))</f>
        <v>2</v>
      </c>
      <c r="S18" s="1">
        <f>IF(('2回目フォームの回答 '!Q18="そうだ"),1,(IF(('2回目フォームの回答 '!Q18="まぁそうだ"),2,(IF(('2回目フォームの回答 '!Q18="ややちがう"),3,(IF(('2回目フォームの回答 '!Q18="ちがう"),4,"")))))))</f>
        <v>3</v>
      </c>
      <c r="T18" s="1">
        <f>IF(('2回目フォームの回答 '!R18="そうだ"),1,(IF(('2回目フォームの回答 '!R18="まぁそうだ"),2,(IF(('2回目フォームの回答 '!R18="ややちがう"),3,(IF(('2回目フォームの回答 '!R18="ちがう"),4,"")))))))</f>
        <v>3</v>
      </c>
      <c r="U18" s="1">
        <f>IF(('2回目フォームの回答 '!S18="そうだ"),1,(IF(('2回目フォームの回答 '!S18="まぁそうだ"),2,(IF(('2回目フォームの回答 '!S18="ややちがう"),3,(IF(('2回目フォームの回答 '!S18="ちがう"),4,"")))))))</f>
        <v>2</v>
      </c>
      <c r="V18" s="1">
        <f t="shared" si="48"/>
        <v>12</v>
      </c>
      <c r="W18" s="1">
        <f t="shared" si="11"/>
        <v>5</v>
      </c>
      <c r="X18" s="1">
        <f t="shared" si="12"/>
        <v>10</v>
      </c>
      <c r="Y18" s="1">
        <f t="shared" si="13"/>
        <v>4</v>
      </c>
      <c r="Z18" s="1">
        <f t="shared" si="14"/>
        <v>1</v>
      </c>
      <c r="AA18" s="1">
        <f t="shared" si="15"/>
        <v>2</v>
      </c>
      <c r="AB18" s="1">
        <f t="shared" si="16"/>
        <v>5</v>
      </c>
      <c r="AC18" s="1">
        <f t="shared" si="17"/>
        <v>2</v>
      </c>
      <c r="AD18" s="1">
        <f t="shared" si="18"/>
        <v>2</v>
      </c>
      <c r="AE18" s="1">
        <f t="shared" si="0"/>
        <v>3</v>
      </c>
      <c r="AF18" s="1">
        <f t="shared" si="19"/>
        <v>9</v>
      </c>
      <c r="AG18" s="1">
        <f t="shared" si="1"/>
        <v>2</v>
      </c>
      <c r="AH18" s="1">
        <f t="shared" si="20"/>
        <v>3</v>
      </c>
      <c r="AI18" s="1">
        <f t="shared" si="21"/>
        <v>3</v>
      </c>
      <c r="AJ18" s="1">
        <f t="shared" si="22"/>
        <v>2</v>
      </c>
      <c r="AK18" s="1">
        <f t="shared" si="23"/>
        <v>4</v>
      </c>
      <c r="AL18" s="1">
        <f t="shared" si="24"/>
        <v>3</v>
      </c>
      <c r="AM18" s="1">
        <f t="shared" si="25"/>
        <v>3</v>
      </c>
      <c r="AN18" s="1">
        <f>IF(('2回目フォームの回答 '!T18="ほとんどなかった"),1,(IF(('2回目フォームの回答 '!T18="ときどきあった"),2,(IF(('2回目フォームの回答 '!T18="しばしばあった"),3,(IF(('2回目フォームの回答 '!T18="ほとんどいつもあった"),4,"")))))))</f>
        <v>4</v>
      </c>
      <c r="AO18" s="1">
        <f>IF(('2回目フォームの回答 '!U18="ほとんどなかった"),1,(IF(('2回目フォームの回答 '!U18="ときどきあった"),2,(IF(('2回目フォームの回答 '!U18="しばしばあった"),3,(IF(('2回目フォームの回答 '!U18="ほとんどいつもあった"),4,"")))))))</f>
        <v>4</v>
      </c>
      <c r="AP18" s="1">
        <f>IF(('2回目フォームの回答 '!V18="ほとんどなかった"),1,(IF(('2回目フォームの回答 '!V18="ときどきあった"),2,(IF(('2回目フォームの回答 '!V18="しばしばあった"),3,(IF(('2回目フォームの回答 '!V18="ほとんどいつもあった"),4,"")))))))</f>
        <v>4</v>
      </c>
      <c r="AQ18" s="1">
        <f>IF(('2回目フォームの回答 '!W18="ほとんどなかった"),1,(IF(('2回目フォームの回答 '!W18="ときどきあった"),2,(IF(('2回目フォームの回答 '!W18="しばしばあった"),3,(IF(('2回目フォームの回答 '!W18="ほとんどいつもあった"),4,"")))))))</f>
        <v>2</v>
      </c>
      <c r="AR18" s="1">
        <f>IF(('2回目フォームの回答 '!X18="ほとんどなかった"),1,(IF(('2回目フォームの回答 '!X18="ときどきあった"),2,(IF(('2回目フォームの回答 '!X18="しばしばあった"),3,(IF(('2回目フォームの回答 '!X18="ほとんどいつもあった"),4,"")))))))</f>
        <v>2</v>
      </c>
      <c r="AS18" s="1">
        <f>IF(('2回目フォームの回答 '!Y18="ほとんどなかった"),1,(IF(('2回目フォームの回答 '!Y18="ときどきあった"),2,(IF(('2回目フォームの回答 '!Y18="しばしばあった"),3,(IF(('2回目フォームの回答 '!Y18="ほとんどいつもあった"),4,"")))))))</f>
        <v>1</v>
      </c>
      <c r="AT18" s="1">
        <f>IF(('2回目フォームの回答 '!Z18="ほとんどなかった"),1,(IF(('2回目フォームの回答 '!Z18="ときどきあった"),2,(IF(('2回目フォームの回答 '!Z18="しばしばあった"),3,(IF(('2回目フォームの回答 '!Z18="ほとんどいつもあった"),4,"")))))))</f>
        <v>1</v>
      </c>
      <c r="AU18" s="1">
        <f>IF(('2回目フォームの回答 '!AA18="ほとんどなかった"),1,(IF(('2回目フォームの回答 '!AA18="ときどきあった"),2,(IF(('2回目フォームの回答 '!AA18="しばしばあった"),3,(IF(('2回目フォームの回答 '!AA18="ほとんどいつもあった"),4,"")))))))</f>
        <v>1</v>
      </c>
      <c r="AV18" s="1">
        <f>IF(('2回目フォームの回答 '!AB18="ほとんどなかった"),1,(IF(('2回目フォームの回答 '!AB18="ときどきばあった"),2,(IF(('2回目フォームの回答 '!AB18="しばしばあった"),3,(IF(('2回目フォームの回答 '!AB18="ほとんどいつもあった"),4,"")))))))</f>
        <v>1</v>
      </c>
      <c r="AW18" s="1">
        <f>IF(('2回目フォームの回答 '!AC18="ほとんどなかった"),1,(IF(('2回目フォームの回答 '!AC18="ときどきあった"),2,(IF(('2回目フォームの回答 '!AC18="しばしばあった"),3,(IF(('2回目フォームの回答 '!AC18="ほとんどいつもあった"),4,"")))))))</f>
        <v>1</v>
      </c>
      <c r="AX18" s="1">
        <f>IF(('2回目フォームの回答 '!AD18="ほとんどなかった"),1,(IF(('2回目フォームの回答 '!AD18="ときどきあった"),2,(IF(('2回目フォームの回答 '!AD18="しばしばあった"),3,(IF(('2回目フォームの回答 '!AD18="ほとんどいつもあった"),4,"")))))))</f>
        <v>1</v>
      </c>
      <c r="AY18" s="1">
        <f>IF(('2回目フォームの回答 '!AE18="ほとんどなかった"),1,(IF(('2回目フォームの回答 '!AE18="ときどきあった"),2,(IF(('2回目フォームの回答 '!AE18="しばしばあった"),3,(IF(('2回目フォームの回答 '!AE18="ほとんどいつもあった"),4,"")))))))</f>
        <v>1</v>
      </c>
      <c r="AZ18" s="1">
        <f>IF(('2回目フォームの回答 '!AF18="ほとんどなかった"),1,(IF(('2回目フォームの回答 '!AF18="ときどきあった"),2,(IF(('2回目フォームの回答 '!AF18="しばしばあった"),3,(IF(('2回目フォームの回答 '!AF18="ほとんどいつもあった"),4,"")))))))</f>
        <v>1</v>
      </c>
      <c r="BA18" s="1">
        <f>IF(('2回目フォームの回答 '!AG18="ほとんどなかった"),1,(IF(('2回目フォームの回答 '!AG18="ときどきあった"),2,(IF(('2回目フォームの回答 '!AG18="しばしばあった"),3,(IF(('2回目フォームの回答 '!AG18="ほとんどいつもあった"),4,"")))))))</f>
        <v>1</v>
      </c>
      <c r="BB18" s="1">
        <f>IF(('2回目フォームの回答 '!AH18="ほとんどなかった"),1,(IF(('2回目フォームの回答 '!AH18="ときどきあった"),2,(IF(('2回目フォームの回答 '!AH18="しばしばあった"),3,(IF(('2回目フォームの回答 '!AH18="ほとんどいつもあった"),4,"")))))))</f>
        <v>1</v>
      </c>
      <c r="BC18" s="1">
        <f>IF(('2回目フォームの回答 '!AI18="ほとんどなかった"),1,(IF(('2回目フォームの回答 '!AI18="ときどきあった"),2,(IF(('2回目フォームの回答 '!AI18="しばしばあった"),3,(IF(('2回目フォームの回答 '!AI18="ほとんどいつもあった"),4,"")))))))</f>
        <v>1</v>
      </c>
      <c r="BD18" s="1">
        <f>IF(('2回目フォームの回答 '!AJ18="ほとんどなかった"),1,(IF(('2回目フォームの回答 '!AJ18="ときどきあった"),2,(IF(('2回目フォームの回答 '!AJ18="しばしばあった"),3,(IF(('2回目フォームの回答 '!AJ18="ほとんどいつもあった"),4,"")))))))</f>
        <v>1</v>
      </c>
      <c r="BE18" s="1">
        <f>IF(('2回目フォームの回答 '!AK18="ほとんどなかった"),1,(IF(('2回目フォームの回答 '!AK18="ときどきあった"),2,(IF(('2回目フォームの回答 '!AK18="しばしばあった"),3,(IF(('2回目フォームの回答 '!AK18="ほとんどいつもあった"),4,"")))))))</f>
        <v>1</v>
      </c>
      <c r="BF18" s="1">
        <f>IF(('2回目フォームの回答 '!AL18="ほとんどなかった"),1,(IF(('2回目フォームの回答 '!AL18="ときどきあった"),2,(IF(('2回目フォームの回答 '!AL18="しばしばあった"),3,(IF(('2回目フォームの回答 '!AL18="ほとんどいつもあった"),4,"")))))))</f>
        <v>1</v>
      </c>
      <c r="BG18" s="1">
        <f>IF(('2回目フォームの回答 '!AM18="ほとんどなかった"),1,(IF(('2回目フォームの回答 '!AM18="ときどきあった"),2,(IF(('2回目フォームの回答 '!AM18="しばしばあった"),3,(IF(('2回目フォームの回答 '!AM18="ほとんどいつもあった"),4,"")))))))</f>
        <v>1</v>
      </c>
      <c r="BH18" s="1">
        <f>IF(('2回目フォームの回答 '!AN18="ほとんどなかった"),1,(IF(('2回目フォームの回答 '!AN18="ときどきあった"),2,(IF(('2回目フォームの回答 '!AN18="しばしばあった"),3,(IF(('2回目フォームの回答 '!AN18="ほとんどいつもあった"),4,"")))))))</f>
        <v>1</v>
      </c>
      <c r="BI18" s="1">
        <f>IF(('2回目フォームの回答 '!AO18="ほとんどなかった"),1,(IF(('2回目フォームの回答 '!AO18="ときどきあった"),2,(IF(('2回目フォームの回答 '!AO18="しばしばあった"),3,(IF(('2回目フォームの回答 '!AO18="ほとんどいつもあった"),4,"")))))))</f>
        <v>1</v>
      </c>
      <c r="BJ18" s="1">
        <f>IF(('2回目フォームの回答 '!AP18="ほとんどなかった"),1,(IF(('2回目フォームの回答 '!AP18="ときどきあった"),2,(IF(('2回目フォームの回答 '!AP18="しばしばあった"),3,(IF(('2回目フォームの回答 '!AP18="ほとんどいつもあった"),4,"")))))))</f>
        <v>1</v>
      </c>
      <c r="BK18" s="1">
        <f>IF(('2回目フォームの回答 '!AQ18="ほとんどなかった"),1,(IF(('2回目フォームの回答 '!AQ18="ときどきあった"),2,(IF(('2回目フォームの回答 '!AQ18="しばしばあった"),3,(IF(('2回目フォームの回答 '!AQ18="ほとんどいつもあった"),4,"")))))))</f>
        <v>2</v>
      </c>
      <c r="BL18" s="1">
        <f>IF(('2回目フォームの回答 '!AR18="ほとんどなかった"),1,(IF(('2回目フォームの回答 '!AR18="ときどきあった"),2,(IF(('2回目フォームの回答 '!AR18="しばしばあった"),3,(IF(('2回目フォームの回答 '!AR18="ほとんどいつもあった"),4,"")))))))</f>
        <v>1</v>
      </c>
      <c r="BM18" s="1">
        <f>IF(('2回目フォームの回答 '!AS18="ほとんどなかった"),1,(IF(('2回目フォームの回答 '!AS18="ときどきあった"),2,(IF(('2回目フォームの回答 '!AS18="しばしばあった"),3,(IF(('2回目フォームの回答 '!AS18="ほとんどいつもあった"),4,"")))))))</f>
        <v>1</v>
      </c>
      <c r="BN18" s="1">
        <f>IF(('2回目フォームの回答 '!AT18="ほとんどなかった"),1,(IF(('2回目フォームの回答 '!AT18="ときどきあった"),2,(IF(('2回目フォームの回答 '!AT18="しばしばあった"),3,(IF(('2回目フォームの回答 '!AT18="ほとんどいつもあった"),4,"")))))))</f>
        <v>1</v>
      </c>
      <c r="BO18" s="1">
        <f>IF(('2回目フォームの回答 '!AU18="ほとんどなかった"),1,(IF(('2回目フォームの回答 '!AU18="ときどきあった"),2,(IF(('2回目フォームの回答 '!AU18="しばしばあった"),3,(IF(('2回目フォームの回答 '!AU18="ほとんどいつもあった"),4,"")))))))</f>
        <v>1</v>
      </c>
      <c r="BP18" s="1">
        <f>IF(('2回目フォームの回答 '!AV18="ほとんどなかった"),1,(IF(('2回目フォームの回答 '!AV18="ときどきあった"),2,(IF(('2回目フォームの回答 '!AV18="しばしばあった"),3,(IF(('2回目フォームの回答 '!AV18="ほとんどいつもあった"),4,"")))))))</f>
        <v>4</v>
      </c>
      <c r="BQ18" s="1">
        <f t="shared" si="26"/>
        <v>12</v>
      </c>
      <c r="BR18" s="1">
        <f t="shared" si="27"/>
        <v>1</v>
      </c>
      <c r="BS18" s="1">
        <f t="shared" si="28"/>
        <v>5</v>
      </c>
      <c r="BT18" s="1">
        <f t="shared" si="2"/>
        <v>2</v>
      </c>
      <c r="BU18" s="1">
        <f t="shared" si="3"/>
        <v>3</v>
      </c>
      <c r="BV18" s="1">
        <f t="shared" si="4"/>
        <v>1</v>
      </c>
      <c r="BW18" s="1">
        <f t="shared" si="29"/>
        <v>3</v>
      </c>
      <c r="BX18" s="1">
        <f t="shared" si="5"/>
        <v>1</v>
      </c>
      <c r="BY18" s="1">
        <f t="shared" si="30"/>
        <v>6</v>
      </c>
      <c r="BZ18" s="1">
        <f t="shared" si="6"/>
        <v>1</v>
      </c>
      <c r="CA18" s="1">
        <f t="shared" si="31"/>
        <v>15</v>
      </c>
      <c r="CB18" s="1">
        <f t="shared" si="32"/>
        <v>2</v>
      </c>
      <c r="CC18" s="1">
        <f>IF(('2回目フォームの回答 '!AW18="非常に"),1,(IF(('2回目フォームの回答 '!AW18="かなり"),2,(IF(('2回目フォームの回答 '!AW18="多少"),3,(IF(('2回目フォームの回答 '!AW18="全くない"),4,"")))))))</f>
        <v>1</v>
      </c>
      <c r="CD18" s="1">
        <f>IF(('2回目フォームの回答 '!AX18="非常に"),1,(IF(('2回目フォームの回答 '!AX18="かなり"),2,(IF(('2回目フォームの回答 '!AX18="多少"),3,(IF(('2回目フォームの回答 '!AX18="全くない"),4,"")))))))</f>
        <v>1</v>
      </c>
      <c r="CE18" s="1">
        <f>IF(('2回目フォームの回答 '!AY18="非常に"),1,(IF(('2回目フォームの回答 '!AY18="かなり"),2,(IF(('2回目フォームの回答 '!AY18="多少"),3,(IF(('2回目フォームの回答 '!AY18="全くない"),4,"")))))))</f>
        <v>1</v>
      </c>
      <c r="CF18" s="1">
        <f>IF(('2回目フォームの回答 '!AZ18="非常に"),1,(IF(('2回目フォームの回答 '!AZ18="かなり"),2,(IF(('2回目フォームの回答 '!AZ18="多少"),3,(IF(('2回目フォームの回答 '!AZ18="全くない"),4,"")))))))</f>
        <v>1</v>
      </c>
      <c r="CG18" s="1">
        <f>IF(('2回目フォームの回答 '!BA18="非常に"),1,(IF(('2回目フォームの回答 '!BA18="かなり"),2,(IF(('2回目フォームの回答 '!BA18="多少"),3,(IF(('2回目フォームの回答 '!BA18="全くない"),4,"")))))))</f>
        <v>2</v>
      </c>
      <c r="CH18" s="1">
        <f>IF(('2回目フォームの回答 '!BB18="非常に"),1,(IF(('2回目フォームの回答 '!BB18="かなり"),2,(IF(('2回目フォームの回答 '!BB18="多少"),3,(IF(('2回目フォームの回答 '!BB18="全くない"),4,"")))))))</f>
        <v>2</v>
      </c>
      <c r="CI18" s="1">
        <f>IF(('2回目フォームの回答 '!BC18="非常に"),1,(IF(('2回目フォームの回答 '!BC18="かなり"),2,(IF(('2回目フォームの回答 '!BC18="多少"),3,(IF(('2回目フォームの回答 '!BC18="全くない"),4,"")))))))</f>
        <v>1</v>
      </c>
      <c r="CJ18" s="1">
        <f>IF(('2回目フォームの回答 '!BD18="非常に"),1,(IF(('2回目フォームの回答 '!BD18="かなり"),2,(IF(('2回目フォームの回答 '!BD18="多少"),3,(IF(('2回目フォームの回答 '!BD18="全くない"),4,"")))))))</f>
        <v>2</v>
      </c>
      <c r="CK18" s="1">
        <f>IF(('2回目フォームの回答 '!BE18="非常に"),1,(IF(('2回目フォームの回答 '!BE18="かなり"),2,(IF(('2回目フォームの回答 '!BE18="多少"),3,(IF(('2回目フォームの回答 '!BE18="全くない"),4,"")))))))</f>
        <v>2</v>
      </c>
      <c r="CL18" s="1">
        <f>IF(('2回目フォームの回答 '!BF18="満足"),1,(IF(('2回目フォームの回答 '!BF18="まぁ満足"),2,(IF(('2回目フォームの回答 '!BF18="やや満足"),3,(IF(('2回目フォームの回答 '!BF18="不満足"),4,"")))))))</f>
        <v>3</v>
      </c>
      <c r="CM18" s="1">
        <f>IF(('2回目フォームの回答 '!BG18="満足"),1,(IF(('2回目フォームの回答 '!BG18="まぁ満足"),2,(IF(('2回目フォームの回答 '!BG18="やや満足"),3,(IF(('2回目フォームの回答 '!BG18="不満足"),4,"")))))))</f>
        <v>1</v>
      </c>
      <c r="CN18" s="1">
        <f t="shared" si="33"/>
        <v>12</v>
      </c>
      <c r="CO18" s="1">
        <f t="shared" si="7"/>
        <v>1</v>
      </c>
      <c r="CP18" s="1">
        <f t="shared" si="34"/>
        <v>10</v>
      </c>
      <c r="CQ18" s="1">
        <f t="shared" si="8"/>
        <v>2</v>
      </c>
      <c r="CR18" s="1">
        <f t="shared" si="35"/>
        <v>10</v>
      </c>
      <c r="CS18" s="1">
        <f t="shared" si="36"/>
        <v>2</v>
      </c>
      <c r="CT18" s="1">
        <f t="shared" si="37"/>
        <v>6</v>
      </c>
      <c r="CU18" s="1">
        <f t="shared" si="9"/>
        <v>3</v>
      </c>
      <c r="CV18" s="1">
        <f t="shared" si="38"/>
        <v>8</v>
      </c>
      <c r="CW18" s="1">
        <f t="shared" si="39"/>
        <v>28</v>
      </c>
      <c r="CX18" s="1">
        <f t="shared" si="10"/>
        <v>5</v>
      </c>
      <c r="CY18" s="29" t="str">
        <f t="shared" si="40"/>
        <v>低</v>
      </c>
      <c r="CZ18" s="1">
        <f>'2回目フォームの回答 '!BH18</f>
        <v>0.9</v>
      </c>
      <c r="DA18" s="2">
        <f t="shared" si="41"/>
        <v>9.9999999999999978E-2</v>
      </c>
      <c r="DB18" s="1">
        <f>IF(('2回目フォームの回答 '!BI18="いつもより寝つきは良い"),0,(IF(('2回目フォームの回答 '!BI18="いつもより少し時間がかかった"),1,(IF(('2回目フォームの回答 '!BI18="いつもよりかなり時間がかかった"),2,(IF(('2回目フォームの回答 '!BI18="いつもより非常に時間がかかった、あるいは全く眠れなかった"),3,"")))))))</f>
        <v>3</v>
      </c>
      <c r="DC18" s="1">
        <f>IF(('2回目フォームの回答 '!BJ18="問題になるほどのことはなかった"),0,(IF(('2回目フォームの回答 '!BJ18="少し困ることがある"),1,(IF(('2回目フォームの回答 '!BJ18="かなり困っている"),2,(IF(('2回目フォームの回答 '!BJ18="深刻な状態、あるいは全く眠れなかった"),3,"")))))))</f>
        <v>0</v>
      </c>
      <c r="DD18" s="1">
        <f>IF(('2回目フォームの回答 '!BK18="そのようなことはなかった"),0,(IF(('2回目フォームの回答 '!BK18="少し早かった"),1,(IF(('2回目フォームの回答 '!BK18="かなり早かった"),2,(IF(('2回目フォームの回答 '!BK18="非常に早かった、あるいは全く眠れなかった"),3,"")))))))</f>
        <v>0</v>
      </c>
      <c r="DE18" s="1">
        <f>IF(('2回目フォームの回答 '!BL18="十分である"),0,(IF(('2回目フォームの回答 '!BL18="少し足りない"),1,(IF(('2回目フォームの回答 '!BL18="かなり足りない"),2,(IF(('2回目フォームの回答 '!BL18="全く足りない、あるいは全く眠れなかった"),3,"")))))))</f>
        <v>0</v>
      </c>
      <c r="DF18" s="1">
        <f>IF(('2回目フォームの回答 '!BM18="満足している"),0,(IF(('2回目フォームの回答 '!BM18="少し不満である"),1,(IF(('2回目フォームの回答 '!BM18="かなり不満である"),2,(IF(('2回目フォームの回答 '!BM18="非常に不満である、あるいは全く眠れなかった"),3,"")))))))</f>
        <v>0</v>
      </c>
      <c r="DG18" s="1">
        <f>IF(('2回目フォームの回答 '!BN18="いつもどおり"),0,(IF(('2回目フォームの回答 '!BN18="少し滅入った"),1,(IF(('2回目フォームの回答 '!BN18="かなり滅入った"),2,(IF(('2回目フォームの回答 '!BN18="非常に滅入った"),3,"")))))))</f>
        <v>0</v>
      </c>
      <c r="DH18" s="1">
        <f>IF(('2回目フォームの回答 '!BO18="いつもどおり"),0,(IF(('2回目フォームの回答 '!BO18="少し低下した"),1,(IF(('2回目フォームの回答 '!BO18="かなり低下した"),2,(IF(('2回目フォームの回答 '!BO18="非常に低下した"),3,"")))))))</f>
        <v>0</v>
      </c>
      <c r="DI18" s="1">
        <f>IF(('2回目フォームの回答 '!BP18="全くなかった"),0,(IF(('2回目フォームの回答 '!BP18="少しあった"),1,(IF(('2回目フォームの回答 '!BP18="かなりあった"),2,(IF(('2回目フォームの回答 '!BP18="激しかった"),3,"")))))))</f>
        <v>0</v>
      </c>
      <c r="DJ18">
        <f t="shared" si="42"/>
        <v>3</v>
      </c>
      <c r="DK18" s="4" t="str">
        <f t="shared" si="43"/>
        <v>低</v>
      </c>
      <c r="DL18" s="5">
        <v>14.8</v>
      </c>
      <c r="DM18" s="5">
        <v>12.7</v>
      </c>
      <c r="DN18" s="5">
        <v>24.4</v>
      </c>
      <c r="DO18" s="5">
        <f t="shared" si="44"/>
        <v>51.9</v>
      </c>
      <c r="DP18" s="5"/>
      <c r="DQ18" s="5" t="s">
        <v>200</v>
      </c>
      <c r="DR18" s="5"/>
      <c r="DS18" s="71">
        <v>0.20833333333333334</v>
      </c>
      <c r="DT18" s="66">
        <v>314</v>
      </c>
      <c r="DU18" s="59">
        <f>INDEX('1回目結果'!DR:DR,MATCH($DT18,'1回目結果'!$A:$A,0))</f>
        <v>1.4239999999999999</v>
      </c>
      <c r="DV18" s="59">
        <f>INDEX('1回目結果'!DS:DS,MATCH($DT18,'1回目結果'!$A:$A,0))</f>
        <v>228.88</v>
      </c>
      <c r="DW18" s="59">
        <f>INDEX('1回目結果'!DT:DT,MATCH($DT18,'1回目結果'!$A:$A,0))</f>
        <v>0.62</v>
      </c>
      <c r="DX18" s="59">
        <f>INDEX('1回目結果'!DU:DU,MATCH($DT18,'1回目結果'!$A:$A,0))</f>
        <v>31</v>
      </c>
      <c r="DY18" s="59">
        <f>IFERROR(INDEX('1回目結果'!DL:DL,MATCH('2回目結果'!$DT18,'1回目結果'!$A:$A,0)),"")</f>
        <v>63</v>
      </c>
      <c r="DZ18" s="59">
        <f>IFERROR(INDEX('1回目結果'!DM:DM,MATCH('2回目結果'!$DT18,'1回目結果'!$A:$A,0)),"")</f>
        <v>28.4</v>
      </c>
      <c r="EA18" s="59">
        <f>IFERROR(INDEX('1回目結果'!DN:DN,MATCH('2回目結果'!$DT18,'1回目結果'!$A:$A,0)),"")</f>
        <v>20.100000000000001</v>
      </c>
      <c r="EB18" s="59">
        <f>IFERROR(INDEX('1回目結果'!DO:DO,MATCH('2回目結果'!$DT18,'1回目結果'!$A:$A,0)),"")</f>
        <v>111.5</v>
      </c>
      <c r="EC18" s="59">
        <f>IFERROR(INDEX('1回目結果'!DP:DP,MATCH('2回目結果'!$DT18,'1回目結果'!$A:$A,0)),"")</f>
        <v>0</v>
      </c>
      <c r="ED18" s="59">
        <f>IFERROR(INDEX('1回目結果'!DQ:DQ,MATCH('2回目結果'!$DT18,'1回目結果'!$A:$A,0)),"")</f>
        <v>0</v>
      </c>
      <c r="EE18" s="54">
        <v>1.056</v>
      </c>
      <c r="EF18" s="54">
        <v>132.52000000000001</v>
      </c>
      <c r="EG18" s="54">
        <v>0.8</v>
      </c>
      <c r="EH18" s="54">
        <v>40</v>
      </c>
      <c r="EI18" s="43" t="s">
        <v>115</v>
      </c>
      <c r="EJ18" s="44">
        <f t="shared" si="45"/>
        <v>1.2903225806451613</v>
      </c>
      <c r="EK18" s="44">
        <f t="shared" ref="EK18:EK19" si="52">EG18/DW18</f>
        <v>1.2903225806451615</v>
      </c>
      <c r="EL18">
        <f t="shared" si="46"/>
        <v>-59.6</v>
      </c>
      <c r="EM18">
        <f t="shared" si="47"/>
        <v>4.2999999999999972</v>
      </c>
    </row>
    <row r="19" spans="1:143" ht="15.75" customHeight="1">
      <c r="A19" s="3">
        <v>338</v>
      </c>
      <c r="B19" s="24" t="s">
        <v>139</v>
      </c>
      <c r="C19" s="52">
        <v>31152</v>
      </c>
      <c r="D19" s="38">
        <v>39</v>
      </c>
      <c r="E19" s="1">
        <f>IF(('2回目フォームの回答 '!C19="そうだ"),1,(IF(('2回目フォームの回答 '!C19="まぁそうだ"),2,(IF(('2回目フォームの回答 '!C19="ややちがう"),3,(IF(('2回目フォームの回答 '!C19="ちがう"),4,"")))))))</f>
        <v>2</v>
      </c>
      <c r="F19" s="1">
        <f>IF(('2回目フォームの回答 '!D19="そうだ"),1,(IF(('2回目フォームの回答 '!D19="まぁそうだ"),2,(IF(('2回目フォームの回答 '!D19="ややちがう"),3,(IF(('2回目フォームの回答 '!D19="ちがう"),4,"")))))))</f>
        <v>1</v>
      </c>
      <c r="G19" s="1">
        <f>IF(('2回目フォームの回答 '!E19="そうだ"),1,(IF(('2回目フォームの回答 '!E19="まぁそうだ"),2,(IF(('2回目フォームの回答 '!E19="ややちがう"),3,(IF(('2回目フォームの回答 '!E19="ちがう"),4,"")))))))</f>
        <v>1</v>
      </c>
      <c r="H19" s="1">
        <f>IF(('2回目フォームの回答 '!F19="そうだ"),1,(IF(('2回目フォームの回答 '!F19="まぁそうだ"),2,(IF(('2回目フォームの回答 '!F19="ややちがう"),3,(IF(('2回目フォームの回答 '!F19="ちがう"),4,"")))))))</f>
        <v>1</v>
      </c>
      <c r="I19" s="1">
        <f>IF(('2回目フォームの回答 '!G19="そうだ"),1,(IF(('2回目フォームの回答 '!G19="まぁそうだ"),2,(IF(('2回目フォームの回答 '!G19="ややちがう"),3,(IF(('2回目フォームの回答 '!G19="ちがう"),4,"")))))))</f>
        <v>1</v>
      </c>
      <c r="J19" s="1">
        <f>IF(('2回目フォームの回答 '!H19="そうだ"),1,(IF(('2回目フォームの回答 '!H19="まぁそうだ"),2,(IF(('2回目フォームの回答 '!H19="ややちがう"),3,(IF(('2回目フォームの回答 '!H19="ちがう"),4,"")))))))</f>
        <v>3</v>
      </c>
      <c r="K19" s="1">
        <f>IF(('2回目フォームの回答 '!I19="そうだ"),1,(IF(('2回目フォームの回答 '!I19="まぁそうだ"),2,(IF(('2回目フォームの回答 '!I19="ややちがう"),3,(IF(('2回目フォームの回答 '!I19="ちがう"),4,"")))))))</f>
        <v>4</v>
      </c>
      <c r="L19" s="1">
        <f>IF(('2回目フォームの回答 '!J19="そうだ"),1,(IF(('2回目フォームの回答 '!J19="まぁそうだ"),2,(IF(('2回目フォームの回答 '!J19="ややちがう"),3,(IF(('2回目フォームの回答 '!J19="ちがう"),4,"")))))))</f>
        <v>1</v>
      </c>
      <c r="M19" s="1">
        <f>IF(('2回目フォームの回答 '!K19="そうだ"),1,(IF(('2回目フォームの回答 '!K19="まぁそうだ"),2,(IF(('2回目フォームの回答 '!K19="ややちがう"),3,(IF(('2回目フォームの回答 '!K19="ちがう"),4,"")))))))</f>
        <v>1</v>
      </c>
      <c r="N19" s="1">
        <f>IF(('2回目フォームの回答 '!L19="そうだ"),1,(IF(('2回目フォームの回答 '!L19="まぁそうだ"),2,(IF(('2回目フォームの回答 '!L19="ややちがう"),3,(IF(('2回目フォームの回答 '!L19="ちがう"),4,"")))))))</f>
        <v>1</v>
      </c>
      <c r="O19" s="1">
        <f>IF(('2回目フォームの回答 '!M19="そうだ"),1,(IF(('2回目フォームの回答 '!M19="まぁそうだ"),2,(IF(('2回目フォームの回答 '!M19="ややちがう"),3,(IF(('2回目フォームの回答 '!M19="ちがう"),4,"")))))))</f>
        <v>4</v>
      </c>
      <c r="P19" s="1">
        <f>IF(('2回目フォームの回答 '!N19="そうだ"),1,(IF(('2回目フォームの回答 '!N19="まぁそうだ"),2,(IF(('2回目フォームの回答 '!N19="ややちがう"),3,(IF(('2回目フォームの回答 '!N19="ちがう"),4,"")))))))</f>
        <v>3</v>
      </c>
      <c r="Q19" s="1">
        <f>IF(('2回目フォームの回答 '!O19="そうだ"),1,(IF(('2回目フォームの回答 '!O19="まぁそうだ"),2,(IF(('2回目フォームの回答 '!O19="ややちがう"),3,(IF(('2回目フォームの回答 '!O19="ちがう"),4,"")))))))</f>
        <v>3</v>
      </c>
      <c r="R19" s="1">
        <f>IF(('2回目フォームの回答 '!P19="そうだ"),1,(IF(('2回目フォームの回答 '!P19="まぁそうだ"),2,(IF(('2回目フォームの回答 '!P19="ややちがう"),3,(IF(('2回目フォームの回答 '!P19="ちがう"),4,"")))))))</f>
        <v>2</v>
      </c>
      <c r="S19" s="1">
        <f>IF(('2回目フォームの回答 '!Q19="そうだ"),1,(IF(('2回目フォームの回答 '!Q19="まぁそうだ"),2,(IF(('2回目フォームの回答 '!Q19="ややちがう"),3,(IF(('2回目フォームの回答 '!Q19="ちがう"),4,"")))))))</f>
        <v>2</v>
      </c>
      <c r="T19" s="1">
        <f>IF(('2回目フォームの回答 '!R19="そうだ"),1,(IF(('2回目フォームの回答 '!R19="まぁそうだ"),2,(IF(('2回目フォームの回答 '!R19="ややちがう"),3,(IF(('2回目フォームの回答 '!R19="ちがう"),4,"")))))))</f>
        <v>1</v>
      </c>
      <c r="U19" s="1">
        <f>IF(('2回目フォームの回答 '!S19="そうだ"),1,(IF(('2回目フォームの回答 '!S19="まぁそうだ"),2,(IF(('2回目フォームの回答 '!S19="ややちがう"),3,(IF(('2回目フォームの回答 '!S19="ちがう"),4,"")))))))</f>
        <v>2</v>
      </c>
      <c r="V19" s="1">
        <f t="shared" si="48"/>
        <v>11</v>
      </c>
      <c r="W19" s="1">
        <f t="shared" si="11"/>
        <v>4</v>
      </c>
      <c r="X19" s="1">
        <f t="shared" si="12"/>
        <v>10</v>
      </c>
      <c r="Y19" s="1">
        <f t="shared" si="13"/>
        <v>4</v>
      </c>
      <c r="Z19" s="1">
        <f t="shared" si="14"/>
        <v>1</v>
      </c>
      <c r="AA19" s="1">
        <f t="shared" si="15"/>
        <v>2</v>
      </c>
      <c r="AB19" s="1">
        <f t="shared" si="16"/>
        <v>6</v>
      </c>
      <c r="AC19" s="1">
        <f t="shared" si="17"/>
        <v>3</v>
      </c>
      <c r="AD19" s="1">
        <f t="shared" si="18"/>
        <v>3</v>
      </c>
      <c r="AE19" s="1">
        <f t="shared" si="0"/>
        <v>4</v>
      </c>
      <c r="AF19" s="1">
        <f t="shared" si="19"/>
        <v>12</v>
      </c>
      <c r="AG19" s="1">
        <f t="shared" si="1"/>
        <v>1</v>
      </c>
      <c r="AH19" s="1">
        <f t="shared" si="20"/>
        <v>4</v>
      </c>
      <c r="AI19" s="1">
        <f t="shared" si="21"/>
        <v>2</v>
      </c>
      <c r="AJ19" s="1">
        <f t="shared" si="22"/>
        <v>4</v>
      </c>
      <c r="AK19" s="1">
        <f t="shared" si="23"/>
        <v>1</v>
      </c>
      <c r="AL19" s="1">
        <f t="shared" si="24"/>
        <v>3</v>
      </c>
      <c r="AM19" s="1">
        <f t="shared" si="25"/>
        <v>3</v>
      </c>
      <c r="AN19" s="1">
        <f>IF(('2回目フォームの回答 '!T19="ほとんどなかった"),1,(IF(('2回目フォームの回答 '!T19="ときどきあった"),2,(IF(('2回目フォームの回答 '!T19="しばしばあった"),3,(IF(('2回目フォームの回答 '!T19="ほとんどいつもあった"),4,"")))))))</f>
        <v>2</v>
      </c>
      <c r="AO19" s="1">
        <f>IF(('2回目フォームの回答 '!U19="ほとんどなかった"),1,(IF(('2回目フォームの回答 '!U19="ときどきあった"),2,(IF(('2回目フォームの回答 '!U19="しばしばあった"),3,(IF(('2回目フォームの回答 '!U19="ほとんどいつもあった"),4,"")))))))</f>
        <v>2</v>
      </c>
      <c r="AP19" s="1">
        <f>IF(('2回目フォームの回答 '!V19="ほとんどなかった"),1,(IF(('2回目フォームの回答 '!V19="ときどきあった"),2,(IF(('2回目フォームの回答 '!V19="しばしばあった"),3,(IF(('2回目フォームの回答 '!V19="ほとんどいつもあった"),4,"")))))))</f>
        <v>2</v>
      </c>
      <c r="AQ19" s="1">
        <f>IF(('2回目フォームの回答 '!W19="ほとんどなかった"),1,(IF(('2回目フォームの回答 '!W19="ときどきあった"),2,(IF(('2回目フォームの回答 '!W19="しばしばあった"),3,(IF(('2回目フォームの回答 '!W19="ほとんどいつもあった"),4,"")))))))</f>
        <v>2</v>
      </c>
      <c r="AR19" s="1">
        <f>IF(('2回目フォームの回答 '!X19="ほとんどなかった"),1,(IF(('2回目フォームの回答 '!X19="ときどきあった"),2,(IF(('2回目フォームの回答 '!X19="しばしばあった"),3,(IF(('2回目フォームの回答 '!X19="ほとんどいつもあった"),4,"")))))))</f>
        <v>2</v>
      </c>
      <c r="AS19" s="1">
        <f>IF(('2回目フォームの回答 '!Y19="ほとんどなかった"),1,(IF(('2回目フォームの回答 '!Y19="ときどきあった"),2,(IF(('2回目フォームの回答 '!Y19="しばしばあった"),3,(IF(('2回目フォームの回答 '!Y19="ほとんどいつもあった"),4,"")))))))</f>
        <v>2</v>
      </c>
      <c r="AT19" s="1">
        <f>IF(('2回目フォームの回答 '!Z19="ほとんどなかった"),1,(IF(('2回目フォームの回答 '!Z19="ときどきあった"),2,(IF(('2回目フォームの回答 '!Z19="しばしばあった"),3,(IF(('2回目フォームの回答 '!Z19="ほとんどいつもあった"),4,"")))))))</f>
        <v>2</v>
      </c>
      <c r="AU19" s="1">
        <f>IF(('2回目フォームの回答 '!AA19="ほとんどなかった"),1,(IF(('2回目フォームの回答 '!AA19="ときどきあった"),2,(IF(('2回目フォームの回答 '!AA19="しばしばあった"),3,(IF(('2回目フォームの回答 '!AA19="ほとんどいつもあった"),4,"")))))))</f>
        <v>1</v>
      </c>
      <c r="AV19" s="1">
        <f>IF(('2回目フォームの回答 '!AB19="ほとんどなかった"),1,(IF(('2回目フォームの回答 '!AB19="ときどきばあった"),2,(IF(('2回目フォームの回答 '!AB19="しばしばあった"),3,(IF(('2回目フォームの回答 '!AB19="ほとんどいつもあった"),4,"")))))))</f>
        <v>2</v>
      </c>
      <c r="AW19" s="1">
        <f>IF(('2回目フォームの回答 '!AC19="ほとんどなかった"),1,(IF(('2回目フォームの回答 '!AC19="ときどきあった"),2,(IF(('2回目フォームの回答 '!AC19="しばしばあった"),3,(IF(('2回目フォームの回答 '!AC19="ほとんどいつもあった"),4,"")))))))</f>
        <v>2</v>
      </c>
      <c r="AX19" s="1">
        <f>IF(('2回目フォームの回答 '!AD19="ほとんどなかった"),1,(IF(('2回目フォームの回答 '!AD19="ときどきあった"),2,(IF(('2回目フォームの回答 '!AD19="しばしばあった"),3,(IF(('2回目フォームの回答 '!AD19="ほとんどいつもあった"),4,"")))))))</f>
        <v>2</v>
      </c>
      <c r="AY19" s="1">
        <f>IF(('2回目フォームの回答 '!AE19="ほとんどなかった"),1,(IF(('2回目フォームの回答 '!AE19="ときどきあった"),2,(IF(('2回目フォームの回答 '!AE19="しばしばあった"),3,(IF(('2回目フォームの回答 '!AE19="ほとんどいつもあった"),4,"")))))))</f>
        <v>2</v>
      </c>
      <c r="AZ19" s="1">
        <f>IF(('2回目フォームの回答 '!AF19="ほとんどなかった"),1,(IF(('2回目フォームの回答 '!AF19="ときどきあった"),2,(IF(('2回目フォームの回答 '!AF19="しばしばあった"),3,(IF(('2回目フォームの回答 '!AF19="ほとんどいつもあった"),4,"")))))))</f>
        <v>1</v>
      </c>
      <c r="BA19" s="1">
        <f>IF(('2回目フォームの回答 '!AG19="ほとんどなかった"),1,(IF(('2回目フォームの回答 '!AG19="ときどきあった"),2,(IF(('2回目フォームの回答 '!AG19="しばしばあった"),3,(IF(('2回目フォームの回答 '!AG19="ほとんどいつもあった"),4,"")))))))</f>
        <v>2</v>
      </c>
      <c r="BB19" s="1">
        <f>IF(('2回目フォームの回答 '!AH19="ほとんどなかった"),1,(IF(('2回目フォームの回答 '!AH19="ときどきあった"),2,(IF(('2回目フォームの回答 '!AH19="しばしばあった"),3,(IF(('2回目フォームの回答 '!AH19="ほとんどいつもあった"),4,"")))))))</f>
        <v>2</v>
      </c>
      <c r="BC19" s="1">
        <f>IF(('2回目フォームの回答 '!AI19="ほとんどなかった"),1,(IF(('2回目フォームの回答 '!AI19="ときどきあった"),2,(IF(('2回目フォームの回答 '!AI19="しばしばあった"),3,(IF(('2回目フォームの回答 '!AI19="ほとんどいつもあった"),4,"")))))))</f>
        <v>2</v>
      </c>
      <c r="BD19" s="1">
        <f>IF(('2回目フォームの回答 '!AJ19="ほとんどなかった"),1,(IF(('2回目フォームの回答 '!AJ19="ときどきあった"),2,(IF(('2回目フォームの回答 '!AJ19="しばしばあった"),3,(IF(('2回目フォームの回答 '!AJ19="ほとんどいつもあった"),4,"")))))))</f>
        <v>2</v>
      </c>
      <c r="BE19" s="1">
        <f>IF(('2回目フォームの回答 '!AK19="ほとんどなかった"),1,(IF(('2回目フォームの回答 '!AK19="ときどきあった"),2,(IF(('2回目フォームの回答 '!AK19="しばしばあった"),3,(IF(('2回目フォームの回答 '!AK19="ほとんどいつもあった"),4,"")))))))</f>
        <v>2</v>
      </c>
      <c r="BF19" s="1">
        <f>IF(('2回目フォームの回答 '!AL19="ほとんどなかった"),1,(IF(('2回目フォームの回答 '!AL19="ときどきあった"),2,(IF(('2回目フォームの回答 '!AL19="しばしばあった"),3,(IF(('2回目フォームの回答 '!AL19="ほとんどいつもあった"),4,"")))))))</f>
        <v>1</v>
      </c>
      <c r="BG19" s="1">
        <f>IF(('2回目フォームの回答 '!AM19="ほとんどなかった"),1,(IF(('2回目フォームの回答 '!AM19="ときどきあった"),2,(IF(('2回目フォームの回答 '!AM19="しばしばあった"),3,(IF(('2回目フォームの回答 '!AM19="ほとんどいつもあった"),4,"")))))))</f>
        <v>2</v>
      </c>
      <c r="BH19" s="1">
        <f>IF(('2回目フォームの回答 '!AN19="ほとんどなかった"),1,(IF(('2回目フォームの回答 '!AN19="ときどきあった"),2,(IF(('2回目フォームの回答 '!AN19="しばしばあった"),3,(IF(('2回目フォームの回答 '!AN19="ほとんどいつもあった"),4,"")))))))</f>
        <v>2</v>
      </c>
      <c r="BI19" s="1">
        <f>IF(('2回目フォームの回答 '!AO19="ほとんどなかった"),1,(IF(('2回目フォームの回答 '!AO19="ときどきあった"),2,(IF(('2回目フォームの回答 '!AO19="しばしばあった"),3,(IF(('2回目フォームの回答 '!AO19="ほとんどいつもあった"),4,"")))))))</f>
        <v>4</v>
      </c>
      <c r="BJ19" s="1">
        <f>IF(('2回目フォームの回答 '!AP19="ほとんどなかった"),1,(IF(('2回目フォームの回答 '!AP19="ときどきあった"),2,(IF(('2回目フォームの回答 '!AP19="しばしばあった"),3,(IF(('2回目フォームの回答 '!AP19="ほとんどいつもあった"),4,"")))))))</f>
        <v>3</v>
      </c>
      <c r="BK19" s="1">
        <f>IF(('2回目フォームの回答 '!AQ19="ほとんどなかった"),1,(IF(('2回目フォームの回答 '!AQ19="ときどきあった"),2,(IF(('2回目フォームの回答 '!AQ19="しばしばあった"),3,(IF(('2回目フォームの回答 '!AQ19="ほとんどいつもあった"),4,"")))))))</f>
        <v>2</v>
      </c>
      <c r="BL19" s="1">
        <f>IF(('2回目フォームの回答 '!AR19="ほとんどなかった"),1,(IF(('2回目フォームの回答 '!AR19="ときどきあった"),2,(IF(('2回目フォームの回答 '!AR19="しばしばあった"),3,(IF(('2回目フォームの回答 '!AR19="ほとんどいつもあった"),4,"")))))))</f>
        <v>1</v>
      </c>
      <c r="BM19" s="1">
        <f>IF(('2回目フォームの回答 '!AS19="ほとんどなかった"),1,(IF(('2回目フォームの回答 '!AS19="ときどきあった"),2,(IF(('2回目フォームの回答 '!AS19="しばしばあった"),3,(IF(('2回目フォームの回答 '!AS19="ほとんどいつもあった"),4,"")))))))</f>
        <v>2</v>
      </c>
      <c r="BN19" s="1">
        <f>IF(('2回目フォームの回答 '!AT19="ほとんどなかった"),1,(IF(('2回目フォームの回答 '!AT19="ときどきあった"),2,(IF(('2回目フォームの回答 '!AT19="しばしばあった"),3,(IF(('2回目フォームの回答 '!AT19="ほとんどいつもあった"),4,"")))))))</f>
        <v>2</v>
      </c>
      <c r="BO19" s="1">
        <f>IF(('2回目フォームの回答 '!AU19="ほとんどなかった"),1,(IF(('2回目フォームの回答 '!AU19="ときどきあった"),2,(IF(('2回目フォームの回答 '!AU19="しばしばあった"),3,(IF(('2回目フォームの回答 '!AU19="ほとんどいつもあった"),4,"")))))))</f>
        <v>3</v>
      </c>
      <c r="BP19" s="1">
        <f>IF(('2回目フォームの回答 '!AV19="ほとんどなかった"),1,(IF(('2回目フォームの回答 '!AV19="ときどきあった"),2,(IF(('2回目フォームの回答 '!AV19="しばしばあった"),3,(IF(('2回目フォームの回答 '!AV19="ほとんどいつもあった"),4,"")))))))</f>
        <v>2</v>
      </c>
      <c r="BQ19" s="1">
        <f t="shared" si="26"/>
        <v>6</v>
      </c>
      <c r="BR19" s="1">
        <f t="shared" si="27"/>
        <v>3</v>
      </c>
      <c r="BS19" s="1">
        <f t="shared" si="28"/>
        <v>6</v>
      </c>
      <c r="BT19" s="1">
        <f t="shared" si="2"/>
        <v>3</v>
      </c>
      <c r="BU19" s="1">
        <f t="shared" si="3"/>
        <v>5</v>
      </c>
      <c r="BV19" s="1">
        <f t="shared" si="4"/>
        <v>3</v>
      </c>
      <c r="BW19" s="1">
        <f t="shared" si="29"/>
        <v>6</v>
      </c>
      <c r="BX19" s="1">
        <f t="shared" si="5"/>
        <v>3</v>
      </c>
      <c r="BY19" s="1">
        <f t="shared" si="30"/>
        <v>11</v>
      </c>
      <c r="BZ19" s="1">
        <f t="shared" si="6"/>
        <v>3</v>
      </c>
      <c r="CA19" s="1">
        <f t="shared" si="31"/>
        <v>24</v>
      </c>
      <c r="CB19" s="1">
        <f t="shared" si="32"/>
        <v>4</v>
      </c>
      <c r="CC19" s="1">
        <f>IF(('2回目フォームの回答 '!AW19="非常に"),1,(IF(('2回目フォームの回答 '!AW19="かなり"),2,(IF(('2回目フォームの回答 '!AW19="多少"),3,(IF(('2回目フォームの回答 '!AW19="全くない"),4,"")))))))</f>
        <v>2</v>
      </c>
      <c r="CD19" s="1">
        <f>IF(('2回目フォームの回答 '!AX19="非常に"),1,(IF(('2回目フォームの回答 '!AX19="かなり"),2,(IF(('2回目フォームの回答 '!AX19="多少"),3,(IF(('2回目フォームの回答 '!AX19="全くない"),4,"")))))))</f>
        <v>2</v>
      </c>
      <c r="CE19" s="1">
        <f>IF(('2回目フォームの回答 '!AY19="非常に"),1,(IF(('2回目フォームの回答 '!AY19="かなり"),2,(IF(('2回目フォームの回答 '!AY19="多少"),3,(IF(('2回目フォームの回答 '!AY19="全くない"),4,"")))))))</f>
        <v>2</v>
      </c>
      <c r="CF19" s="1">
        <f>IF(('2回目フォームの回答 '!AZ19="非常に"),1,(IF(('2回目フォームの回答 '!AZ19="かなり"),2,(IF(('2回目フォームの回答 '!AZ19="多少"),3,(IF(('2回目フォームの回答 '!AZ19="全くない"),4,"")))))))</f>
        <v>2</v>
      </c>
      <c r="CG19" s="1">
        <f>IF(('2回目フォームの回答 '!BA19="非常に"),1,(IF(('2回目フォームの回答 '!BA19="かなり"),2,(IF(('2回目フォームの回答 '!BA19="多少"),3,(IF(('2回目フォームの回答 '!BA19="全くない"),4,"")))))))</f>
        <v>2</v>
      </c>
      <c r="CH19" s="1">
        <f>IF(('2回目フォームの回答 '!BB19="非常に"),1,(IF(('2回目フォームの回答 '!BB19="かなり"),2,(IF(('2回目フォームの回答 '!BB19="多少"),3,(IF(('2回目フォームの回答 '!BB19="全くない"),4,"")))))))</f>
        <v>2</v>
      </c>
      <c r="CI19" s="1">
        <f>IF(('2回目フォームの回答 '!BC19="非常に"),1,(IF(('2回目フォームの回答 '!BC19="かなり"),2,(IF(('2回目フォームの回答 '!BC19="多少"),3,(IF(('2回目フォームの回答 '!BC19="全くない"),4,"")))))))</f>
        <v>3</v>
      </c>
      <c r="CJ19" s="1">
        <f>IF(('2回目フォームの回答 '!BD19="非常に"),1,(IF(('2回目フォームの回答 '!BD19="かなり"),2,(IF(('2回目フォームの回答 '!BD19="多少"),3,(IF(('2回目フォームの回答 '!BD19="全くない"),4,"")))))))</f>
        <v>3</v>
      </c>
      <c r="CK19" s="1">
        <f>IF(('2回目フォームの回答 '!BE19="非常に"),1,(IF(('2回目フォームの回答 '!BE19="かなり"),2,(IF(('2回目フォームの回答 '!BE19="多少"),3,(IF(('2回目フォームの回答 '!BE19="全くない"),4,"")))))))</f>
        <v>2</v>
      </c>
      <c r="CL19" s="1">
        <f>IF(('2回目フォームの回答 '!BF19="満足"),1,(IF(('2回目フォームの回答 '!BF19="まぁ満足"),2,(IF(('2回目フォームの回答 '!BF19="やや満足"),3,(IF(('2回目フォームの回答 '!BF19="不満足"),4,"")))))))</f>
        <v>2</v>
      </c>
      <c r="CM19" s="1">
        <f>IF(('2回目フォームの回答 '!BG19="満足"),1,(IF(('2回目フォームの回答 '!BG19="まぁ満足"),2,(IF(('2回目フォームの回答 '!BG19="やや満足"),3,(IF(('2回目フォームの回答 '!BG19="不満足"),4,"")))))))</f>
        <v>2</v>
      </c>
      <c r="CN19" s="1">
        <f t="shared" si="33"/>
        <v>8</v>
      </c>
      <c r="CO19" s="1">
        <f t="shared" si="7"/>
        <v>3</v>
      </c>
      <c r="CP19" s="1">
        <f t="shared" si="34"/>
        <v>8</v>
      </c>
      <c r="CQ19" s="1">
        <f t="shared" si="8"/>
        <v>3</v>
      </c>
      <c r="CR19" s="1">
        <f t="shared" si="35"/>
        <v>9</v>
      </c>
      <c r="CS19" s="1">
        <f t="shared" si="36"/>
        <v>3</v>
      </c>
      <c r="CT19" s="1">
        <f t="shared" si="37"/>
        <v>6</v>
      </c>
      <c r="CU19" s="1">
        <f t="shared" si="9"/>
        <v>3</v>
      </c>
      <c r="CV19" s="1">
        <f t="shared" si="38"/>
        <v>19</v>
      </c>
      <c r="CW19" s="1">
        <f t="shared" si="39"/>
        <v>24</v>
      </c>
      <c r="CX19" s="1">
        <f t="shared" si="10"/>
        <v>9</v>
      </c>
      <c r="CY19" s="29" t="str">
        <f t="shared" si="40"/>
        <v>中①</v>
      </c>
      <c r="CZ19" s="1">
        <f>'2回目フォームの回答 '!BH19</f>
        <v>0.6</v>
      </c>
      <c r="DA19" s="2">
        <f t="shared" si="41"/>
        <v>0.4</v>
      </c>
      <c r="DB19" s="1">
        <f>IF(('2回目フォームの回答 '!BI19="いつもより寝つきは良い"),0,(IF(('2回目フォームの回答 '!BI19="いつもより少し時間がかかった"),1,(IF(('2回目フォームの回答 '!BI19="いつもよりかなり時間がかかった"),2,(IF(('2回目フォームの回答 '!BI19="いつもより非常に時間がかかった、あるいは全く眠れなかった"),3,"")))))))</f>
        <v>1</v>
      </c>
      <c r="DC19" s="1">
        <f>IF(('2回目フォームの回答 '!BJ19="問題になるほどのことはなかった"),0,(IF(('2回目フォームの回答 '!BJ19="少し困ることがある"),1,(IF(('2回目フォームの回答 '!BJ19="かなり困っている"),2,(IF(('2回目フォームの回答 '!BJ19="深刻な状態、あるいは全く眠れなかった"),3,"")))))))</f>
        <v>1</v>
      </c>
      <c r="DD19" s="1">
        <f>IF(('2回目フォームの回答 '!BK19="そのようなことはなかった"),0,(IF(('2回目フォームの回答 '!BK19="少し早かった"),1,(IF(('2回目フォームの回答 '!BK19="かなり早かった"),2,(IF(('2回目フォームの回答 '!BK19="非常に早かった、あるいは全く眠れなかった"),3,"")))))))</f>
        <v>1</v>
      </c>
      <c r="DE19" s="1">
        <f>IF(('2回目フォームの回答 '!BL19="十分である"),0,(IF(('2回目フォームの回答 '!BL19="少し足りない"),1,(IF(('2回目フォームの回答 '!BL19="かなり足りない"),2,(IF(('2回目フォームの回答 '!BL19="全く足りない、あるいは全く眠れなかった"),3,"")))))))</f>
        <v>1</v>
      </c>
      <c r="DF19" s="1">
        <f>IF(('2回目フォームの回答 '!BM19="満足している"),0,(IF(('2回目フォームの回答 '!BM19="少し不満である"),1,(IF(('2回目フォームの回答 '!BM19="かなり不満である"),2,(IF(('2回目フォームの回答 '!BM19="非常に不満である、あるいは全く眠れなかった"),3,"")))))))</f>
        <v>1</v>
      </c>
      <c r="DG19" s="1">
        <f>IF(('2回目フォームの回答 '!BN19="いつもどおり"),0,(IF(('2回目フォームの回答 '!BN19="少し滅入った"),1,(IF(('2回目フォームの回答 '!BN19="かなり滅入った"),2,(IF(('2回目フォームの回答 '!BN19="非常に滅入った"),3,"")))))))</f>
        <v>0</v>
      </c>
      <c r="DH19" s="1">
        <f>IF(('2回目フォームの回答 '!BO19="いつもどおり"),0,(IF(('2回目フォームの回答 '!BO19="少し低下した"),1,(IF(('2回目フォームの回答 '!BO19="かなり低下した"),2,(IF(('2回目フォームの回答 '!BO19="非常に低下した"),3,"")))))))</f>
        <v>0</v>
      </c>
      <c r="DI19" s="1">
        <f>IF(('2回目フォームの回答 '!BP19="全くなかった"),0,(IF(('2回目フォームの回答 '!BP19="少しあった"),1,(IF(('2回目フォームの回答 '!BP19="かなりあった"),2,(IF(('2回目フォームの回答 '!BP19="激しかった"),3,"")))))))</f>
        <v>1</v>
      </c>
      <c r="DJ19">
        <f t="shared" si="42"/>
        <v>6</v>
      </c>
      <c r="DK19" s="4" t="str">
        <f t="shared" si="43"/>
        <v>高</v>
      </c>
      <c r="DL19" s="5">
        <v>15.5</v>
      </c>
      <c r="DM19" s="5">
        <v>3.1</v>
      </c>
      <c r="DN19" s="5">
        <v>0</v>
      </c>
      <c r="DO19" s="5">
        <f t="shared" si="44"/>
        <v>18.600000000000001</v>
      </c>
      <c r="DP19" s="5"/>
      <c r="DQ19" s="5"/>
      <c r="DR19" s="5"/>
      <c r="DS19" s="71"/>
      <c r="DT19" s="66">
        <v>313</v>
      </c>
      <c r="DU19" s="59">
        <f>INDEX('1回目結果'!DR:DR,MATCH($DT19,'1回目結果'!$A:$A,0))</f>
        <v>2.028</v>
      </c>
      <c r="DV19" s="59">
        <f>INDEX('1回目結果'!DS:DS,MATCH($DT19,'1回目結果'!$A:$A,0))</f>
        <v>205.15</v>
      </c>
      <c r="DW19" s="59">
        <f>INDEX('1回目結果'!DT:DT,MATCH($DT19,'1回目結果'!$A:$A,0))</f>
        <v>0.99</v>
      </c>
      <c r="DX19" s="59">
        <f>INDEX('1回目結果'!DU:DU,MATCH($DT19,'1回目結果'!$A:$A,0))</f>
        <v>50</v>
      </c>
      <c r="DY19" s="59">
        <f>IFERROR(INDEX('1回目結果'!DL:DL,MATCH('2回目結果'!$DT19,'1回目結果'!$A:$A,0)),"")</f>
        <v>7.7</v>
      </c>
      <c r="DZ19" s="59">
        <f>IFERROR(INDEX('1回目結果'!DM:DM,MATCH('2回目結果'!$DT19,'1回目結果'!$A:$A,0)),"")</f>
        <v>16</v>
      </c>
      <c r="EA19" s="59">
        <f>IFERROR(INDEX('1回目結果'!DN:DN,MATCH('2回目結果'!$DT19,'1回目結果'!$A:$A,0)),"")</f>
        <v>4.4000000000000004</v>
      </c>
      <c r="EB19" s="59">
        <f>IFERROR(INDEX('1回目結果'!DO:DO,MATCH('2回目結果'!$DT19,'1回目結果'!$A:$A,0)),"")</f>
        <v>28.1</v>
      </c>
      <c r="EC19" s="59">
        <f>IFERROR(INDEX('1回目結果'!DP:DP,MATCH('2回目結果'!$DT19,'1回目結果'!$A:$A,0)),"")</f>
        <v>0</v>
      </c>
      <c r="ED19" s="59">
        <f>IFERROR(INDEX('1回目結果'!DQ:DQ,MATCH('2回目結果'!$DT19,'1回目結果'!$A:$A,0)),"")</f>
        <v>0</v>
      </c>
      <c r="EE19" s="54">
        <v>3.464</v>
      </c>
      <c r="EF19" s="54">
        <v>322.67</v>
      </c>
      <c r="EG19" s="54">
        <v>1.07</v>
      </c>
      <c r="EH19" s="54">
        <v>54</v>
      </c>
      <c r="EI19" s="43" t="s">
        <v>115</v>
      </c>
      <c r="EJ19" s="44">
        <f t="shared" si="45"/>
        <v>1.08</v>
      </c>
      <c r="EK19" s="44">
        <f t="shared" si="52"/>
        <v>1.0808080808080809</v>
      </c>
      <c r="EL19">
        <f t="shared" si="46"/>
        <v>-9.5</v>
      </c>
      <c r="EM19">
        <f t="shared" si="47"/>
        <v>-4.4000000000000004</v>
      </c>
    </row>
    <row r="20" spans="1:143" ht="15.75" customHeight="1">
      <c r="A20">
        <v>339</v>
      </c>
      <c r="B20" s="24" t="s">
        <v>139</v>
      </c>
      <c r="C20" s="52">
        <v>29064</v>
      </c>
      <c r="D20" s="38">
        <v>45</v>
      </c>
      <c r="E20" s="1">
        <f>IF(('2回目フォームの回答 '!C20="そうだ"),1,(IF(('2回目フォームの回答 '!C20="まぁそうだ"),2,(IF(('2回目フォームの回答 '!C20="ややちがう"),3,(IF(('2回目フォームの回答 '!C20="ちがう"),4,"")))))))</f>
        <v>2</v>
      </c>
      <c r="F20" s="1">
        <f>IF(('2回目フォームの回答 '!D20="そうだ"),1,(IF(('2回目フォームの回答 '!D20="まぁそうだ"),2,(IF(('2回目フォームの回答 '!D20="ややちがう"),3,(IF(('2回目フォームの回答 '!D20="ちがう"),4,"")))))))</f>
        <v>3</v>
      </c>
      <c r="G20" s="1">
        <f>IF(('2回目フォームの回答 '!E20="そうだ"),1,(IF(('2回目フォームの回答 '!E20="まぁそうだ"),2,(IF(('2回目フォームの回答 '!E20="ややちがう"),3,(IF(('2回目フォームの回答 '!E20="ちがう"),4,"")))))))</f>
        <v>2</v>
      </c>
      <c r="H20" s="1">
        <f>IF(('2回目フォームの回答 '!F20="そうだ"),1,(IF(('2回目フォームの回答 '!F20="まぁそうだ"),2,(IF(('2回目フォームの回答 '!F20="ややちがう"),3,(IF(('2回目フォームの回答 '!F20="ちがう"),4,"")))))))</f>
        <v>2</v>
      </c>
      <c r="I20" s="1">
        <f>IF(('2回目フォームの回答 '!G20="そうだ"),1,(IF(('2回目フォームの回答 '!G20="まぁそうだ"),2,(IF(('2回目フォームの回答 '!G20="ややちがう"),3,(IF(('2回目フォームの回答 '!G20="ちがう"),4,"")))))))</f>
        <v>1</v>
      </c>
      <c r="J20" s="1">
        <f>IF(('2回目フォームの回答 '!H20="そうだ"),1,(IF(('2回目フォームの回答 '!H20="まぁそうだ"),2,(IF(('2回目フォームの回答 '!H20="ややちがう"),3,(IF(('2回目フォームの回答 '!H20="ちがう"),4,"")))))))</f>
        <v>2</v>
      </c>
      <c r="K20" s="1">
        <f>IF(('2回目フォームの回答 '!I20="そうだ"),1,(IF(('2回目フォームの回答 '!I20="まぁそうだ"),2,(IF(('2回目フォームの回答 '!I20="ややちがう"),3,(IF(('2回目フォームの回答 '!I20="ちがう"),4,"")))))))</f>
        <v>4</v>
      </c>
      <c r="L20" s="1">
        <f>IF(('2回目フォームの回答 '!J20="そうだ"),1,(IF(('2回目フォームの回答 '!J20="まぁそうだ"),2,(IF(('2回目フォームの回答 '!J20="ややちがう"),3,(IF(('2回目フォームの回答 '!J20="ちがう"),4,"")))))))</f>
        <v>2</v>
      </c>
      <c r="M20" s="1">
        <f>IF(('2回目フォームの回答 '!K20="そうだ"),1,(IF(('2回目フォームの回答 '!K20="まぁそうだ"),2,(IF(('2回目フォームの回答 '!K20="ややちがう"),3,(IF(('2回目フォームの回答 '!K20="ちがう"),4,"")))))))</f>
        <v>2</v>
      </c>
      <c r="N20" s="1">
        <f>IF(('2回目フォームの回答 '!L20="そうだ"),1,(IF(('2回目フォームの回答 '!L20="まぁそうだ"),2,(IF(('2回目フォームの回答 '!L20="ややちがう"),3,(IF(('2回目フォームの回答 '!L20="ちがう"),4,"")))))))</f>
        <v>2</v>
      </c>
      <c r="O20" s="1">
        <f>IF(('2回目フォームの回答 '!M20="そうだ"),1,(IF(('2回目フォームの回答 '!M20="まぁそうだ"),2,(IF(('2回目フォームの回答 '!M20="ややちがう"),3,(IF(('2回目フォームの回答 '!M20="ちがう"),4,"")))))))</f>
        <v>4</v>
      </c>
      <c r="P20" s="1">
        <f>IF(('2回目フォームの回答 '!N20="そうだ"),1,(IF(('2回目フォームの回答 '!N20="まぁそうだ"),2,(IF(('2回目フォームの回答 '!N20="ややちがう"),3,(IF(('2回目フォームの回答 '!N20="ちがう"),4,"")))))))</f>
        <v>4</v>
      </c>
      <c r="Q20" s="1">
        <f>IF(('2回目フォームの回答 '!O20="そうだ"),1,(IF(('2回目フォームの回答 '!O20="まぁそうだ"),2,(IF(('2回目フォームの回答 '!O20="ややちがう"),3,(IF(('2回目フォームの回答 '!O20="ちがう"),4,"")))))))</f>
        <v>3</v>
      </c>
      <c r="R20" s="1">
        <f>IF(('2回目フォームの回答 '!P20="そうだ"),1,(IF(('2回目フォームの回答 '!P20="まぁそうだ"),2,(IF(('2回目フォームの回答 '!P20="ややちがう"),3,(IF(('2回目フォームの回答 '!P20="ちがう"),4,"")))))))</f>
        <v>2</v>
      </c>
      <c r="S20" s="1">
        <f>IF(('2回目フォームの回答 '!Q20="そうだ"),1,(IF(('2回目フォームの回答 '!Q20="まぁそうだ"),2,(IF(('2回目フォームの回答 '!Q20="ややちがう"),3,(IF(('2回目フォームの回答 '!Q20="ちがう"),4,"")))))))</f>
        <v>3</v>
      </c>
      <c r="T20" s="1">
        <f>IF(('2回目フォームの回答 '!R20="そうだ"),1,(IF(('2回目フォームの回答 '!R20="まぁそうだ"),2,(IF(('2回目フォームの回答 '!R20="ややちがう"),3,(IF(('2回目フォームの回答 '!R20="ちがう"),4,"")))))))</f>
        <v>2</v>
      </c>
      <c r="U20" s="1">
        <f>IF(('2回目フォームの回答 '!S20="そうだ"),1,(IF(('2回目フォームの回答 '!S20="まぁそうだ"),2,(IF(('2回目フォームの回答 '!S20="ややちがう"),3,(IF(('2回目フォームの回答 '!S20="ちがう"),4,"")))))))</f>
        <v>2</v>
      </c>
      <c r="V20" s="1">
        <f t="shared" si="48"/>
        <v>8</v>
      </c>
      <c r="W20" s="1">
        <f t="shared" si="11"/>
        <v>3</v>
      </c>
      <c r="X20" s="1">
        <f t="shared" si="12"/>
        <v>10</v>
      </c>
      <c r="Y20" s="1">
        <f t="shared" si="13"/>
        <v>4</v>
      </c>
      <c r="Z20" s="1">
        <f t="shared" si="14"/>
        <v>1</v>
      </c>
      <c r="AA20" s="1">
        <f t="shared" si="15"/>
        <v>2</v>
      </c>
      <c r="AB20" s="1">
        <f t="shared" si="16"/>
        <v>5</v>
      </c>
      <c r="AC20" s="1">
        <f t="shared" si="17"/>
        <v>2</v>
      </c>
      <c r="AD20" s="1">
        <f t="shared" si="18"/>
        <v>2</v>
      </c>
      <c r="AE20" s="1">
        <f t="shared" si="0"/>
        <v>3</v>
      </c>
      <c r="AF20" s="1">
        <f t="shared" si="19"/>
        <v>9</v>
      </c>
      <c r="AG20" s="1">
        <f t="shared" si="1"/>
        <v>2</v>
      </c>
      <c r="AH20" s="1">
        <f t="shared" si="20"/>
        <v>4</v>
      </c>
      <c r="AI20" s="1">
        <f t="shared" si="21"/>
        <v>2</v>
      </c>
      <c r="AJ20" s="1">
        <f t="shared" si="22"/>
        <v>3</v>
      </c>
      <c r="AK20" s="1">
        <f t="shared" si="23"/>
        <v>3</v>
      </c>
      <c r="AL20" s="1">
        <f t="shared" si="24"/>
        <v>3</v>
      </c>
      <c r="AM20" s="1">
        <f t="shared" si="25"/>
        <v>3</v>
      </c>
      <c r="AN20" s="1">
        <f>IF(('2回目フォームの回答 '!T20="ほとんどなかった"),1,(IF(('2回目フォームの回答 '!T20="ときどきあった"),2,(IF(('2回目フォームの回答 '!T20="しばしばあった"),3,(IF(('2回目フォームの回答 '!T20="ほとんどいつもあった"),4,"")))))))</f>
        <v>1</v>
      </c>
      <c r="AO20" s="1">
        <f>IF(('2回目フォームの回答 '!U20="ほとんどなかった"),1,(IF(('2回目フォームの回答 '!U20="ときどきあった"),2,(IF(('2回目フォームの回答 '!U20="しばしばあった"),3,(IF(('2回目フォームの回答 '!U20="ほとんどいつもあった"),4,"")))))))</f>
        <v>1</v>
      </c>
      <c r="AP20" s="1">
        <f>IF(('2回目フォームの回答 '!V20="ほとんどなかった"),1,(IF(('2回目フォームの回答 '!V20="ときどきあった"),2,(IF(('2回目フォームの回答 '!V20="しばしばあった"),3,(IF(('2回目フォームの回答 '!V20="ほとんどいつもあった"),4,"")))))))</f>
        <v>1</v>
      </c>
      <c r="AQ20" s="1">
        <f>IF(('2回目フォームの回答 '!W20="ほとんどなかった"),1,(IF(('2回目フォームの回答 '!W20="ときどきあった"),2,(IF(('2回目フォームの回答 '!W20="しばしばあった"),3,(IF(('2回目フォームの回答 '!W20="ほとんどいつもあった"),4,"")))))))</f>
        <v>2</v>
      </c>
      <c r="AR20" s="1">
        <f>IF(('2回目フォームの回答 '!X20="ほとんどなかった"),1,(IF(('2回目フォームの回答 '!X20="ときどきあった"),2,(IF(('2回目フォームの回答 '!X20="しばしばあった"),3,(IF(('2回目フォームの回答 '!X20="ほとんどいつもあった"),4,"")))))))</f>
        <v>2</v>
      </c>
      <c r="AS20" s="1">
        <f>IF(('2回目フォームの回答 '!Y20="ほとんどなかった"),1,(IF(('2回目フォームの回答 '!Y20="ときどきあった"),2,(IF(('2回目フォームの回答 '!Y20="しばしばあった"),3,(IF(('2回目フォームの回答 '!Y20="ほとんどいつもあった"),4,"")))))))</f>
        <v>1</v>
      </c>
      <c r="AT20" s="1">
        <f>IF(('2回目フォームの回答 '!Z20="ほとんどなかった"),1,(IF(('2回目フォームの回答 '!Z20="ときどきあった"),2,(IF(('2回目フォームの回答 '!Z20="しばしばあった"),3,(IF(('2回目フォームの回答 '!Z20="ほとんどいつもあった"),4,"")))))))</f>
        <v>2</v>
      </c>
      <c r="AU20" s="1">
        <f>IF(('2回目フォームの回答 '!AA20="ほとんどなかった"),1,(IF(('2回目フォームの回答 '!AA20="ときどきあった"),2,(IF(('2回目フォームの回答 '!AA20="しばしばあった"),3,(IF(('2回目フォームの回答 '!AA20="ほとんどいつもあった"),4,"")))))))</f>
        <v>1</v>
      </c>
      <c r="AV20" s="1">
        <f>IF(('2回目フォームの回答 '!AB20="ほとんどなかった"),1,(IF(('2回目フォームの回答 '!AB20="ときどきばあった"),2,(IF(('2回目フォームの回答 '!AB20="しばしばあった"),3,(IF(('2回目フォームの回答 '!AB20="ほとんどいつもあった"),4,"")))))))</f>
        <v>1</v>
      </c>
      <c r="AW20" s="1">
        <f>IF(('2回目フォームの回答 '!AC20="ほとんどなかった"),1,(IF(('2回目フォームの回答 '!AC20="ときどきあった"),2,(IF(('2回目フォームの回答 '!AC20="しばしばあった"),3,(IF(('2回目フォームの回答 '!AC20="ほとんどいつもあった"),4,"")))))))</f>
        <v>2</v>
      </c>
      <c r="AX20" s="1">
        <f>IF(('2回目フォームの回答 '!AD20="ほとんどなかった"),1,(IF(('2回目フォームの回答 '!AD20="ときどきあった"),2,(IF(('2回目フォームの回答 '!AD20="しばしばあった"),3,(IF(('2回目フォームの回答 '!AD20="ほとんどいつもあった"),4,"")))))))</f>
        <v>3</v>
      </c>
      <c r="AY20" s="1">
        <f>IF(('2回目フォームの回答 '!AE20="ほとんどなかった"),1,(IF(('2回目フォームの回答 '!AE20="ときどきあった"),2,(IF(('2回目フォームの回答 '!AE20="しばしばあった"),3,(IF(('2回目フォームの回答 '!AE20="ほとんどいつもあった"),4,"")))))))</f>
        <v>1</v>
      </c>
      <c r="AZ20" s="1">
        <f>IF(('2回目フォームの回答 '!AF20="ほとんどなかった"),1,(IF(('2回目フォームの回答 '!AF20="ときどきあった"),2,(IF(('2回目フォームの回答 '!AF20="しばしばあった"),3,(IF(('2回目フォームの回答 '!AF20="ほとんどいつもあった"),4,"")))))))</f>
        <v>4</v>
      </c>
      <c r="BA20" s="1">
        <f>IF(('2回目フォームの回答 '!AG20="ほとんどなかった"),1,(IF(('2回目フォームの回答 '!AG20="ときどきあった"),2,(IF(('2回目フォームの回答 '!AG20="しばしばあった"),3,(IF(('2回目フォームの回答 '!AG20="ほとんどいつもあった"),4,"")))))))</f>
        <v>1</v>
      </c>
      <c r="BB20" s="1">
        <f>IF(('2回目フォームの回答 '!AH20="ほとんどなかった"),1,(IF(('2回目フォームの回答 '!AH20="ときどきあった"),2,(IF(('2回目フォームの回答 '!AH20="しばしばあった"),3,(IF(('2回目フォームの回答 '!AH20="ほとんどいつもあった"),4,"")))))))</f>
        <v>2</v>
      </c>
      <c r="BC20" s="1">
        <f>IF(('2回目フォームの回答 '!AI20="ほとんどなかった"),1,(IF(('2回目フォームの回答 '!AI20="ときどきあった"),2,(IF(('2回目フォームの回答 '!AI20="しばしばあった"),3,(IF(('2回目フォームの回答 '!AI20="ほとんどいつもあった"),4,"")))))))</f>
        <v>4</v>
      </c>
      <c r="BD20" s="1">
        <f>IF(('2回目フォームの回答 '!AJ20="ほとんどなかった"),1,(IF(('2回目フォームの回答 '!AJ20="ときどきあった"),2,(IF(('2回目フォームの回答 '!AJ20="しばしばあった"),3,(IF(('2回目フォームの回答 '!AJ20="ほとんどいつもあった"),4,"")))))))</f>
        <v>1</v>
      </c>
      <c r="BE20" s="1">
        <f>IF(('2回目フォームの回答 '!AK20="ほとんどなかった"),1,(IF(('2回目フォームの回答 '!AK20="ときどきあった"),2,(IF(('2回目フォームの回答 '!AK20="しばしばあった"),3,(IF(('2回目フォームの回答 '!AK20="ほとんどいつもあった"),4,"")))))))</f>
        <v>1</v>
      </c>
      <c r="BF20" s="1">
        <f>IF(('2回目フォームの回答 '!AL20="ほとんどなかった"),1,(IF(('2回目フォームの回答 '!AL20="ときどきあった"),2,(IF(('2回目フォームの回答 '!AL20="しばしばあった"),3,(IF(('2回目フォームの回答 '!AL20="ほとんどいつもあった"),4,"")))))))</f>
        <v>1</v>
      </c>
      <c r="BG20" s="1">
        <f>IF(('2回目フォームの回答 '!AM20="ほとんどなかった"),1,(IF(('2回目フォームの回答 '!AM20="ときどきあった"),2,(IF(('2回目フォームの回答 '!AM20="しばしばあった"),3,(IF(('2回目フォームの回答 '!AM20="ほとんどいつもあった"),4,"")))))))</f>
        <v>1</v>
      </c>
      <c r="BH20" s="1">
        <f>IF(('2回目フォームの回答 '!AN20="ほとんどなかった"),1,(IF(('2回目フォームの回答 '!AN20="ときどきあった"),2,(IF(('2回目フォームの回答 '!AN20="しばしばあった"),3,(IF(('2回目フォームの回答 '!AN20="ほとんどいつもあった"),4,"")))))))</f>
        <v>1</v>
      </c>
      <c r="BI20" s="1">
        <f>IF(('2回目フォームの回答 '!AO20="ほとんどなかった"),1,(IF(('2回目フォームの回答 '!AO20="ときどきあった"),2,(IF(('2回目フォームの回答 '!AO20="しばしばあった"),3,(IF(('2回目フォームの回答 '!AO20="ほとんどいつもあった"),4,"")))))))</f>
        <v>2</v>
      </c>
      <c r="BJ20" s="1">
        <f>IF(('2回目フォームの回答 '!AP20="ほとんどなかった"),1,(IF(('2回目フォームの回答 '!AP20="ときどきあった"),2,(IF(('2回目フォームの回答 '!AP20="しばしばあった"),3,(IF(('2回目フォームの回答 '!AP20="ほとんどいつもあった"),4,"")))))))</f>
        <v>1</v>
      </c>
      <c r="BK20" s="1">
        <f>IF(('2回目フォームの回答 '!AQ20="ほとんどなかった"),1,(IF(('2回目フォームの回答 '!AQ20="ときどきあった"),2,(IF(('2回目フォームの回答 '!AQ20="しばしばあった"),3,(IF(('2回目フォームの回答 '!AQ20="ほとんどいつもあった"),4,"")))))))</f>
        <v>2</v>
      </c>
      <c r="BL20" s="1">
        <f>IF(('2回目フォームの回答 '!AR20="ほとんどなかった"),1,(IF(('2回目フォームの回答 '!AR20="ときどきあった"),2,(IF(('2回目フォームの回答 '!AR20="しばしばあった"),3,(IF(('2回目フォームの回答 '!AR20="ほとんどいつもあった"),4,"")))))))</f>
        <v>1</v>
      </c>
      <c r="BM20" s="1">
        <f>IF(('2回目フォームの回答 '!AS20="ほとんどなかった"),1,(IF(('2回目フォームの回答 '!AS20="ときどきあった"),2,(IF(('2回目フォームの回答 '!AS20="しばしばあった"),3,(IF(('2回目フォームの回答 '!AS20="ほとんどいつもあった"),4,"")))))))</f>
        <v>1</v>
      </c>
      <c r="BN20" s="1">
        <f>IF(('2回目フォームの回答 '!AT20="ほとんどなかった"),1,(IF(('2回目フォームの回答 '!AT20="ときどきあった"),2,(IF(('2回目フォームの回答 '!AT20="しばしばあった"),3,(IF(('2回目フォームの回答 '!AT20="ほとんどいつもあった"),4,"")))))))</f>
        <v>1</v>
      </c>
      <c r="BO20" s="1">
        <f>IF(('2回目フォームの回答 '!AU20="ほとんどなかった"),1,(IF(('2回目フォームの回答 '!AU20="ときどきあった"),2,(IF(('2回目フォームの回答 '!AU20="しばしばあった"),3,(IF(('2回目フォームの回答 '!AU20="ほとんどいつもあった"),4,"")))))))</f>
        <v>3</v>
      </c>
      <c r="BP20" s="1">
        <f>IF(('2回目フォームの回答 '!AV20="ほとんどなかった"),1,(IF(('2回目フォームの回答 '!AV20="ときどきあった"),2,(IF(('2回目フォームの回答 '!AV20="しばしばあった"),3,(IF(('2回目フォームの回答 '!AV20="ほとんどいつもあった"),4,"")))))))</f>
        <v>4</v>
      </c>
      <c r="BQ20" s="1">
        <f t="shared" si="26"/>
        <v>3</v>
      </c>
      <c r="BR20" s="1">
        <f t="shared" si="27"/>
        <v>5</v>
      </c>
      <c r="BS20" s="1">
        <f t="shared" si="28"/>
        <v>5</v>
      </c>
      <c r="BT20" s="1">
        <f t="shared" si="2"/>
        <v>2</v>
      </c>
      <c r="BU20" s="1">
        <f t="shared" si="3"/>
        <v>4</v>
      </c>
      <c r="BV20" s="1">
        <f t="shared" si="4"/>
        <v>2</v>
      </c>
      <c r="BW20" s="1">
        <f t="shared" si="29"/>
        <v>6</v>
      </c>
      <c r="BX20" s="1">
        <f t="shared" si="5"/>
        <v>3</v>
      </c>
      <c r="BY20" s="1">
        <f t="shared" si="30"/>
        <v>13</v>
      </c>
      <c r="BZ20" s="1">
        <f t="shared" si="6"/>
        <v>4</v>
      </c>
      <c r="CA20" s="1">
        <f t="shared" si="31"/>
        <v>18</v>
      </c>
      <c r="CB20" s="1">
        <f t="shared" si="32"/>
        <v>3</v>
      </c>
      <c r="CC20" s="1">
        <f>IF(('2回目フォームの回答 '!AW20="非常に"),1,(IF(('2回目フォームの回答 '!AW20="かなり"),2,(IF(('2回目フォームの回答 '!AW20="多少"),3,(IF(('2回目フォームの回答 '!AW20="全くない"),4,"")))))))</f>
        <v>3</v>
      </c>
      <c r="CD20" s="1">
        <f>IF(('2回目フォームの回答 '!AX20="非常に"),1,(IF(('2回目フォームの回答 '!AX20="かなり"),2,(IF(('2回目フォームの回答 '!AX20="多少"),3,(IF(('2回目フォームの回答 '!AX20="全くない"),4,"")))))))</f>
        <v>3</v>
      </c>
      <c r="CE20" s="1">
        <f>IF(('2回目フォームの回答 '!AY20="非常に"),1,(IF(('2回目フォームの回答 '!AY20="かなり"),2,(IF(('2回目フォームの回答 '!AY20="多少"),3,(IF(('2回目フォームの回答 '!AY20="全くない"),4,"")))))))</f>
        <v>3</v>
      </c>
      <c r="CF20" s="1">
        <f>IF(('2回目フォームの回答 '!AZ20="非常に"),1,(IF(('2回目フォームの回答 '!AZ20="かなり"),2,(IF(('2回目フォームの回答 '!AZ20="多少"),3,(IF(('2回目フォームの回答 '!AZ20="全くない"),4,"")))))))</f>
        <v>3</v>
      </c>
      <c r="CG20" s="1">
        <f>IF(('2回目フォームの回答 '!BA20="非常に"),1,(IF(('2回目フォームの回答 '!BA20="かなり"),2,(IF(('2回目フォームの回答 '!BA20="多少"),3,(IF(('2回目フォームの回答 '!BA20="全くない"),4,"")))))))</f>
        <v>3</v>
      </c>
      <c r="CH20" s="1">
        <f>IF(('2回目フォームの回答 '!BB20="非常に"),1,(IF(('2回目フォームの回答 '!BB20="かなり"),2,(IF(('2回目フォームの回答 '!BB20="多少"),3,(IF(('2回目フォームの回答 '!BB20="全くない"),4,"")))))))</f>
        <v>3</v>
      </c>
      <c r="CI20" s="1">
        <f>IF(('2回目フォームの回答 '!BC20="非常に"),1,(IF(('2回目フォームの回答 '!BC20="かなり"),2,(IF(('2回目フォームの回答 '!BC20="多少"),3,(IF(('2回目フォームの回答 '!BC20="全くない"),4,"")))))))</f>
        <v>3</v>
      </c>
      <c r="CJ20" s="1">
        <f>IF(('2回目フォームの回答 '!BD20="非常に"),1,(IF(('2回目フォームの回答 '!BD20="かなり"),2,(IF(('2回目フォームの回答 '!BD20="多少"),3,(IF(('2回目フォームの回答 '!BD20="全くない"),4,"")))))))</f>
        <v>3</v>
      </c>
      <c r="CK20" s="1">
        <f>IF(('2回目フォームの回答 '!BE20="非常に"),1,(IF(('2回目フォームの回答 '!BE20="かなり"),2,(IF(('2回目フォームの回答 '!BE20="多少"),3,(IF(('2回目フォームの回答 '!BE20="全くない"),4,"")))))))</f>
        <v>3</v>
      </c>
      <c r="CL20" s="1">
        <f>IF(('2回目フォームの回答 '!BF20="満足"),1,(IF(('2回目フォームの回答 '!BF20="まぁ満足"),2,(IF(('2回目フォームの回答 '!BF20="やや満足"),3,(IF(('2回目フォームの回答 '!BF20="不満足"),4,"")))))))</f>
        <v>3</v>
      </c>
      <c r="CM20" s="1">
        <f>IF(('2回目フォームの回答 '!BG20="満足"),1,(IF(('2回目フォームの回答 '!BG20="まぁ満足"),2,(IF(('2回目フォームの回答 '!BG20="やや満足"),3,(IF(('2回目フォームの回答 '!BG20="不満足"),4,"")))))))</f>
        <v>3</v>
      </c>
      <c r="CN20" s="1">
        <f t="shared" si="33"/>
        <v>6</v>
      </c>
      <c r="CO20" s="1">
        <f t="shared" si="7"/>
        <v>4</v>
      </c>
      <c r="CP20" s="1">
        <f t="shared" si="34"/>
        <v>6</v>
      </c>
      <c r="CQ20" s="1">
        <f t="shared" si="8"/>
        <v>4</v>
      </c>
      <c r="CR20" s="1">
        <f t="shared" si="35"/>
        <v>6</v>
      </c>
      <c r="CS20" s="1">
        <f t="shared" si="36"/>
        <v>5</v>
      </c>
      <c r="CT20" s="1">
        <f t="shared" si="37"/>
        <v>4</v>
      </c>
      <c r="CU20" s="1">
        <f t="shared" si="9"/>
        <v>4</v>
      </c>
      <c r="CV20" s="1">
        <f t="shared" si="38"/>
        <v>19</v>
      </c>
      <c r="CW20" s="1">
        <f t="shared" si="39"/>
        <v>24</v>
      </c>
      <c r="CX20" s="1">
        <f t="shared" si="10"/>
        <v>13</v>
      </c>
      <c r="CY20" s="29" t="str">
        <f t="shared" si="40"/>
        <v>中①</v>
      </c>
      <c r="CZ20" s="1">
        <f>'2回目フォームの回答 '!BH20</f>
        <v>0.9</v>
      </c>
      <c r="DA20" s="2">
        <f t="shared" si="41"/>
        <v>9.9999999999999978E-2</v>
      </c>
      <c r="DB20" s="1">
        <f>IF(('2回目フォームの回答 '!BI20="いつもより寝つきは良い"),0,(IF(('2回目フォームの回答 '!BI20="いつもより少し時間がかかった"),1,(IF(('2回目フォームの回答 '!BI20="いつもよりかなり時間がかかった"),2,(IF(('2回目フォームの回答 '!BI20="いつもより非常に時間がかかった、あるいは全く眠れなかった"),3,"")))))))</f>
        <v>0</v>
      </c>
      <c r="DC20" s="1">
        <f>IF(('2回目フォームの回答 '!BJ20="問題になるほどのことはなかった"),0,(IF(('2回目フォームの回答 '!BJ20="少し困ることがある"),1,(IF(('2回目フォームの回答 '!BJ20="かなり困っている"),2,(IF(('2回目フォームの回答 '!BJ20="深刻な状態、あるいは全く眠れなかった"),3,"")))))))</f>
        <v>1</v>
      </c>
      <c r="DD20" s="1">
        <f>IF(('2回目フォームの回答 '!BK20="そのようなことはなかった"),0,(IF(('2回目フォームの回答 '!BK20="少し早かった"),1,(IF(('2回目フォームの回答 '!BK20="かなり早かった"),2,(IF(('2回目フォームの回答 '!BK20="非常に早かった、あるいは全く眠れなかった"),3,"")))))))</f>
        <v>1</v>
      </c>
      <c r="DE20" s="1">
        <f>IF(('2回目フォームの回答 '!BL20="十分である"),0,(IF(('2回目フォームの回答 '!BL20="少し足りない"),1,(IF(('2回目フォームの回答 '!BL20="かなり足りない"),2,(IF(('2回目フォームの回答 '!BL20="全く足りない、あるいは全く眠れなかった"),3,"")))))))</f>
        <v>0</v>
      </c>
      <c r="DF20" s="1">
        <f>IF(('2回目フォームの回答 '!BM20="満足している"),0,(IF(('2回目フォームの回答 '!BM20="少し不満である"),1,(IF(('2回目フォームの回答 '!BM20="かなり不満である"),2,(IF(('2回目フォームの回答 '!BM20="非常に不満である、あるいは全く眠れなかった"),3,"")))))))</f>
        <v>2</v>
      </c>
      <c r="DG20" s="1">
        <f>IF(('2回目フォームの回答 '!BN20="いつもどおり"),0,(IF(('2回目フォームの回答 '!BN20="少し滅入った"),1,(IF(('2回目フォームの回答 '!BN20="かなり滅入った"),2,(IF(('2回目フォームの回答 '!BN20="非常に滅入った"),3,"")))))))</f>
        <v>1</v>
      </c>
      <c r="DH20" s="1">
        <f>IF(('2回目フォームの回答 '!BO20="いつもどおり"),0,(IF(('2回目フォームの回答 '!BO20="少し低下した"),1,(IF(('2回目フォームの回答 '!BO20="かなり低下した"),2,(IF(('2回目フォームの回答 '!BO20="非常に低下した"),3,"")))))))</f>
        <v>0</v>
      </c>
      <c r="DI20" s="1">
        <f>IF(('2回目フォームの回答 '!BP20="全くなかった"),0,(IF(('2回目フォームの回答 '!BP20="少しあった"),1,(IF(('2回目フォームの回答 '!BP20="かなりあった"),2,(IF(('2回目フォームの回答 '!BP20="激しかった"),3,"")))))))</f>
        <v>0</v>
      </c>
      <c r="DJ20">
        <f t="shared" si="42"/>
        <v>5</v>
      </c>
      <c r="DK20" s="4" t="str">
        <f t="shared" si="43"/>
        <v>中</v>
      </c>
      <c r="DL20" s="5">
        <v>17.399999999999999</v>
      </c>
      <c r="DM20" s="5">
        <v>7.8</v>
      </c>
      <c r="DN20" s="5">
        <v>15</v>
      </c>
      <c r="DO20" s="5">
        <f t="shared" si="44"/>
        <v>40.200000000000003</v>
      </c>
      <c r="DP20" s="5" t="s">
        <v>200</v>
      </c>
      <c r="DQ20" s="5" t="s">
        <v>200</v>
      </c>
      <c r="DR20" s="5"/>
      <c r="DS20" s="71">
        <v>0.34583333333333333</v>
      </c>
      <c r="DT20" s="66">
        <v>311</v>
      </c>
      <c r="DU20" s="59">
        <f>INDEX('1回目結果'!DR:DR,MATCH($DT20,'1回目結果'!$A:$A,0))</f>
        <v>0.24</v>
      </c>
      <c r="DV20" s="59">
        <f>INDEX('1回目結果'!DS:DS,MATCH($DT20,'1回目結果'!$A:$A,0))</f>
        <v>38.520000000000003</v>
      </c>
      <c r="DW20" s="59">
        <f>INDEX('1回目結果'!DT:DT,MATCH($DT20,'1回目結果'!$A:$A,0))</f>
        <v>0.62</v>
      </c>
      <c r="DX20" s="59">
        <f>INDEX('1回目結果'!DU:DU,MATCH($DT20,'1回目結果'!$A:$A,0))</f>
        <v>10</v>
      </c>
      <c r="DY20" s="59">
        <f>IFERROR(INDEX('1回目結果'!DL:DL,MATCH('2回目結果'!$DT20,'1回目結果'!$A:$A,0)),"")</f>
        <v>39.200000000000003</v>
      </c>
      <c r="DZ20" s="59">
        <f>IFERROR(INDEX('1回目結果'!DM:DM,MATCH('2回目結果'!$DT20,'1回目結果'!$A:$A,0)),"")</f>
        <v>30</v>
      </c>
      <c r="EA20" s="59">
        <f>IFERROR(INDEX('1回目結果'!DN:DN,MATCH('2回目結果'!$DT20,'1回目結果'!$A:$A,0)),"")</f>
        <v>40.5</v>
      </c>
      <c r="EB20" s="59">
        <f>IFERROR(INDEX('1回目結果'!DO:DO,MATCH('2回目結果'!$DT20,'1回目結果'!$A:$A,0)),"")</f>
        <v>109.7</v>
      </c>
      <c r="EC20" s="59">
        <f>IFERROR(INDEX('1回目結果'!DP:DP,MATCH('2回目結果'!$DT20,'1回目結果'!$A:$A,0)),"")</f>
        <v>0</v>
      </c>
      <c r="ED20" s="59">
        <f>IFERROR(INDEX('1回目結果'!DQ:DQ,MATCH('2回目結果'!$DT20,'1回目結果'!$A:$A,0)),"")</f>
        <v>0</v>
      </c>
      <c r="EE20" s="54">
        <v>0.96399999999999997</v>
      </c>
      <c r="EF20" s="54">
        <v>85.54</v>
      </c>
      <c r="EG20" s="54">
        <v>1.1299999999999999</v>
      </c>
      <c r="EH20" s="54">
        <v>57</v>
      </c>
      <c r="EI20" s="43" t="s">
        <v>115</v>
      </c>
      <c r="EJ20" s="44">
        <f t="shared" si="45"/>
        <v>5.7</v>
      </c>
      <c r="EK20" s="44"/>
      <c r="EL20">
        <f t="shared" si="46"/>
        <v>-69.5</v>
      </c>
      <c r="EM20">
        <f t="shared" si="47"/>
        <v>-25.5</v>
      </c>
    </row>
    <row r="21" spans="1:143" ht="15.75" customHeight="1">
      <c r="A21" s="1">
        <v>340</v>
      </c>
      <c r="B21" s="24" t="s">
        <v>139</v>
      </c>
      <c r="C21" s="52">
        <v>34464</v>
      </c>
      <c r="D21" s="38">
        <v>30</v>
      </c>
      <c r="E21" s="1">
        <f>IF(('2回目フォームの回答 '!C21="そうだ"),1,(IF(('2回目フォームの回答 '!C21="まぁそうだ"),2,(IF(('2回目フォームの回答 '!C21="ややちがう"),3,(IF(('2回目フォームの回答 '!C21="ちがう"),4,"")))))))</f>
        <v>3</v>
      </c>
      <c r="F21" s="1">
        <f>IF(('2回目フォームの回答 '!D21="そうだ"),1,(IF(('2回目フォームの回答 '!D21="まぁそうだ"),2,(IF(('2回目フォームの回答 '!D21="ややちがう"),3,(IF(('2回目フォームの回答 '!D21="ちがう"),4,"")))))))</f>
        <v>3</v>
      </c>
      <c r="G21" s="1">
        <f>IF(('2回目フォームの回答 '!E21="そうだ"),1,(IF(('2回目フォームの回答 '!E21="まぁそうだ"),2,(IF(('2回目フォームの回答 '!E21="ややちがう"),3,(IF(('2回目フォームの回答 '!E21="ちがう"),4,"")))))))</f>
        <v>3</v>
      </c>
      <c r="H21" s="1">
        <f>IF(('2回目フォームの回答 '!F21="そうだ"),1,(IF(('2回目フォームの回答 '!F21="まぁそうだ"),2,(IF(('2回目フォームの回答 '!F21="ややちがう"),3,(IF(('2回目フォームの回答 '!F21="ちがう"),4,"")))))))</f>
        <v>2</v>
      </c>
      <c r="I21" s="1">
        <f>IF(('2回目フォームの回答 '!G21="そうだ"),1,(IF(('2回目フォームの回答 '!G21="まぁそうだ"),2,(IF(('2回目フォームの回答 '!G21="ややちがう"),3,(IF(('2回目フォームの回答 '!G21="ちがう"),4,"")))))))</f>
        <v>2</v>
      </c>
      <c r="J21" s="1">
        <f>IF(('2回目フォームの回答 '!H21="そうだ"),1,(IF(('2回目フォームの回答 '!H21="まぁそうだ"),2,(IF(('2回目フォームの回答 '!H21="ややちがう"),3,(IF(('2回目フォームの回答 '!H21="ちがう"),4,"")))))))</f>
        <v>2</v>
      </c>
      <c r="K21" s="1">
        <f>IF(('2回目フォームの回答 '!I21="そうだ"),1,(IF(('2回目フォームの回答 '!I21="まぁそうだ"),2,(IF(('2回目フォームの回答 '!I21="ややちがう"),3,(IF(('2回目フォームの回答 '!I21="ちがう"),4,"")))))))</f>
        <v>4</v>
      </c>
      <c r="L21" s="1">
        <f>IF(('2回目フォームの回答 '!J21="そうだ"),1,(IF(('2回目フォームの回答 '!J21="まぁそうだ"),2,(IF(('2回目フォームの回答 '!J21="ややちがう"),3,(IF(('2回目フォームの回答 '!J21="ちがう"),4,"")))))))</f>
        <v>2</v>
      </c>
      <c r="M21" s="1">
        <f>IF(('2回目フォームの回答 '!K21="そうだ"),1,(IF(('2回目フォームの回答 '!K21="まぁそうだ"),2,(IF(('2回目フォームの回答 '!K21="ややちがう"),3,(IF(('2回目フォームの回答 '!K21="ちがう"),4,"")))))))</f>
        <v>4</v>
      </c>
      <c r="N21" s="1">
        <f>IF(('2回目フォームの回答 '!L21="そうだ"),1,(IF(('2回目フォームの回答 '!L21="まぁそうだ"),2,(IF(('2回目フォームの回答 '!L21="ややちがう"),3,(IF(('2回目フォームの回答 '!L21="ちがう"),4,"")))))))</f>
        <v>4</v>
      </c>
      <c r="O21" s="1">
        <f>IF(('2回目フォームの回答 '!M21="そうだ"),1,(IF(('2回目フォームの回答 '!M21="まぁそうだ"),2,(IF(('2回目フォームの回答 '!M21="ややちがう"),3,(IF(('2回目フォームの回答 '!M21="ちがう"),4,"")))))))</f>
        <v>1</v>
      </c>
      <c r="P21" s="1">
        <f>IF(('2回目フォームの回答 '!N21="そうだ"),1,(IF(('2回目フォームの回答 '!N21="まぁそうだ"),2,(IF(('2回目フォームの回答 '!N21="ややちがう"),3,(IF(('2回目フォームの回答 '!N21="ちがう"),4,"")))))))</f>
        <v>1</v>
      </c>
      <c r="Q21" s="1">
        <f>IF(('2回目フォームの回答 '!O21="そうだ"),1,(IF(('2回目フォームの回答 '!O21="まぁそうだ"),2,(IF(('2回目フォームの回答 '!O21="ややちがう"),3,(IF(('2回目フォームの回答 '!O21="ちがう"),4,"")))))))</f>
        <v>3</v>
      </c>
      <c r="R21" s="1">
        <f>IF(('2回目フォームの回答 '!P21="そうだ"),1,(IF(('2回目フォームの回答 '!P21="まぁそうだ"),2,(IF(('2回目フォームの回答 '!P21="ややちがう"),3,(IF(('2回目フォームの回答 '!P21="ちがう"),4,"")))))))</f>
        <v>3</v>
      </c>
      <c r="S21" s="1">
        <f>IF(('2回目フォームの回答 '!Q21="そうだ"),1,(IF(('2回目フォームの回答 '!Q21="まぁそうだ"),2,(IF(('2回目フォームの回答 '!Q21="ややちがう"),3,(IF(('2回目フォームの回答 '!Q21="ちがう"),4,"")))))))</f>
        <v>3</v>
      </c>
      <c r="T21" s="1">
        <f>IF(('2回目フォームの回答 '!R21="そうだ"),1,(IF(('2回目フォームの回答 '!R21="まぁそうだ"),2,(IF(('2回目フォームの回答 '!R21="ややちがう"),3,(IF(('2回目フォームの回答 '!R21="ちがう"),4,"")))))))</f>
        <v>4</v>
      </c>
      <c r="U21" s="1">
        <f>IF(('2回目フォームの回答 '!S21="そうだ"),1,(IF(('2回目フォームの回答 '!S21="まぁそうだ"),2,(IF(('2回目フォームの回答 '!S21="ややちがう"),3,(IF(('2回目フォームの回答 '!S21="ちがう"),4,"")))))))</f>
        <v>4</v>
      </c>
      <c r="V21" s="1">
        <f t="shared" si="48"/>
        <v>6</v>
      </c>
      <c r="W21" s="1">
        <f t="shared" si="11"/>
        <v>2</v>
      </c>
      <c r="X21" s="1">
        <f t="shared" si="12"/>
        <v>9</v>
      </c>
      <c r="Y21" s="1">
        <f t="shared" si="13"/>
        <v>3</v>
      </c>
      <c r="Z21" s="1">
        <f t="shared" si="14"/>
        <v>1</v>
      </c>
      <c r="AA21" s="1">
        <f t="shared" si="15"/>
        <v>2</v>
      </c>
      <c r="AB21" s="1">
        <f t="shared" si="16"/>
        <v>9</v>
      </c>
      <c r="AC21" s="1">
        <f t="shared" si="17"/>
        <v>4</v>
      </c>
      <c r="AD21" s="1">
        <f t="shared" si="18"/>
        <v>2</v>
      </c>
      <c r="AE21" s="1">
        <f t="shared" si="0"/>
        <v>3</v>
      </c>
      <c r="AF21" s="1">
        <f t="shared" si="19"/>
        <v>5</v>
      </c>
      <c r="AG21" s="1">
        <f t="shared" si="1"/>
        <v>4</v>
      </c>
      <c r="AH21" s="1">
        <f t="shared" si="20"/>
        <v>1</v>
      </c>
      <c r="AI21" s="1">
        <f t="shared" si="21"/>
        <v>5</v>
      </c>
      <c r="AJ21" s="1">
        <f t="shared" si="22"/>
        <v>1</v>
      </c>
      <c r="AK21" s="1">
        <f t="shared" si="23"/>
        <v>5</v>
      </c>
      <c r="AL21" s="1">
        <f t="shared" si="24"/>
        <v>1</v>
      </c>
      <c r="AM21" s="1">
        <f t="shared" si="25"/>
        <v>5</v>
      </c>
      <c r="AN21" s="1">
        <f>IF(('2回目フォームの回答 '!T21="ほとんどなかった"),1,(IF(('2回目フォームの回答 '!T21="ときどきあった"),2,(IF(('2回目フォームの回答 '!T21="しばしばあった"),3,(IF(('2回目フォームの回答 '!T21="ほとんどいつもあった"),4,"")))))))</f>
        <v>1</v>
      </c>
      <c r="AO21" s="1">
        <f>IF(('2回目フォームの回答 '!U21="ほとんどなかった"),1,(IF(('2回目フォームの回答 '!U21="ときどきあった"),2,(IF(('2回目フォームの回答 '!U21="しばしばあった"),3,(IF(('2回目フォームの回答 '!U21="ほとんどいつもあった"),4,"")))))))</f>
        <v>1</v>
      </c>
      <c r="AP21" s="1">
        <f>IF(('2回目フォームの回答 '!V21="ほとんどなかった"),1,(IF(('2回目フォームの回答 '!V21="ときどきあった"),2,(IF(('2回目フォームの回答 '!V21="しばしばあった"),3,(IF(('2回目フォームの回答 '!V21="ほとんどいつもあった"),4,"")))))))</f>
        <v>1</v>
      </c>
      <c r="AQ21" s="1">
        <f>IF(('2回目フォームの回答 '!W21="ほとんどなかった"),1,(IF(('2回目フォームの回答 '!W21="ときどきあった"),2,(IF(('2回目フォームの回答 '!W21="しばしばあった"),3,(IF(('2回目フォームの回答 '!W21="ほとんどいつもあった"),4,"")))))))</f>
        <v>4</v>
      </c>
      <c r="AR21" s="1">
        <f>IF(('2回目フォームの回答 '!X21="ほとんどなかった"),1,(IF(('2回目フォームの回答 '!X21="ときどきあった"),2,(IF(('2回目フォームの回答 '!X21="しばしばあった"),3,(IF(('2回目フォームの回答 '!X21="ほとんどいつもあった"),4,"")))))))</f>
        <v>4</v>
      </c>
      <c r="AS21" s="1">
        <f>IF(('2回目フォームの回答 '!Y21="ほとんどなかった"),1,(IF(('2回目フォームの回答 '!Y21="ときどきあった"),2,(IF(('2回目フォームの回答 '!Y21="しばしばあった"),3,(IF(('2回目フォームの回答 '!Y21="ほとんどいつもあった"),4,"")))))))</f>
        <v>4</v>
      </c>
      <c r="AT21" s="1">
        <f>IF(('2回目フォームの回答 '!Z21="ほとんどなかった"),1,(IF(('2回目フォームの回答 '!Z21="ときどきあった"),2,(IF(('2回目フォームの回答 '!Z21="しばしばあった"),3,(IF(('2回目フォームの回答 '!Z21="ほとんどいつもあった"),4,"")))))))</f>
        <v>3</v>
      </c>
      <c r="AU21" s="1">
        <f>IF(('2回目フォームの回答 '!AA21="ほとんどなかった"),1,(IF(('2回目フォームの回答 '!AA21="ときどきあった"),2,(IF(('2回目フォームの回答 '!AA21="しばしばあった"),3,(IF(('2回目フォームの回答 '!AA21="ほとんどいつもあった"),4,"")))))))</f>
        <v>3</v>
      </c>
      <c r="AV21" s="1">
        <f>IF(('2回目フォームの回答 '!AB21="ほとんどなかった"),1,(IF(('2回目フォームの回答 '!AB21="ときどきばあった"),2,(IF(('2回目フォームの回答 '!AB21="しばしばあった"),3,(IF(('2回目フォームの回答 '!AB21="ほとんどいつもあった"),4,"")))))))</f>
        <v>2</v>
      </c>
      <c r="AW21" s="1">
        <f>IF(('2回目フォームの回答 '!AC21="ほとんどなかった"),1,(IF(('2回目フォームの回答 '!AC21="ときどきあった"),2,(IF(('2回目フォームの回答 '!AC21="しばしばあった"),3,(IF(('2回目フォームの回答 '!AC21="ほとんどいつもあった"),4,"")))))))</f>
        <v>2</v>
      </c>
      <c r="AX21" s="1">
        <f>IF(('2回目フォームの回答 '!AD21="ほとんどなかった"),1,(IF(('2回目フォームの回答 '!AD21="ときどきあった"),2,(IF(('2回目フォームの回答 '!AD21="しばしばあった"),3,(IF(('2回目フォームの回答 '!AD21="ほとんどいつもあった"),4,"")))))))</f>
        <v>4</v>
      </c>
      <c r="AY21" s="1">
        <f>IF(('2回目フォームの回答 '!AE21="ほとんどなかった"),1,(IF(('2回目フォームの回答 '!AE21="ときどきあった"),2,(IF(('2回目フォームの回答 '!AE21="しばしばあった"),3,(IF(('2回目フォームの回答 '!AE21="ほとんどいつもあった"),4,"")))))))</f>
        <v>4</v>
      </c>
      <c r="AZ21" s="1">
        <f>IF(('2回目フォームの回答 '!AF21="ほとんどなかった"),1,(IF(('2回目フォームの回答 '!AF21="ときどきあった"),2,(IF(('2回目フォームの回答 '!AF21="しばしばあった"),3,(IF(('2回目フォームの回答 '!AF21="ほとんどいつもあった"),4,"")))))))</f>
        <v>4</v>
      </c>
      <c r="BA21" s="1">
        <f>IF(('2回目フォームの回答 '!AG21="ほとんどなかった"),1,(IF(('2回目フォームの回答 '!AG21="ときどきあった"),2,(IF(('2回目フォームの回答 '!AG21="しばしばあった"),3,(IF(('2回目フォームの回答 '!AG21="ほとんどいつもあった"),4,"")))))))</f>
        <v>4</v>
      </c>
      <c r="BB21" s="1">
        <f>IF(('2回目フォームの回答 '!AH21="ほとんどなかった"),1,(IF(('2回目フォームの回答 '!AH21="ときどきあった"),2,(IF(('2回目フォームの回答 '!AH21="しばしばあった"),3,(IF(('2回目フォームの回答 '!AH21="ほとんどいつもあった"),4,"")))))))</f>
        <v>4</v>
      </c>
      <c r="BC21" s="1">
        <f>IF(('2回目フォームの回答 '!AI21="ほとんどなかった"),1,(IF(('2回目フォームの回答 '!AI21="ときどきあった"),2,(IF(('2回目フォームの回答 '!AI21="しばしばあった"),3,(IF(('2回目フォームの回答 '!AI21="ほとんどいつもあった"),4,"")))))))</f>
        <v>4</v>
      </c>
      <c r="BD21" s="1">
        <f>IF(('2回目フォームの回答 '!AJ21="ほとんどなかった"),1,(IF(('2回目フォームの回答 '!AJ21="ときどきあった"),2,(IF(('2回目フォームの回答 '!AJ21="しばしばあった"),3,(IF(('2回目フォームの回答 '!AJ21="ほとんどいつもあった"),4,"")))))))</f>
        <v>2</v>
      </c>
      <c r="BE21" s="1">
        <f>IF(('2回目フォームの回答 '!AK21="ほとんどなかった"),1,(IF(('2回目フォームの回答 '!AK21="ときどきあった"),2,(IF(('2回目フォームの回答 '!AK21="しばしばあった"),3,(IF(('2回目フォームの回答 '!AK21="ほとんどいつもあった"),4,"")))))))</f>
        <v>4</v>
      </c>
      <c r="BF21" s="1">
        <f>IF(('2回目フォームの回答 '!AL21="ほとんどなかった"),1,(IF(('2回目フォームの回答 '!AL21="ときどきあった"),2,(IF(('2回目フォームの回答 '!AL21="しばしばあった"),3,(IF(('2回目フォームの回答 '!AL21="ほとんどいつもあった"),4,"")))))))</f>
        <v>1</v>
      </c>
      <c r="BG21" s="1">
        <f>IF(('2回目フォームの回答 '!AM21="ほとんどなかった"),1,(IF(('2回目フォームの回答 '!AM21="ときどきあった"),2,(IF(('2回目フォームの回答 '!AM21="しばしばあった"),3,(IF(('2回目フォームの回答 '!AM21="ほとんどいつもあった"),4,"")))))))</f>
        <v>1</v>
      </c>
      <c r="BH21" s="1">
        <f>IF(('2回目フォームの回答 '!AN21="ほとんどなかった"),1,(IF(('2回目フォームの回答 '!AN21="ときどきあった"),2,(IF(('2回目フォームの回答 '!AN21="しばしばあった"),3,(IF(('2回目フォームの回答 '!AN21="ほとんどいつもあった"),4,"")))))))</f>
        <v>2</v>
      </c>
      <c r="BI21" s="1">
        <f>IF(('2回目フォームの回答 '!AO21="ほとんどなかった"),1,(IF(('2回目フォームの回答 '!AO21="ときどきあった"),2,(IF(('2回目フォームの回答 '!AO21="しばしばあった"),3,(IF(('2回目フォームの回答 '!AO21="ほとんどいつもあった"),4,"")))))))</f>
        <v>3</v>
      </c>
      <c r="BJ21" s="1">
        <f>IF(('2回目フォームの回答 '!AP21="ほとんどなかった"),1,(IF(('2回目フォームの回答 '!AP21="ときどきあった"),2,(IF(('2回目フォームの回答 '!AP21="しばしばあった"),3,(IF(('2回目フォームの回答 '!AP21="ほとんどいつもあった"),4,"")))))))</f>
        <v>1</v>
      </c>
      <c r="BK21" s="1">
        <f>IF(('2回目フォームの回答 '!AQ21="ほとんどなかった"),1,(IF(('2回目フォームの回答 '!AQ21="ときどきあった"),2,(IF(('2回目フォームの回答 '!AQ21="しばしばあった"),3,(IF(('2回目フォームの回答 '!AQ21="ほとんどいつもあった"),4,"")))))))</f>
        <v>1</v>
      </c>
      <c r="BL21" s="1">
        <f>IF(('2回目フォームの回答 '!AR21="ほとんどなかった"),1,(IF(('2回目フォームの回答 '!AR21="ときどきあった"),2,(IF(('2回目フォームの回答 '!AR21="しばしばあった"),3,(IF(('2回目フォームの回答 '!AR21="ほとんどいつもあった"),4,"")))))))</f>
        <v>3</v>
      </c>
      <c r="BM21" s="1">
        <f>IF(('2回目フォームの回答 '!AS21="ほとんどなかった"),1,(IF(('2回目フォームの回答 '!AS21="ときどきあった"),2,(IF(('2回目フォームの回答 '!AS21="しばしばあった"),3,(IF(('2回目フォームの回答 '!AS21="ほとんどいつもあった"),4,"")))))))</f>
        <v>3</v>
      </c>
      <c r="BN21" s="1">
        <f>IF(('2回目フォームの回答 '!AT21="ほとんどなかった"),1,(IF(('2回目フォームの回答 '!AT21="ときどきあった"),2,(IF(('2回目フォームの回答 '!AT21="しばしばあった"),3,(IF(('2回目フォームの回答 '!AT21="ほとんどいつもあった"),4,"")))))))</f>
        <v>2</v>
      </c>
      <c r="BO21" s="1">
        <f>IF(('2回目フォームの回答 '!AU21="ほとんどなかった"),1,(IF(('2回目フォームの回答 '!AU21="ときどきあった"),2,(IF(('2回目フォームの回答 '!AU21="しばしばあった"),3,(IF(('2回目フォームの回答 '!AU21="ほとんどいつもあった"),4,"")))))))</f>
        <v>1</v>
      </c>
      <c r="BP21" s="1">
        <f>IF(('2回目フォームの回答 '!AV21="ほとんどなかった"),1,(IF(('2回目フォームの回答 '!AV21="ときどきあった"),2,(IF(('2回目フォームの回答 '!AV21="しばしばあった"),3,(IF(('2回目フォームの回答 '!AV21="ほとんどいつもあった"),4,"")))))))</f>
        <v>3</v>
      </c>
      <c r="BQ21" s="1">
        <f t="shared" si="26"/>
        <v>3</v>
      </c>
      <c r="BR21" s="1">
        <f t="shared" si="27"/>
        <v>5</v>
      </c>
      <c r="BS21" s="1">
        <f t="shared" si="28"/>
        <v>12</v>
      </c>
      <c r="BT21" s="1">
        <f t="shared" si="2"/>
        <v>5</v>
      </c>
      <c r="BU21" s="1">
        <f t="shared" si="3"/>
        <v>8</v>
      </c>
      <c r="BV21" s="1">
        <f t="shared" si="4"/>
        <v>4</v>
      </c>
      <c r="BW21" s="1">
        <f t="shared" si="29"/>
        <v>10</v>
      </c>
      <c r="BX21" s="1">
        <f t="shared" si="5"/>
        <v>5</v>
      </c>
      <c r="BY21" s="1">
        <f t="shared" si="30"/>
        <v>22</v>
      </c>
      <c r="BZ21" s="1">
        <f t="shared" si="6"/>
        <v>5</v>
      </c>
      <c r="CA21" s="1">
        <f t="shared" si="31"/>
        <v>21</v>
      </c>
      <c r="CB21" s="1">
        <f t="shared" si="32"/>
        <v>3</v>
      </c>
      <c r="CC21" s="1">
        <f>IF(('2回目フォームの回答 '!AW21="非常に"),1,(IF(('2回目フォームの回答 '!AW21="かなり"),2,(IF(('2回目フォームの回答 '!AW21="多少"),3,(IF(('2回目フォームの回答 '!AW21="全くない"),4,"")))))))</f>
        <v>4</v>
      </c>
      <c r="CD21" s="1">
        <f>IF(('2回目フォームの回答 '!AX21="非常に"),1,(IF(('2回目フォームの回答 '!AX21="かなり"),2,(IF(('2回目フォームの回答 '!AX21="多少"),3,(IF(('2回目フォームの回答 '!AX21="全くない"),4,"")))))))</f>
        <v>4</v>
      </c>
      <c r="CE21" s="1">
        <f>IF(('2回目フォームの回答 '!AY21="非常に"),1,(IF(('2回目フォームの回答 '!AY21="かなり"),2,(IF(('2回目フォームの回答 '!AY21="多少"),3,(IF(('2回目フォームの回答 '!AY21="全くない"),4,"")))))))</f>
        <v>4</v>
      </c>
      <c r="CF21" s="1">
        <f>IF(('2回目フォームの回答 '!AZ21="非常に"),1,(IF(('2回目フォームの回答 '!AZ21="かなり"),2,(IF(('2回目フォームの回答 '!AZ21="多少"),3,(IF(('2回目フォームの回答 '!AZ21="全くない"),4,"")))))))</f>
        <v>4</v>
      </c>
      <c r="CG21" s="1">
        <f>IF(('2回目フォームの回答 '!BA21="非常に"),1,(IF(('2回目フォームの回答 '!BA21="かなり"),2,(IF(('2回目フォームの回答 '!BA21="多少"),3,(IF(('2回目フォームの回答 '!BA21="全くない"),4,"")))))))</f>
        <v>4</v>
      </c>
      <c r="CH21" s="1">
        <f>IF(('2回目フォームの回答 '!BB21="非常に"),1,(IF(('2回目フォームの回答 '!BB21="かなり"),2,(IF(('2回目フォームの回答 '!BB21="多少"),3,(IF(('2回目フォームの回答 '!BB21="全くない"),4,"")))))))</f>
        <v>4</v>
      </c>
      <c r="CI21" s="1">
        <f>IF(('2回目フォームの回答 '!BC21="非常に"),1,(IF(('2回目フォームの回答 '!BC21="かなり"),2,(IF(('2回目フォームの回答 '!BC21="多少"),3,(IF(('2回目フォームの回答 '!BC21="全くない"),4,"")))))))</f>
        <v>4</v>
      </c>
      <c r="CJ21" s="1">
        <f>IF(('2回目フォームの回答 '!BD21="非常に"),1,(IF(('2回目フォームの回答 '!BD21="かなり"),2,(IF(('2回目フォームの回答 '!BD21="多少"),3,(IF(('2回目フォームの回答 '!BD21="全くない"),4,"")))))))</f>
        <v>4</v>
      </c>
      <c r="CK21" s="1">
        <f>IF(('2回目フォームの回答 '!BE21="非常に"),1,(IF(('2回目フォームの回答 '!BE21="かなり"),2,(IF(('2回目フォームの回答 '!BE21="多少"),3,(IF(('2回目フォームの回答 '!BE21="全くない"),4,"")))))))</f>
        <v>4</v>
      </c>
      <c r="CL21" s="1">
        <f>IF(('2回目フォームの回答 '!BF21="満足"),1,(IF(('2回目フォームの回答 '!BF21="まぁ満足"),2,(IF(('2回目フォームの回答 '!BF21="やや満足"),3,(IF(('2回目フォームの回答 '!BF21="不満足"),4,"")))))))</f>
        <v>4</v>
      </c>
      <c r="CM21" s="1">
        <f>IF(('2回目フォームの回答 '!BG21="満足"),1,(IF(('2回目フォームの回答 '!BG21="まぁ満足"),2,(IF(('2回目フォームの回答 '!BG21="やや満足"),3,(IF(('2回目フォームの回答 '!BG21="不満足"),4,"")))))))</f>
        <v>3</v>
      </c>
      <c r="CN21" s="1">
        <f t="shared" si="33"/>
        <v>3</v>
      </c>
      <c r="CO21" s="1">
        <f t="shared" si="7"/>
        <v>5</v>
      </c>
      <c r="CP21" s="1">
        <f t="shared" si="34"/>
        <v>3</v>
      </c>
      <c r="CQ21" s="1">
        <f t="shared" si="8"/>
        <v>5</v>
      </c>
      <c r="CR21" s="1">
        <f t="shared" si="35"/>
        <v>3</v>
      </c>
      <c r="CS21" s="1">
        <f t="shared" si="36"/>
        <v>5</v>
      </c>
      <c r="CT21" s="1">
        <f t="shared" si="37"/>
        <v>3</v>
      </c>
      <c r="CU21" s="1">
        <f t="shared" si="9"/>
        <v>5</v>
      </c>
      <c r="CV21" s="1">
        <f t="shared" si="38"/>
        <v>27</v>
      </c>
      <c r="CW21" s="1">
        <f t="shared" si="39"/>
        <v>33</v>
      </c>
      <c r="CX21" s="1">
        <f t="shared" si="10"/>
        <v>15</v>
      </c>
      <c r="CY21" s="29" t="str">
        <f t="shared" si="40"/>
        <v>高</v>
      </c>
      <c r="CZ21" s="1">
        <f>'2回目フォームの回答 '!BH21</f>
        <v>0.4</v>
      </c>
      <c r="DA21" s="2">
        <f t="shared" si="41"/>
        <v>0.6</v>
      </c>
      <c r="DB21" s="1">
        <f>IF(('2回目フォームの回答 '!BI21="いつもより寝つきは良い"),0,(IF(('2回目フォームの回答 '!BI21="いつもより少し時間がかかった"),1,(IF(('2回目フォームの回答 '!BI21="いつもよりかなり時間がかかった"),2,(IF(('2回目フォームの回答 '!BI21="いつもより非常に時間がかかった、あるいは全く眠れなかった"),3,"")))))))</f>
        <v>3</v>
      </c>
      <c r="DC21" s="1">
        <f>IF(('2回目フォームの回答 '!BJ21="問題になるほどのことはなかった"),0,(IF(('2回目フォームの回答 '!BJ21="少し困ることがある"),1,(IF(('2回目フォームの回答 '!BJ21="かなり困っている"),2,(IF(('2回目フォームの回答 '!BJ21="深刻な状態、あるいは全く眠れなかった"),3,"")))))))</f>
        <v>0</v>
      </c>
      <c r="DD21" s="1">
        <f>IF(('2回目フォームの回答 '!BK21="そのようなことはなかった"),0,(IF(('2回目フォームの回答 '!BK21="少し早かった"),1,(IF(('2回目フォームの回答 '!BK21="かなり早かった"),2,(IF(('2回目フォームの回答 '!BK21="非常に早かった、あるいは全く眠れなかった"),3,"")))))))</f>
        <v>0</v>
      </c>
      <c r="DE21" s="1">
        <f>IF(('2回目フォームの回答 '!BL21="十分である"),0,(IF(('2回目フォームの回答 '!BL21="少し足りない"),1,(IF(('2回目フォームの回答 '!BL21="かなり足りない"),2,(IF(('2回目フォームの回答 '!BL21="全く足りない、あるいは全く眠れなかった"),3,"")))))))</f>
        <v>2</v>
      </c>
      <c r="DF21" s="1">
        <f>IF(('2回目フォームの回答 '!BM21="満足している"),0,(IF(('2回目フォームの回答 '!BM21="少し不満である"),1,(IF(('2回目フォームの回答 '!BM21="かなり不満である"),2,(IF(('2回目フォームの回答 '!BM21="非常に不満である、あるいは全く眠れなかった"),3,"")))))))</f>
        <v>1</v>
      </c>
      <c r="DG21" s="1">
        <f>IF(('2回目フォームの回答 '!BN21="いつもどおり"),0,(IF(('2回目フォームの回答 '!BN21="少し滅入った"),1,(IF(('2回目フォームの回答 '!BN21="かなり滅入った"),2,(IF(('2回目フォームの回答 '!BN21="非常に滅入った"),3,"")))))))</f>
        <v>2</v>
      </c>
      <c r="DH21" s="1">
        <f>IF(('2回目フォームの回答 '!BO21="いつもどおり"),0,(IF(('2回目フォームの回答 '!BO21="少し低下した"),1,(IF(('2回目フォームの回答 '!BO21="かなり低下した"),2,(IF(('2回目フォームの回答 '!BO21="非常に低下した"),3,"")))))))</f>
        <v>1</v>
      </c>
      <c r="DI21" s="1">
        <f>IF(('2回目フォームの回答 '!BP21="全くなかった"),0,(IF(('2回目フォームの回答 '!BP21="少しあった"),1,(IF(('2回目フォームの回答 '!BP21="かなりあった"),2,(IF(('2回目フォームの回答 '!BP21="激しかった"),3,"")))))))</f>
        <v>2</v>
      </c>
      <c r="DJ21">
        <f t="shared" si="42"/>
        <v>11</v>
      </c>
      <c r="DK21" s="4" t="str">
        <f t="shared" si="43"/>
        <v>高</v>
      </c>
      <c r="DL21" s="5">
        <v>12.4</v>
      </c>
      <c r="DM21" s="5">
        <v>5.5</v>
      </c>
      <c r="DN21" s="5">
        <v>8.3000000000000007</v>
      </c>
      <c r="DO21" s="5">
        <f t="shared" si="44"/>
        <v>26.2</v>
      </c>
      <c r="DP21" s="5"/>
      <c r="DQ21" s="5"/>
      <c r="DR21" s="5"/>
      <c r="DS21" s="71"/>
      <c r="DT21" s="66">
        <v>320</v>
      </c>
      <c r="DU21" s="59">
        <f>INDEX('1回目結果'!DR:DR,MATCH($DT21,'1回目結果'!$A:$A,0))</f>
        <v>2.7160000000000002</v>
      </c>
      <c r="DV21" s="59">
        <f>INDEX('1回目結果'!DS:DS,MATCH($DT21,'1回目結果'!$A:$A,0))</f>
        <v>213.17</v>
      </c>
      <c r="DW21" s="59">
        <f>INDEX('1回目結果'!DT:DT,MATCH($DT21,'1回目結果'!$A:$A,0))</f>
        <v>1.27</v>
      </c>
      <c r="DX21" s="59">
        <f>INDEX('1回目結果'!DU:DU,MATCH($DT21,'1回目結果'!$A:$A,0))</f>
        <v>64</v>
      </c>
      <c r="DY21" s="59">
        <f>IFERROR(INDEX('1回目結果'!DL:DL,MATCH('2回目結果'!$DT21,'1回目結果'!$A:$A,0)),"")</f>
        <v>7.6</v>
      </c>
      <c r="DZ21" s="59">
        <f>IFERROR(INDEX('1回目結果'!DM:DM,MATCH('2回目結果'!$DT21,'1回目結果'!$A:$A,0)),"")</f>
        <v>10.4</v>
      </c>
      <c r="EA21" s="59">
        <f>IFERROR(INDEX('1回目結果'!DN:DN,MATCH('2回目結果'!$DT21,'1回目結果'!$A:$A,0)),"")</f>
        <v>9.9</v>
      </c>
      <c r="EB21" s="59">
        <f>IFERROR(INDEX('1回目結果'!DO:DO,MATCH('2回目結果'!$DT21,'1回目結果'!$A:$A,0)),"")</f>
        <v>27.9</v>
      </c>
      <c r="EC21" s="59" t="str">
        <f>IFERROR(INDEX('1回目結果'!DP:DP,MATCH('2回目結果'!$DT21,'1回目結果'!$A:$A,0)),"")</f>
        <v>〇</v>
      </c>
      <c r="ED21" s="59">
        <f>IFERROR(INDEX('1回目結果'!DQ:DQ,MATCH('2回目結果'!$DT21,'1回目結果'!$A:$A,0)),"")</f>
        <v>0</v>
      </c>
      <c r="EE21" s="54">
        <v>2.6080000000000001</v>
      </c>
      <c r="EF21" s="54">
        <v>258.67</v>
      </c>
      <c r="EG21" s="54">
        <v>1.01</v>
      </c>
      <c r="EH21" s="54">
        <v>51</v>
      </c>
      <c r="EI21" s="43" t="s">
        <v>115</v>
      </c>
      <c r="EJ21" s="44">
        <f t="shared" si="45"/>
        <v>0.796875</v>
      </c>
      <c r="EK21" s="44">
        <f t="shared" ref="EK21:EK26" si="53">EG21/DW21</f>
        <v>0.79527559055118113</v>
      </c>
      <c r="EL21">
        <f t="shared" si="46"/>
        <v>-1.6999999999999993</v>
      </c>
      <c r="EM21">
        <f t="shared" si="47"/>
        <v>-1.5999999999999996</v>
      </c>
    </row>
    <row r="22" spans="1:143" ht="15.75" customHeight="1">
      <c r="A22" s="1">
        <v>341</v>
      </c>
      <c r="B22" s="24" t="s">
        <v>139</v>
      </c>
      <c r="C22" s="52">
        <v>33714</v>
      </c>
      <c r="D22" s="38">
        <v>32</v>
      </c>
      <c r="E22" s="1">
        <f>IF(('2回目フォームの回答 '!C22="そうだ"),1,(IF(('2回目フォームの回答 '!C22="まぁそうだ"),2,(IF(('2回目フォームの回答 '!C22="ややちがう"),3,(IF(('2回目フォームの回答 '!C22="ちがう"),4,"")))))))</f>
        <v>3</v>
      </c>
      <c r="F22" s="1">
        <f>IF(('2回目フォームの回答 '!D22="そうだ"),1,(IF(('2回目フォームの回答 '!D22="まぁそうだ"),2,(IF(('2回目フォームの回答 '!D22="ややちがう"),3,(IF(('2回目フォームの回答 '!D22="ちがう"),4,"")))))))</f>
        <v>3</v>
      </c>
      <c r="G22" s="1">
        <f>IF(('2回目フォームの回答 '!E22="そうだ"),1,(IF(('2回目フォームの回答 '!E22="まぁそうだ"),2,(IF(('2回目フォームの回答 '!E22="ややちがう"),3,(IF(('2回目フォームの回答 '!E22="ちがう"),4,"")))))))</f>
        <v>2</v>
      </c>
      <c r="H22" s="1">
        <f>IF(('2回目フォームの回答 '!F22="そうだ"),1,(IF(('2回目フォームの回答 '!F22="まぁそうだ"),2,(IF(('2回目フォームの回答 '!F22="ややちがう"),3,(IF(('2回目フォームの回答 '!F22="ちがう"),4,"")))))))</f>
        <v>4</v>
      </c>
      <c r="I22" s="1">
        <f>IF(('2回目フォームの回答 '!G22="そうだ"),1,(IF(('2回目フォームの回答 '!G22="まぁそうだ"),2,(IF(('2回目フォームの回答 '!G22="ややちがう"),3,(IF(('2回目フォームの回答 '!G22="ちがう"),4,"")))))))</f>
        <v>3</v>
      </c>
      <c r="J22" s="1">
        <f>IF(('2回目フォームの回答 '!H22="そうだ"),1,(IF(('2回目フォームの回答 '!H22="まぁそうだ"),2,(IF(('2回目フォームの回答 '!H22="ややちがう"),3,(IF(('2回目フォームの回答 '!H22="ちがう"),4,"")))))))</f>
        <v>3</v>
      </c>
      <c r="K22" s="1">
        <f>IF(('2回目フォームの回答 '!I22="そうだ"),1,(IF(('2回目フォームの回答 '!I22="まぁそうだ"),2,(IF(('2回目フォームの回答 '!I22="ややちがう"),3,(IF(('2回目フォームの回答 '!I22="ちがう"),4,"")))))))</f>
        <v>4</v>
      </c>
      <c r="L22" s="1">
        <f>IF(('2回目フォームの回答 '!J22="そうだ"),1,(IF(('2回目フォームの回答 '!J22="まぁそうだ"),2,(IF(('2回目フォームの回答 '!J22="ややちがう"),3,(IF(('2回目フォームの回答 '!J22="ちがう"),4,"")))))))</f>
        <v>2</v>
      </c>
      <c r="M22" s="1">
        <f>IF(('2回目フォームの回答 '!K22="そうだ"),1,(IF(('2回目フォームの回答 '!K22="まぁそうだ"),2,(IF(('2回目フォームの回答 '!K22="ややちがう"),3,(IF(('2回目フォームの回答 '!K22="ちがう"),4,"")))))))</f>
        <v>1</v>
      </c>
      <c r="N22" s="1">
        <f>IF(('2回目フォームの回答 '!L22="そうだ"),1,(IF(('2回目フォームの回答 '!L22="まぁそうだ"),2,(IF(('2回目フォームの回答 '!L22="ややちがう"),3,(IF(('2回目フォームの回答 '!L22="ちがう"),4,"")))))))</f>
        <v>2</v>
      </c>
      <c r="O22" s="1">
        <f>IF(('2回目フォームの回答 '!M22="そうだ"),1,(IF(('2回目フォームの回答 '!M22="まぁそうだ"),2,(IF(('2回目フォームの回答 '!M22="ややちがう"),3,(IF(('2回目フォームの回答 '!M22="ちがう"),4,"")))))))</f>
        <v>3</v>
      </c>
      <c r="P22" s="1">
        <f>IF(('2回目フォームの回答 '!N22="そうだ"),1,(IF(('2回目フォームの回答 '!N22="まぁそうだ"),2,(IF(('2回目フォームの回答 '!N22="ややちがう"),3,(IF(('2回目フォームの回答 '!N22="ちがう"),4,"")))))))</f>
        <v>4</v>
      </c>
      <c r="Q22" s="1">
        <f>IF(('2回目フォームの回答 '!O22="そうだ"),1,(IF(('2回目フォームの回答 '!O22="まぁそうだ"),2,(IF(('2回目フォームの回答 '!O22="ややちがう"),3,(IF(('2回目フォームの回答 '!O22="ちがう"),4,"")))))))</f>
        <v>3</v>
      </c>
      <c r="R22" s="1">
        <f>IF(('2回目フォームの回答 '!P22="そうだ"),1,(IF(('2回目フォームの回答 '!P22="まぁそうだ"),2,(IF(('2回目フォームの回答 '!P22="ややちがう"),3,(IF(('2回目フォームの回答 '!P22="ちがう"),4,"")))))))</f>
        <v>1</v>
      </c>
      <c r="S22" s="1">
        <f>IF(('2回目フォームの回答 '!Q22="そうだ"),1,(IF(('2回目フォームの回答 '!Q22="まぁそうだ"),2,(IF(('2回目フォームの回答 '!Q22="ややちがう"),3,(IF(('2回目フォームの回答 '!Q22="ちがう"),4,"")))))))</f>
        <v>4</v>
      </c>
      <c r="T22" s="1">
        <f>IF(('2回目フォームの回答 '!R22="そうだ"),1,(IF(('2回目フォームの回答 '!R22="まぁそうだ"),2,(IF(('2回目フォームの回答 '!R22="ややちがう"),3,(IF(('2回目フォームの回答 '!R22="ちがう"),4,"")))))))</f>
        <v>3</v>
      </c>
      <c r="U22" s="1">
        <f>IF(('2回目フォームの回答 '!S22="そうだ"),1,(IF(('2回目フォームの回答 '!S22="まぁそうだ"),2,(IF(('2回目フォームの回答 '!S22="ややちがう"),3,(IF(('2回目フォームの回答 '!S22="ちがう"),4,"")))))))</f>
        <v>2</v>
      </c>
      <c r="V22" s="1">
        <f t="shared" si="48"/>
        <v>7</v>
      </c>
      <c r="W22" s="1">
        <f t="shared" si="11"/>
        <v>2</v>
      </c>
      <c r="X22" s="1">
        <f t="shared" si="12"/>
        <v>5</v>
      </c>
      <c r="Y22" s="1">
        <f t="shared" si="13"/>
        <v>1</v>
      </c>
      <c r="Z22" s="1">
        <f t="shared" si="14"/>
        <v>1</v>
      </c>
      <c r="AA22" s="1">
        <f t="shared" si="15"/>
        <v>2</v>
      </c>
      <c r="AB22" s="1">
        <f t="shared" si="16"/>
        <v>4</v>
      </c>
      <c r="AC22" s="1">
        <f t="shared" si="17"/>
        <v>2</v>
      </c>
      <c r="AD22" s="1">
        <f t="shared" si="18"/>
        <v>1</v>
      </c>
      <c r="AE22" s="1">
        <f t="shared" si="0"/>
        <v>2</v>
      </c>
      <c r="AF22" s="1">
        <f t="shared" si="19"/>
        <v>10</v>
      </c>
      <c r="AG22" s="1">
        <f t="shared" si="1"/>
        <v>2</v>
      </c>
      <c r="AH22" s="1">
        <f t="shared" si="20"/>
        <v>3</v>
      </c>
      <c r="AI22" s="1">
        <f t="shared" si="21"/>
        <v>3</v>
      </c>
      <c r="AJ22" s="1">
        <f t="shared" si="22"/>
        <v>2</v>
      </c>
      <c r="AK22" s="1">
        <f t="shared" si="23"/>
        <v>4</v>
      </c>
      <c r="AL22" s="1">
        <f t="shared" si="24"/>
        <v>3</v>
      </c>
      <c r="AM22" s="1">
        <f t="shared" si="25"/>
        <v>3</v>
      </c>
      <c r="AN22" s="1">
        <f>IF(('2回目フォームの回答 '!T22="ほとんどなかった"),1,(IF(('2回目フォームの回答 '!T22="ときどきあった"),2,(IF(('2回目フォームの回答 '!T22="しばしばあった"),3,(IF(('2回目フォームの回答 '!T22="ほとんどいつもあった"),4,"")))))))</f>
        <v>3</v>
      </c>
      <c r="AO22" s="1">
        <f>IF(('2回目フォームの回答 '!U22="ほとんどなかった"),1,(IF(('2回目フォームの回答 '!U22="ときどきあった"),2,(IF(('2回目フォームの回答 '!U22="しばしばあった"),3,(IF(('2回目フォームの回答 '!U22="ほとんどいつもあった"),4,"")))))))</f>
        <v>3</v>
      </c>
      <c r="AP22" s="1">
        <f>IF(('2回目フォームの回答 '!V22="ほとんどなかった"),1,(IF(('2回目フォームの回答 '!V22="ときどきあった"),2,(IF(('2回目フォームの回答 '!V22="しばしばあった"),3,(IF(('2回目フォームの回答 '!V22="ほとんどいつもあった"),4,"")))))))</f>
        <v>2</v>
      </c>
      <c r="AQ22" s="1">
        <f>IF(('2回目フォームの回答 '!W22="ほとんどなかった"),1,(IF(('2回目フォームの回答 '!W22="ときどきあった"),2,(IF(('2回目フォームの回答 '!W22="しばしばあった"),3,(IF(('2回目フォームの回答 '!W22="ほとんどいつもあった"),4,"")))))))</f>
        <v>1</v>
      </c>
      <c r="AR22" s="1">
        <f>IF(('2回目フォームの回答 '!X22="ほとんどなかった"),1,(IF(('2回目フォームの回答 '!X22="ときどきあった"),2,(IF(('2回目フォームの回答 '!X22="しばしばあった"),3,(IF(('2回目フォームの回答 '!X22="ほとんどいつもあった"),4,"")))))))</f>
        <v>1</v>
      </c>
      <c r="AS22" s="1">
        <f>IF(('2回目フォームの回答 '!Y22="ほとんどなかった"),1,(IF(('2回目フォームの回答 '!Y22="ときどきあった"),2,(IF(('2回目フォームの回答 '!Y22="しばしばあった"),3,(IF(('2回目フォームの回答 '!Y22="ほとんどいつもあった"),4,"")))))))</f>
        <v>1</v>
      </c>
      <c r="AT22" s="1">
        <f>IF(('2回目フォームの回答 '!Z22="ほとんどなかった"),1,(IF(('2回目フォームの回答 '!Z22="ときどきあった"),2,(IF(('2回目フォームの回答 '!Z22="しばしばあった"),3,(IF(('2回目フォームの回答 '!Z22="ほとんどいつもあった"),4,"")))))))</f>
        <v>2</v>
      </c>
      <c r="AU22" s="1">
        <f>IF(('2回目フォームの回答 '!AA22="ほとんどなかった"),1,(IF(('2回目フォームの回答 '!AA22="ときどきあった"),2,(IF(('2回目フォームの回答 '!AA22="しばしばあった"),3,(IF(('2回目フォームの回答 '!AA22="ほとんどいつもあった"),4,"")))))))</f>
        <v>2</v>
      </c>
      <c r="AV22" s="1">
        <f>IF(('2回目フォームの回答 '!AB22="ほとんどなかった"),1,(IF(('2回目フォームの回答 '!AB22="ときどきばあった"),2,(IF(('2回目フォームの回答 '!AB22="しばしばあった"),3,(IF(('2回目フォームの回答 '!AB22="ほとんどいつもあった"),4,"")))))))</f>
        <v>3</v>
      </c>
      <c r="AW22" s="1">
        <f>IF(('2回目フォームの回答 '!AC22="ほとんどなかった"),1,(IF(('2回目フォームの回答 '!AC22="ときどきあった"),2,(IF(('2回目フォームの回答 '!AC22="しばしばあった"),3,(IF(('2回目フォームの回答 '!AC22="ほとんどいつもあった"),4,"")))))))</f>
        <v>2</v>
      </c>
      <c r="AX22" s="1">
        <f>IF(('2回目フォームの回答 '!AD22="ほとんどなかった"),1,(IF(('2回目フォームの回答 '!AD22="ときどきあった"),2,(IF(('2回目フォームの回答 '!AD22="しばしばあった"),3,(IF(('2回目フォームの回答 '!AD22="ほとんどいつもあった"),4,"")))))))</f>
        <v>2</v>
      </c>
      <c r="AY22" s="1">
        <f>IF(('2回目フォームの回答 '!AE22="ほとんどなかった"),1,(IF(('2回目フォームの回答 '!AE22="ときどきあった"),2,(IF(('2回目フォームの回答 '!AE22="しばしばあった"),3,(IF(('2回目フォームの回答 '!AE22="ほとんどいつもあった"),4,"")))))))</f>
        <v>1</v>
      </c>
      <c r="AZ22" s="1">
        <f>IF(('2回目フォームの回答 '!AF22="ほとんどなかった"),1,(IF(('2回目フォームの回答 '!AF22="ときどきあった"),2,(IF(('2回目フォームの回答 '!AF22="しばしばあった"),3,(IF(('2回目フォームの回答 '!AF22="ほとんどいつもあった"),4,"")))))))</f>
        <v>1</v>
      </c>
      <c r="BA22" s="1">
        <f>IF(('2回目フォームの回答 '!AG22="ほとんどなかった"),1,(IF(('2回目フォームの回答 '!AG22="ときどきあった"),2,(IF(('2回目フォームの回答 '!AG22="しばしばあった"),3,(IF(('2回目フォームの回答 '!AG22="ほとんどいつもあった"),4,"")))))))</f>
        <v>2</v>
      </c>
      <c r="BB22" s="1">
        <f>IF(('2回目フォームの回答 '!AH22="ほとんどなかった"),1,(IF(('2回目フォームの回答 '!AH22="ときどきあった"),2,(IF(('2回目フォームの回答 '!AH22="しばしばあった"),3,(IF(('2回目フォームの回答 '!AH22="ほとんどいつもあった"),4,"")))))))</f>
        <v>3</v>
      </c>
      <c r="BC22" s="1">
        <f>IF(('2回目フォームの回答 '!AI22="ほとんどなかった"),1,(IF(('2回目フォームの回答 '!AI22="ときどきあった"),2,(IF(('2回目フォームの回答 '!AI22="しばしばあった"),3,(IF(('2回目フォームの回答 '!AI22="ほとんどいつもあった"),4,"")))))))</f>
        <v>1</v>
      </c>
      <c r="BD22" s="1">
        <f>IF(('2回目フォームの回答 '!AJ22="ほとんどなかった"),1,(IF(('2回目フォームの回答 '!AJ22="ときどきあった"),2,(IF(('2回目フォームの回答 '!AJ22="しばしばあった"),3,(IF(('2回目フォームの回答 '!AJ22="ほとんどいつもあった"),4,"")))))))</f>
        <v>1</v>
      </c>
      <c r="BE22" s="1">
        <f>IF(('2回目フォームの回答 '!AK22="ほとんどなかった"),1,(IF(('2回目フォームの回答 '!AK22="ときどきあった"),2,(IF(('2回目フォームの回答 '!AK22="しばしばあった"),3,(IF(('2回目フォームの回答 '!AK22="ほとんどいつもあった"),4,"")))))))</f>
        <v>1</v>
      </c>
      <c r="BF22" s="1">
        <f>IF(('2回目フォームの回答 '!AL22="ほとんどなかった"),1,(IF(('2回目フォームの回答 '!AL22="ときどきあった"),2,(IF(('2回目フォームの回答 '!AL22="しばしばあった"),3,(IF(('2回目フォームの回答 '!AL22="ほとんどいつもあった"),4,"")))))))</f>
        <v>1</v>
      </c>
      <c r="BG22" s="1">
        <f>IF(('2回目フォームの回答 '!AM22="ほとんどなかった"),1,(IF(('2回目フォームの回答 '!AM22="ときどきあった"),2,(IF(('2回目フォームの回答 '!AM22="しばしばあった"),3,(IF(('2回目フォームの回答 '!AM22="ほとんどいつもあった"),4,"")))))))</f>
        <v>1</v>
      </c>
      <c r="BH22" s="1">
        <f>IF(('2回目フォームの回答 '!AN22="ほとんどなかった"),1,(IF(('2回目フォームの回答 '!AN22="ときどきあった"),2,(IF(('2回目フォームの回答 '!AN22="しばしばあった"),3,(IF(('2回目フォームの回答 '!AN22="ほとんどいつもあった"),4,"")))))))</f>
        <v>2</v>
      </c>
      <c r="BI22" s="1">
        <f>IF(('2回目フォームの回答 '!AO22="ほとんどなかった"),1,(IF(('2回目フォームの回答 '!AO22="ときどきあった"),2,(IF(('2回目フォームの回答 '!AO22="しばしばあった"),3,(IF(('2回目フォームの回答 '!AO22="ほとんどいつもあった"),4,"")))))))</f>
        <v>3</v>
      </c>
      <c r="BJ22" s="1">
        <f>IF(('2回目フォームの回答 '!AP22="ほとんどなかった"),1,(IF(('2回目フォームの回答 '!AP22="ときどきあった"),2,(IF(('2回目フォームの回答 '!AP22="しばしばあった"),3,(IF(('2回目フォームの回答 '!AP22="ほとんどいつもあった"),4,"")))))))</f>
        <v>1</v>
      </c>
      <c r="BK22" s="1">
        <f>IF(('2回目フォームの回答 '!AQ22="ほとんどなかった"),1,(IF(('2回目フォームの回答 '!AQ22="ときどきあった"),2,(IF(('2回目フォームの回答 '!AQ22="しばしばあった"),3,(IF(('2回目フォームの回答 '!AQ22="ほとんどいつもあった"),4,"")))))))</f>
        <v>1</v>
      </c>
      <c r="BL22" s="1">
        <f>IF(('2回目フォームの回答 '!AR22="ほとんどなかった"),1,(IF(('2回目フォームの回答 '!AR22="ときどきあった"),2,(IF(('2回目フォームの回答 '!AR22="しばしばあった"),3,(IF(('2回目フォームの回答 '!AR22="ほとんどいつもあった"),4,"")))))))</f>
        <v>1</v>
      </c>
      <c r="BM22" s="1">
        <f>IF(('2回目フォームの回答 '!AS22="ほとんどなかった"),1,(IF(('2回目フォームの回答 '!AS22="ときどきあった"),2,(IF(('2回目フォームの回答 '!AS22="しばしばあった"),3,(IF(('2回目フォームの回答 '!AS22="ほとんどいつもあった"),4,"")))))))</f>
        <v>3</v>
      </c>
      <c r="BN22" s="1">
        <f>IF(('2回目フォームの回答 '!AT22="ほとんどなかった"),1,(IF(('2回目フォームの回答 '!AT22="ときどきあった"),2,(IF(('2回目フォームの回答 '!AT22="しばしばあった"),3,(IF(('2回目フォームの回答 '!AT22="ほとんどいつもあった"),4,"")))))))</f>
        <v>1</v>
      </c>
      <c r="BO22" s="1">
        <f>IF(('2回目フォームの回答 '!AU22="ほとんどなかった"),1,(IF(('2回目フォームの回答 '!AU22="ときどきあった"),2,(IF(('2回目フォームの回答 '!AU22="しばしばあった"),3,(IF(('2回目フォームの回答 '!AU22="ほとんどいつもあった"),4,"")))))))</f>
        <v>3</v>
      </c>
      <c r="BP22" s="1">
        <f>IF(('2回目フォームの回答 '!AV22="ほとんどなかった"),1,(IF(('2回目フォームの回答 '!AV22="ときどきあった"),2,(IF(('2回目フォームの回答 '!AV22="しばしばあった"),3,(IF(('2回目フォームの回答 '!AV22="ほとんどいつもあった"),4,"")))))))</f>
        <v>1</v>
      </c>
      <c r="BQ22" s="1">
        <f t="shared" si="26"/>
        <v>8</v>
      </c>
      <c r="BR22" s="1">
        <f t="shared" si="27"/>
        <v>2</v>
      </c>
      <c r="BS22" s="1">
        <f t="shared" si="28"/>
        <v>3</v>
      </c>
      <c r="BT22" s="1">
        <f t="shared" si="2"/>
        <v>1</v>
      </c>
      <c r="BU22" s="1">
        <f t="shared" si="3"/>
        <v>7</v>
      </c>
      <c r="BV22" s="1">
        <f t="shared" si="4"/>
        <v>3</v>
      </c>
      <c r="BW22" s="1">
        <f t="shared" si="29"/>
        <v>5</v>
      </c>
      <c r="BX22" s="1">
        <f t="shared" si="5"/>
        <v>3</v>
      </c>
      <c r="BY22" s="1">
        <f t="shared" si="30"/>
        <v>9</v>
      </c>
      <c r="BZ22" s="1">
        <f t="shared" si="6"/>
        <v>3</v>
      </c>
      <c r="CA22" s="1">
        <f t="shared" si="31"/>
        <v>18</v>
      </c>
      <c r="CB22" s="1">
        <f t="shared" si="32"/>
        <v>3</v>
      </c>
      <c r="CC22" s="1">
        <f>IF(('2回目フォームの回答 '!AW22="非常に"),1,(IF(('2回目フォームの回答 '!AW22="かなり"),2,(IF(('2回目フォームの回答 '!AW22="多少"),3,(IF(('2回目フォームの回答 '!AW22="全くない"),4,"")))))))</f>
        <v>2</v>
      </c>
      <c r="CD22" s="1">
        <f>IF(('2回目フォームの回答 '!AX22="非常に"),1,(IF(('2回目フォームの回答 '!AX22="かなり"),2,(IF(('2回目フォームの回答 '!AX22="多少"),3,(IF(('2回目フォームの回答 '!AX22="全くない"),4,"")))))))</f>
        <v>1</v>
      </c>
      <c r="CE22" s="1">
        <f>IF(('2回目フォームの回答 '!AY22="非常に"),1,(IF(('2回目フォームの回答 '!AY22="かなり"),2,(IF(('2回目フォームの回答 '!AY22="多少"),3,(IF(('2回目フォームの回答 '!AY22="全くない"),4,"")))))))</f>
        <v>1</v>
      </c>
      <c r="CF22" s="1">
        <f>IF(('2回目フォームの回答 '!AZ22="非常に"),1,(IF(('2回目フォームの回答 '!AZ22="かなり"),2,(IF(('2回目フォームの回答 '!AZ22="多少"),3,(IF(('2回目フォームの回答 '!AZ22="全くない"),4,"")))))))</f>
        <v>1</v>
      </c>
      <c r="CG22" s="1">
        <f>IF(('2回目フォームの回答 '!BA22="非常に"),1,(IF(('2回目フォームの回答 '!BA22="かなり"),2,(IF(('2回目フォームの回答 '!BA22="多少"),3,(IF(('2回目フォームの回答 '!BA22="全くない"),4,"")))))))</f>
        <v>2</v>
      </c>
      <c r="CH22" s="1">
        <f>IF(('2回目フォームの回答 '!BB22="非常に"),1,(IF(('2回目フォームの回答 '!BB22="かなり"),2,(IF(('2回目フォームの回答 '!BB22="多少"),3,(IF(('2回目フォームの回答 '!BB22="全くない"),4,"")))))))</f>
        <v>1</v>
      </c>
      <c r="CI22" s="1">
        <f>IF(('2回目フォームの回答 '!BC22="非常に"),1,(IF(('2回目フォームの回答 '!BC22="かなり"),2,(IF(('2回目フォームの回答 '!BC22="多少"),3,(IF(('2回目フォームの回答 '!BC22="全くない"),4,"")))))))</f>
        <v>2</v>
      </c>
      <c r="CJ22" s="1">
        <f>IF(('2回目フォームの回答 '!BD22="非常に"),1,(IF(('2回目フォームの回答 '!BD22="かなり"),2,(IF(('2回目フォームの回答 '!BD22="多少"),3,(IF(('2回目フォームの回答 '!BD22="全くない"),4,"")))))))</f>
        <v>2</v>
      </c>
      <c r="CK22" s="1">
        <f>IF(('2回目フォームの回答 '!BE22="非常に"),1,(IF(('2回目フォームの回答 '!BE22="かなり"),2,(IF(('2回目フォームの回答 '!BE22="多少"),3,(IF(('2回目フォームの回答 '!BE22="全くない"),4,"")))))))</f>
        <v>1</v>
      </c>
      <c r="CL22" s="1">
        <f>IF(('2回目フォームの回答 '!BF22="満足"),1,(IF(('2回目フォームの回答 '!BF22="まぁ満足"),2,(IF(('2回目フォームの回答 '!BF22="やや満足"),3,(IF(('2回目フォームの回答 '!BF22="不満足"),4,"")))))))</f>
        <v>2</v>
      </c>
      <c r="CM22" s="1">
        <f>IF(('2回目フォームの回答 '!BG22="満足"),1,(IF(('2回目フォームの回答 '!BG22="まぁ満足"),2,(IF(('2回目フォームの回答 '!BG22="やや満足"),3,(IF(('2回目フォームの回答 '!BG22="不満足"),4,"")))))))</f>
        <v>1</v>
      </c>
      <c r="CN22" s="1">
        <f t="shared" si="33"/>
        <v>10</v>
      </c>
      <c r="CO22" s="1">
        <f t="shared" si="7"/>
        <v>2</v>
      </c>
      <c r="CP22" s="1">
        <f t="shared" si="34"/>
        <v>10</v>
      </c>
      <c r="CQ22" s="1">
        <f t="shared" si="8"/>
        <v>2</v>
      </c>
      <c r="CR22" s="1">
        <f t="shared" si="35"/>
        <v>12</v>
      </c>
      <c r="CS22" s="1">
        <f t="shared" si="36"/>
        <v>1</v>
      </c>
      <c r="CT22" s="1">
        <f t="shared" si="37"/>
        <v>7</v>
      </c>
      <c r="CU22" s="1">
        <f t="shared" si="9"/>
        <v>2</v>
      </c>
      <c r="CV22" s="1">
        <f t="shared" si="38"/>
        <v>15</v>
      </c>
      <c r="CW22" s="1">
        <f t="shared" si="39"/>
        <v>21</v>
      </c>
      <c r="CX22" s="1">
        <f t="shared" si="10"/>
        <v>5</v>
      </c>
      <c r="CY22" s="29" t="str">
        <f t="shared" si="40"/>
        <v>低</v>
      </c>
      <c r="CZ22" s="1">
        <f>'2回目フォームの回答 '!BH22</f>
        <v>0.9</v>
      </c>
      <c r="DA22" s="2">
        <f t="shared" si="41"/>
        <v>9.9999999999999978E-2</v>
      </c>
      <c r="DB22" s="1">
        <f>IF(('2回目フォームの回答 '!BI22="いつもより寝つきは良い"),0,(IF(('2回目フォームの回答 '!BI22="いつもより少し時間がかかった"),1,(IF(('2回目フォームの回答 '!BI22="いつもよりかなり時間がかかった"),2,(IF(('2回目フォームの回答 '!BI22="いつもより非常に時間がかかった、あるいは全く眠れなかった"),3,"")))))))</f>
        <v>1</v>
      </c>
      <c r="DC22" s="1">
        <f>IF(('2回目フォームの回答 '!BJ22="問題になるほどのことはなかった"),0,(IF(('2回目フォームの回答 '!BJ22="少し困ることがある"),1,(IF(('2回目フォームの回答 '!BJ22="かなり困っている"),2,(IF(('2回目フォームの回答 '!BJ22="深刻な状態、あるいは全く眠れなかった"),3,"")))))))</f>
        <v>0</v>
      </c>
      <c r="DD22" s="1">
        <f>IF(('2回目フォームの回答 '!BK22="そのようなことはなかった"),0,(IF(('2回目フォームの回答 '!BK22="少し早かった"),1,(IF(('2回目フォームの回答 '!BK22="かなり早かった"),2,(IF(('2回目フォームの回答 '!BK22="非常に早かった、あるいは全く眠れなかった"),3,"")))))))</f>
        <v>1</v>
      </c>
      <c r="DE22" s="1">
        <f>IF(('2回目フォームの回答 '!BL22="十分である"),0,(IF(('2回目フォームの回答 '!BL22="少し足りない"),1,(IF(('2回目フォームの回答 '!BL22="かなり足りない"),2,(IF(('2回目フォームの回答 '!BL22="全く足りない、あるいは全く眠れなかった"),3,"")))))))</f>
        <v>1</v>
      </c>
      <c r="DF22" s="1">
        <f>IF(('2回目フォームの回答 '!BM22="満足している"),0,(IF(('2回目フォームの回答 '!BM22="少し不満である"),1,(IF(('2回目フォームの回答 '!BM22="かなり不満である"),2,(IF(('2回目フォームの回答 '!BM22="非常に不満である、あるいは全く眠れなかった"),3,"")))))))</f>
        <v>1</v>
      </c>
      <c r="DG22" s="1">
        <f>IF(('2回目フォームの回答 '!BN22="いつもどおり"),0,(IF(('2回目フォームの回答 '!BN22="少し滅入った"),1,(IF(('2回目フォームの回答 '!BN22="かなり滅入った"),2,(IF(('2回目フォームの回答 '!BN22="非常に滅入った"),3,"")))))))</f>
        <v>0</v>
      </c>
      <c r="DH22" s="1">
        <f>IF(('2回目フォームの回答 '!BO22="いつもどおり"),0,(IF(('2回目フォームの回答 '!BO22="少し低下した"),1,(IF(('2回目フォームの回答 '!BO22="かなり低下した"),2,(IF(('2回目フォームの回答 '!BO22="非常に低下した"),3,"")))))))</f>
        <v>0</v>
      </c>
      <c r="DI22" s="1">
        <f>IF(('2回目フォームの回答 '!BP22="全くなかった"),0,(IF(('2回目フォームの回答 '!BP22="少しあった"),1,(IF(('2回目フォームの回答 '!BP22="かなりあった"),2,(IF(('2回目フォームの回答 '!BP22="激しかった"),3,"")))))))</f>
        <v>1</v>
      </c>
      <c r="DJ22">
        <f t="shared" si="42"/>
        <v>5</v>
      </c>
      <c r="DK22" s="4" t="str">
        <f t="shared" si="43"/>
        <v>中</v>
      </c>
      <c r="DL22" s="5">
        <v>12.6</v>
      </c>
      <c r="DM22" s="5">
        <v>16.100000000000001</v>
      </c>
      <c r="DN22" s="5">
        <v>22.3</v>
      </c>
      <c r="DO22" s="5">
        <f t="shared" si="44"/>
        <v>51</v>
      </c>
      <c r="DP22" s="5"/>
      <c r="DQ22" s="5"/>
      <c r="DR22" s="5" t="s">
        <v>200</v>
      </c>
      <c r="DS22" s="71">
        <v>0.3125</v>
      </c>
      <c r="DT22" s="66" t="e">
        <v>#N/A</v>
      </c>
      <c r="DU22" s="59" t="e">
        <f>INDEX('1回目結果'!DR:DR,MATCH($DT22,'1回目結果'!$A:$A,0))</f>
        <v>#N/A</v>
      </c>
      <c r="DV22" s="59" t="e">
        <f>INDEX('1回目結果'!DS:DS,MATCH($DT22,'1回目結果'!$A:$A,0))</f>
        <v>#N/A</v>
      </c>
      <c r="DW22" s="59" t="e">
        <f>INDEX('1回目結果'!DT:DT,MATCH($DT22,'1回目結果'!$A:$A,0))</f>
        <v>#N/A</v>
      </c>
      <c r="DX22" s="59" t="e">
        <f>INDEX('1回目結果'!DU:DU,MATCH($DT22,'1回目結果'!$A:$A,0))</f>
        <v>#N/A</v>
      </c>
      <c r="DY22" s="59" t="str">
        <f>IFERROR(INDEX('1回目結果'!DL:DL,MATCH('2回目結果'!$DT22,'1回目結果'!$A:$A,0)),"")</f>
        <v/>
      </c>
      <c r="DZ22" s="59" t="str">
        <f>IFERROR(INDEX('1回目結果'!DM:DM,MATCH('2回目結果'!$DT22,'1回目結果'!$A:$A,0)),"")</f>
        <v/>
      </c>
      <c r="EA22" s="59" t="str">
        <f>IFERROR(INDEX('1回目結果'!DN:DN,MATCH('2回目結果'!$DT22,'1回目結果'!$A:$A,0)),"")</f>
        <v/>
      </c>
      <c r="EB22" s="59" t="str">
        <f>IFERROR(INDEX('1回目結果'!DO:DO,MATCH('2回目結果'!$DT22,'1回目結果'!$A:$A,0)),"")</f>
        <v/>
      </c>
      <c r="EC22" s="59" t="str">
        <f>IFERROR(INDEX('1回目結果'!DP:DP,MATCH('2回目結果'!$DT22,'1回目結果'!$A:$A,0)),"")</f>
        <v/>
      </c>
      <c r="ED22" s="59" t="str">
        <f>IFERROR(INDEX('1回目結果'!DQ:DQ,MATCH('2回目結果'!$DT22,'1回目結果'!$A:$A,0)),"")</f>
        <v/>
      </c>
      <c r="EE22" s="54">
        <v>1.196</v>
      </c>
      <c r="EF22" s="54">
        <v>157.12</v>
      </c>
      <c r="EG22" s="54">
        <v>0.76</v>
      </c>
      <c r="EH22" s="54">
        <v>38</v>
      </c>
      <c r="EI22" s="43" t="s">
        <v>115</v>
      </c>
      <c r="EJ22" s="44" t="e">
        <f t="shared" si="45"/>
        <v>#N/A</v>
      </c>
      <c r="EK22" s="44" t="e">
        <f t="shared" si="53"/>
        <v>#N/A</v>
      </c>
      <c r="EL22" t="e">
        <f t="shared" si="46"/>
        <v>#VALUE!</v>
      </c>
      <c r="EM22" t="e">
        <f t="shared" si="47"/>
        <v>#VALUE!</v>
      </c>
    </row>
    <row r="23" spans="1:143" ht="15.75" customHeight="1">
      <c r="A23" s="1">
        <v>342</v>
      </c>
      <c r="B23" s="24" t="s">
        <v>140</v>
      </c>
      <c r="C23" s="52">
        <v>36085</v>
      </c>
      <c r="D23" s="38">
        <v>25</v>
      </c>
      <c r="E23" s="1">
        <f>IF(('2回目フォームの回答 '!C23="そうだ"),1,(IF(('2回目フォームの回答 '!C23="まぁそうだ"),2,(IF(('2回目フォームの回答 '!C23="ややちがう"),3,(IF(('2回目フォームの回答 '!C23="ちがう"),4,"")))))))</f>
        <v>2</v>
      </c>
      <c r="F23" s="1">
        <f>IF(('2回目フォームの回答 '!D23="そうだ"),1,(IF(('2回目フォームの回答 '!D23="まぁそうだ"),2,(IF(('2回目フォームの回答 '!D23="ややちがう"),3,(IF(('2回目フォームの回答 '!D23="ちがう"),4,"")))))))</f>
        <v>3</v>
      </c>
      <c r="G23" s="1">
        <f>IF(('2回目フォームの回答 '!E23="そうだ"),1,(IF(('2回目フォームの回答 '!E23="まぁそうだ"),2,(IF(('2回目フォームの回答 '!E23="ややちがう"),3,(IF(('2回目フォームの回答 '!E23="ちがう"),4,"")))))))</f>
        <v>1</v>
      </c>
      <c r="H23" s="1">
        <f>IF(('2回目フォームの回答 '!F23="そうだ"),1,(IF(('2回目フォームの回答 '!F23="まぁそうだ"),2,(IF(('2回目フォームの回答 '!F23="ややちがう"),3,(IF(('2回目フォームの回答 '!F23="ちがう"),4,"")))))))</f>
        <v>2</v>
      </c>
      <c r="I23" s="1">
        <f>IF(('2回目フォームの回答 '!G23="そうだ"),1,(IF(('2回目フォームの回答 '!G23="まぁそうだ"),2,(IF(('2回目フォームの回答 '!G23="ややちがう"),3,(IF(('2回目フォームの回答 '!G23="ちがう"),4,"")))))))</f>
        <v>2</v>
      </c>
      <c r="J23" s="1">
        <f>IF(('2回目フォームの回答 '!H23="そうだ"),1,(IF(('2回目フォームの回答 '!H23="まぁそうだ"),2,(IF(('2回目フォームの回答 '!H23="ややちがう"),3,(IF(('2回目フォームの回答 '!H23="ちがう"),4,"")))))))</f>
        <v>2</v>
      </c>
      <c r="K23" s="1">
        <f>IF(('2回目フォームの回答 '!I23="そうだ"),1,(IF(('2回目フォームの回答 '!I23="まぁそうだ"),2,(IF(('2回目フォームの回答 '!I23="ややちがう"),3,(IF(('2回目フォームの回答 '!I23="ちがう"),4,"")))))))</f>
        <v>4</v>
      </c>
      <c r="L23" s="1">
        <f>IF(('2回目フォームの回答 '!J23="そうだ"),1,(IF(('2回目フォームの回答 '!J23="まぁそうだ"),2,(IF(('2回目フォームの回答 '!J23="ややちがう"),3,(IF(('2回目フォームの回答 '!J23="ちがう"),4,"")))))))</f>
        <v>2</v>
      </c>
      <c r="M23" s="1">
        <f>IF(('2回目フォームの回答 '!K23="そうだ"),1,(IF(('2回目フォームの回答 '!K23="まぁそうだ"),2,(IF(('2回目フォームの回答 '!K23="ややちがう"),3,(IF(('2回目フォームの回答 '!K23="ちがう"),4,"")))))))</f>
        <v>3</v>
      </c>
      <c r="N23" s="1">
        <f>IF(('2回目フォームの回答 '!L23="そうだ"),1,(IF(('2回目フォームの回答 '!L23="まぁそうだ"),2,(IF(('2回目フォームの回答 '!L23="ややちがう"),3,(IF(('2回目フォームの回答 '!L23="ちがう"),4,"")))))))</f>
        <v>2</v>
      </c>
      <c r="O23" s="1">
        <f>IF(('2回目フォームの回答 '!M23="そうだ"),1,(IF(('2回目フォームの回答 '!M23="まぁそうだ"),2,(IF(('2回目フォームの回答 '!M23="ややちがう"),3,(IF(('2回目フォームの回答 '!M23="ちがう"),4,"")))))))</f>
        <v>3</v>
      </c>
      <c r="P23" s="1">
        <f>IF(('2回目フォームの回答 '!N23="そうだ"),1,(IF(('2回目フォームの回答 '!N23="まぁそうだ"),2,(IF(('2回目フォームの回答 '!N23="ややちがう"),3,(IF(('2回目フォームの回答 '!N23="ちがう"),4,"")))))))</f>
        <v>3</v>
      </c>
      <c r="Q23" s="1">
        <f>IF(('2回目フォームの回答 '!O23="そうだ"),1,(IF(('2回目フォームの回答 '!O23="まぁそうだ"),2,(IF(('2回目フォームの回答 '!O23="ややちがう"),3,(IF(('2回目フォームの回答 '!O23="ちがう"),4,"")))))))</f>
        <v>3</v>
      </c>
      <c r="R23" s="1">
        <f>IF(('2回目フォームの回答 '!P23="そうだ"),1,(IF(('2回目フォームの回答 '!P23="まぁそうだ"),2,(IF(('2回目フォームの回答 '!P23="ややちがう"),3,(IF(('2回目フォームの回答 '!P23="ちがう"),4,"")))))))</f>
        <v>2</v>
      </c>
      <c r="S23" s="1">
        <f>IF(('2回目フォームの回答 '!Q23="そうだ"),1,(IF(('2回目フォームの回答 '!Q23="まぁそうだ"),2,(IF(('2回目フォームの回答 '!Q23="ややちがう"),3,(IF(('2回目フォームの回答 '!Q23="ちがう"),4,"")))))))</f>
        <v>3</v>
      </c>
      <c r="T23" s="1">
        <f>IF(('2回目フォームの回答 '!R23="そうだ"),1,(IF(('2回目フォームの回答 '!R23="まぁそうだ"),2,(IF(('2回目フォームの回答 '!R23="ややちがう"),3,(IF(('2回目フォームの回答 '!R23="ちがう"),4,"")))))))</f>
        <v>2</v>
      </c>
      <c r="U23" s="1">
        <f>IF(('2回目フォームの回答 '!S23="そうだ"),1,(IF(('2回目フォームの回答 '!S23="まぁそうだ"),2,(IF(('2回目フォームの回答 '!S23="ややちがう"),3,(IF(('2回目フォームの回答 '!S23="ちがう"),4,"")))))))</f>
        <v>2</v>
      </c>
      <c r="V23" s="1">
        <f t="shared" si="48"/>
        <v>9</v>
      </c>
      <c r="W23" s="1">
        <f t="shared" si="11"/>
        <v>3</v>
      </c>
      <c r="X23" s="1">
        <f t="shared" si="12"/>
        <v>9</v>
      </c>
      <c r="Y23" s="1">
        <f t="shared" si="13"/>
        <v>4</v>
      </c>
      <c r="Z23" s="1">
        <f t="shared" si="14"/>
        <v>1</v>
      </c>
      <c r="AA23" s="1">
        <f t="shared" si="15"/>
        <v>2</v>
      </c>
      <c r="AB23" s="1">
        <f t="shared" si="16"/>
        <v>6</v>
      </c>
      <c r="AC23" s="1">
        <f t="shared" si="17"/>
        <v>3</v>
      </c>
      <c r="AD23" s="1">
        <f t="shared" si="18"/>
        <v>2</v>
      </c>
      <c r="AE23" s="1">
        <f t="shared" si="0"/>
        <v>3</v>
      </c>
      <c r="AF23" s="1">
        <f t="shared" si="19"/>
        <v>8</v>
      </c>
      <c r="AG23" s="1">
        <f t="shared" si="1"/>
        <v>3</v>
      </c>
      <c r="AH23" s="1">
        <f t="shared" si="20"/>
        <v>3</v>
      </c>
      <c r="AI23" s="1">
        <f t="shared" si="21"/>
        <v>3</v>
      </c>
      <c r="AJ23" s="1">
        <f t="shared" si="22"/>
        <v>3</v>
      </c>
      <c r="AK23" s="1">
        <f t="shared" si="23"/>
        <v>3</v>
      </c>
      <c r="AL23" s="1">
        <f t="shared" si="24"/>
        <v>3</v>
      </c>
      <c r="AM23" s="1">
        <f t="shared" si="25"/>
        <v>3</v>
      </c>
      <c r="AN23" s="1">
        <f>IF(('2回目フォームの回答 '!T23="ほとんどなかった"),1,(IF(('2回目フォームの回答 '!T23="ときどきあった"),2,(IF(('2回目フォームの回答 '!T23="しばしばあった"),3,(IF(('2回目フォームの回答 '!T23="ほとんどいつもあった"),4,"")))))))</f>
        <v>3</v>
      </c>
      <c r="AO23" s="1">
        <f>IF(('2回目フォームの回答 '!U23="ほとんどなかった"),1,(IF(('2回目フォームの回答 '!U23="ときどきあった"),2,(IF(('2回目フォームの回答 '!U23="しばしばあった"),3,(IF(('2回目フォームの回答 '!U23="ほとんどいつもあった"),4,"")))))))</f>
        <v>3</v>
      </c>
      <c r="AP23" s="1">
        <f>IF(('2回目フォームの回答 '!V23="ほとんどなかった"),1,(IF(('2回目フォームの回答 '!V23="ときどきあった"),2,(IF(('2回目フォームの回答 '!V23="しばしばあった"),3,(IF(('2回目フォームの回答 '!V23="ほとんどいつもあった"),4,"")))))))</f>
        <v>3</v>
      </c>
      <c r="AQ23" s="1">
        <f>IF(('2回目フォームの回答 '!W23="ほとんどなかった"),1,(IF(('2回目フォームの回答 '!W23="ときどきあった"),2,(IF(('2回目フォームの回答 '!W23="しばしばあった"),3,(IF(('2回目フォームの回答 '!W23="ほとんどいつもあった"),4,"")))))))</f>
        <v>3</v>
      </c>
      <c r="AR23" s="1">
        <f>IF(('2回目フォームの回答 '!X23="ほとんどなかった"),1,(IF(('2回目フォームの回答 '!X23="ときどきあった"),2,(IF(('2回目フォームの回答 '!X23="しばしばあった"),3,(IF(('2回目フォームの回答 '!X23="ほとんどいつもあった"),4,"")))))))</f>
        <v>3</v>
      </c>
      <c r="AS23" s="1">
        <f>IF(('2回目フォームの回答 '!Y23="ほとんどなかった"),1,(IF(('2回目フォームの回答 '!Y23="ときどきあった"),2,(IF(('2回目フォームの回答 '!Y23="しばしばあった"),3,(IF(('2回目フォームの回答 '!Y23="ほとんどいつもあった"),4,"")))))))</f>
        <v>3</v>
      </c>
      <c r="AT23" s="1">
        <f>IF(('2回目フォームの回答 '!Z23="ほとんどなかった"),1,(IF(('2回目フォームの回答 '!Z23="ときどきあった"),2,(IF(('2回目フォームの回答 '!Z23="しばしばあった"),3,(IF(('2回目フォームの回答 '!Z23="ほとんどいつもあった"),4,"")))))))</f>
        <v>3</v>
      </c>
      <c r="AU23" s="1">
        <f>IF(('2回目フォームの回答 '!AA23="ほとんどなかった"),1,(IF(('2回目フォームの回答 '!AA23="ときどきあった"),2,(IF(('2回目フォームの回答 '!AA23="しばしばあった"),3,(IF(('2回目フォームの回答 '!AA23="ほとんどいつもあった"),4,"")))))))</f>
        <v>3</v>
      </c>
      <c r="AV23" s="1">
        <f>IF(('2回目フォームの回答 '!AB23="ほとんどなかった"),1,(IF(('2回目フォームの回答 '!AB23="ときどきばあった"),2,(IF(('2回目フォームの回答 '!AB23="しばしばあった"),3,(IF(('2回目フォームの回答 '!AB23="ほとんどいつもあった"),4,"")))))))</f>
        <v>3</v>
      </c>
      <c r="AW23" s="1">
        <f>IF(('2回目フォームの回答 '!AC23="ほとんどなかった"),1,(IF(('2回目フォームの回答 '!AC23="ときどきあった"),2,(IF(('2回目フォームの回答 '!AC23="しばしばあった"),3,(IF(('2回目フォームの回答 '!AC23="ほとんどいつもあった"),4,"")))))))</f>
        <v>2</v>
      </c>
      <c r="AX23" s="1">
        <f>IF(('2回目フォームの回答 '!AD23="ほとんどなかった"),1,(IF(('2回目フォームの回答 '!AD23="ときどきあった"),2,(IF(('2回目フォームの回答 '!AD23="しばしばあった"),3,(IF(('2回目フォームの回答 '!AD23="ほとんどいつもあった"),4,"")))))))</f>
        <v>2</v>
      </c>
      <c r="AY23" s="1">
        <f>IF(('2回目フォームの回答 '!AE23="ほとんどなかった"),1,(IF(('2回目フォームの回答 '!AE23="ときどきあった"),2,(IF(('2回目フォームの回答 '!AE23="しばしばあった"),3,(IF(('2回目フォームの回答 '!AE23="ほとんどいつもあった"),4,"")))))))</f>
        <v>2</v>
      </c>
      <c r="AZ23" s="1">
        <f>IF(('2回目フォームの回答 '!AF23="ほとんどなかった"),1,(IF(('2回目フォームの回答 '!AF23="ときどきあった"),2,(IF(('2回目フォームの回答 '!AF23="しばしばあった"),3,(IF(('2回目フォームの回答 '!AF23="ほとんどいつもあった"),4,"")))))))</f>
        <v>2</v>
      </c>
      <c r="BA23" s="1">
        <f>IF(('2回目フォームの回答 '!AG23="ほとんどなかった"),1,(IF(('2回目フォームの回答 '!AG23="ときどきあった"),2,(IF(('2回目フォームの回答 '!AG23="しばしばあった"),3,(IF(('2回目フォームの回答 '!AG23="ほとんどいつもあった"),4,"")))))))</f>
        <v>2</v>
      </c>
      <c r="BB23" s="1">
        <f>IF(('2回目フォームの回答 '!AH23="ほとんどなかった"),1,(IF(('2回目フォームの回答 '!AH23="ときどきあった"),2,(IF(('2回目フォームの回答 '!AH23="しばしばあった"),3,(IF(('2回目フォームの回答 '!AH23="ほとんどいつもあった"),4,"")))))))</f>
        <v>2</v>
      </c>
      <c r="BC23" s="1">
        <f>IF(('2回目フォームの回答 '!AI23="ほとんどなかった"),1,(IF(('2回目フォームの回答 '!AI23="ときどきあった"),2,(IF(('2回目フォームの回答 '!AI23="しばしばあった"),3,(IF(('2回目フォームの回答 '!AI23="ほとんどいつもあった"),4,"")))))))</f>
        <v>2</v>
      </c>
      <c r="BD23" s="1">
        <f>IF(('2回目フォームの回答 '!AJ23="ほとんどなかった"),1,(IF(('2回目フォームの回答 '!AJ23="ときどきあった"),2,(IF(('2回目フォームの回答 '!AJ23="しばしばあった"),3,(IF(('2回目フォームの回答 '!AJ23="ほとんどいつもあった"),4,"")))))))</f>
        <v>2</v>
      </c>
      <c r="BE23" s="1">
        <f>IF(('2回目フォームの回答 '!AK23="ほとんどなかった"),1,(IF(('2回目フォームの回答 '!AK23="ときどきあった"),2,(IF(('2回目フォームの回答 '!AK23="しばしばあった"),3,(IF(('2回目フォームの回答 '!AK23="ほとんどいつもあった"),4,"")))))))</f>
        <v>2</v>
      </c>
      <c r="BF23" s="1">
        <f>IF(('2回目フォームの回答 '!AL23="ほとんどなかった"),1,(IF(('2回目フォームの回答 '!AL23="ときどきあった"),2,(IF(('2回目フォームの回答 '!AL23="しばしばあった"),3,(IF(('2回目フォームの回答 '!AL23="ほとんどいつもあった"),4,"")))))))</f>
        <v>2</v>
      </c>
      <c r="BG23" s="1">
        <f>IF(('2回目フォームの回答 '!AM23="ほとんどなかった"),1,(IF(('2回目フォームの回答 '!AM23="ときどきあった"),2,(IF(('2回目フォームの回答 '!AM23="しばしばあった"),3,(IF(('2回目フォームの回答 '!AM23="ほとんどいつもあった"),4,"")))))))</f>
        <v>2</v>
      </c>
      <c r="BH23" s="1">
        <f>IF(('2回目フォームの回答 '!AN23="ほとんどなかった"),1,(IF(('2回目フォームの回答 '!AN23="ときどきあった"),2,(IF(('2回目フォームの回答 '!AN23="しばしばあった"),3,(IF(('2回目フォームの回答 '!AN23="ほとんどいつもあった"),4,"")))))))</f>
        <v>2</v>
      </c>
      <c r="BI23" s="1">
        <f>IF(('2回目フォームの回答 '!AO23="ほとんどなかった"),1,(IF(('2回目フォームの回答 '!AO23="ときどきあった"),2,(IF(('2回目フォームの回答 '!AO23="しばしばあった"),3,(IF(('2回目フォームの回答 '!AO23="ほとんどいつもあった"),4,"")))))))</f>
        <v>2</v>
      </c>
      <c r="BJ23" s="1">
        <f>IF(('2回目フォームの回答 '!AP23="ほとんどなかった"),1,(IF(('2回目フォームの回答 '!AP23="ときどきあった"),2,(IF(('2回目フォームの回答 '!AP23="しばしばあった"),3,(IF(('2回目フォームの回答 '!AP23="ほとんどいつもあった"),4,"")))))))</f>
        <v>2</v>
      </c>
      <c r="BK23" s="1">
        <f>IF(('2回目フォームの回答 '!AQ23="ほとんどなかった"),1,(IF(('2回目フォームの回答 '!AQ23="ときどきあった"),2,(IF(('2回目フォームの回答 '!AQ23="しばしばあった"),3,(IF(('2回目フォームの回答 '!AQ23="ほとんどいつもあった"),4,"")))))))</f>
        <v>1</v>
      </c>
      <c r="BL23" s="1">
        <f>IF(('2回目フォームの回答 '!AR23="ほとんどなかった"),1,(IF(('2回目フォームの回答 '!AR23="ときどきあった"),2,(IF(('2回目フォームの回答 '!AR23="しばしばあった"),3,(IF(('2回目フォームの回答 '!AR23="ほとんどいつもあった"),4,"")))))))</f>
        <v>1</v>
      </c>
      <c r="BM23" s="1">
        <f>IF(('2回目フォームの回答 '!AS23="ほとんどなかった"),1,(IF(('2回目フォームの回答 '!AS23="ときどきあった"),2,(IF(('2回目フォームの回答 '!AS23="しばしばあった"),3,(IF(('2回目フォームの回答 '!AS23="ほとんどいつもあった"),4,"")))))))</f>
        <v>3</v>
      </c>
      <c r="BN23" s="1">
        <f>IF(('2回目フォームの回答 '!AT23="ほとんどなかった"),1,(IF(('2回目フォームの回答 '!AT23="ときどきあった"),2,(IF(('2回目フォームの回答 '!AT23="しばしばあった"),3,(IF(('2回目フォームの回答 '!AT23="ほとんどいつもあった"),4,"")))))))</f>
        <v>3</v>
      </c>
      <c r="BO23" s="1">
        <f>IF(('2回目フォームの回答 '!AU23="ほとんどなかった"),1,(IF(('2回目フォームの回答 '!AU23="ときどきあった"),2,(IF(('2回目フォームの回答 '!AU23="しばしばあった"),3,(IF(('2回目フォームの回答 '!AU23="ほとんどいつもあった"),4,"")))))))</f>
        <v>3</v>
      </c>
      <c r="BP23" s="1">
        <f>IF(('2回目フォームの回答 '!AV23="ほとんどなかった"),1,(IF(('2回目フォームの回答 '!AV23="ときどきあった"),2,(IF(('2回目フォームの回答 '!AV23="しばしばあった"),3,(IF(('2回目フォームの回答 '!AV23="ほとんどいつもあった"),4,"")))))))</f>
        <v>2</v>
      </c>
      <c r="BQ23" s="1">
        <f t="shared" si="26"/>
        <v>9</v>
      </c>
      <c r="BR23" s="1">
        <f t="shared" si="27"/>
        <v>2</v>
      </c>
      <c r="BS23" s="1">
        <f t="shared" si="28"/>
        <v>9</v>
      </c>
      <c r="BT23" s="1">
        <f t="shared" si="2"/>
        <v>4</v>
      </c>
      <c r="BU23" s="1">
        <f t="shared" si="3"/>
        <v>9</v>
      </c>
      <c r="BV23" s="1">
        <f t="shared" si="4"/>
        <v>4</v>
      </c>
      <c r="BW23" s="1">
        <f t="shared" si="29"/>
        <v>6</v>
      </c>
      <c r="BX23" s="1">
        <f t="shared" si="5"/>
        <v>3</v>
      </c>
      <c r="BY23" s="1">
        <f t="shared" si="30"/>
        <v>12</v>
      </c>
      <c r="BZ23" s="1">
        <f t="shared" si="6"/>
        <v>3</v>
      </c>
      <c r="CA23" s="1">
        <f t="shared" si="31"/>
        <v>23</v>
      </c>
      <c r="CB23" s="1">
        <f t="shared" si="32"/>
        <v>3</v>
      </c>
      <c r="CC23" s="1">
        <f>IF(('2回目フォームの回答 '!AW23="非常に"),1,(IF(('2回目フォームの回答 '!AW23="かなり"),2,(IF(('2回目フォームの回答 '!AW23="多少"),3,(IF(('2回目フォームの回答 '!AW23="全くない"),4,"")))))))</f>
        <v>3</v>
      </c>
      <c r="CD23" s="1">
        <f>IF(('2回目フォームの回答 '!AX23="非常に"),1,(IF(('2回目フォームの回答 '!AX23="かなり"),2,(IF(('2回目フォームの回答 '!AX23="多少"),3,(IF(('2回目フォームの回答 '!AX23="全くない"),4,"")))))))</f>
        <v>3</v>
      </c>
      <c r="CE23" s="1">
        <f>IF(('2回目フォームの回答 '!AY23="非常に"),1,(IF(('2回目フォームの回答 '!AY23="かなり"),2,(IF(('2回目フォームの回答 '!AY23="多少"),3,(IF(('2回目フォームの回答 '!AY23="全くない"),4,"")))))))</f>
        <v>2</v>
      </c>
      <c r="CF23" s="1">
        <f>IF(('2回目フォームの回答 '!AZ23="非常に"),1,(IF(('2回目フォームの回答 '!AZ23="かなり"),2,(IF(('2回目フォームの回答 '!AZ23="多少"),3,(IF(('2回目フォームの回答 '!AZ23="全くない"),4,"")))))))</f>
        <v>3</v>
      </c>
      <c r="CG23" s="1">
        <f>IF(('2回目フォームの回答 '!BA23="非常に"),1,(IF(('2回目フォームの回答 '!BA23="かなり"),2,(IF(('2回目フォームの回答 '!BA23="多少"),3,(IF(('2回目フォームの回答 '!BA23="全くない"),4,"")))))))</f>
        <v>3</v>
      </c>
      <c r="CH23" s="1">
        <f>IF(('2回目フォームの回答 '!BB23="非常に"),1,(IF(('2回目フォームの回答 '!BB23="かなり"),2,(IF(('2回目フォームの回答 '!BB23="多少"),3,(IF(('2回目フォームの回答 '!BB23="全くない"),4,"")))))))</f>
        <v>1</v>
      </c>
      <c r="CI23" s="1">
        <f>IF(('2回目フォームの回答 '!BC23="非常に"),1,(IF(('2回目フォームの回答 '!BC23="かなり"),2,(IF(('2回目フォームの回答 '!BC23="多少"),3,(IF(('2回目フォームの回答 '!BC23="全くない"),4,"")))))))</f>
        <v>3</v>
      </c>
      <c r="CJ23" s="1">
        <f>IF(('2回目フォームの回答 '!BD23="非常に"),1,(IF(('2回目フォームの回答 '!BD23="かなり"),2,(IF(('2回目フォームの回答 '!BD23="多少"),3,(IF(('2回目フォームの回答 '!BD23="全くない"),4,"")))))))</f>
        <v>3</v>
      </c>
      <c r="CK23" s="1">
        <f>IF(('2回目フォームの回答 '!BE23="非常に"),1,(IF(('2回目フォームの回答 '!BE23="かなり"),2,(IF(('2回目フォームの回答 '!BE23="多少"),3,(IF(('2回目フォームの回答 '!BE23="全くない"),4,"")))))))</f>
        <v>1</v>
      </c>
      <c r="CL23" s="1">
        <f>IF(('2回目フォームの回答 '!BF23="満足"),1,(IF(('2回目フォームの回答 '!BF23="まぁ満足"),2,(IF(('2回目フォームの回答 '!BF23="やや満足"),3,(IF(('2回目フォームの回答 '!BF23="不満足"),4,"")))))))</f>
        <v>3</v>
      </c>
      <c r="CM23" s="1">
        <f>IF(('2回目フォームの回答 '!BG23="満足"),1,(IF(('2回目フォームの回答 '!BG23="まぁ満足"),2,(IF(('2回目フォームの回答 '!BG23="やや満足"),3,(IF(('2回目フォームの回答 '!BG23="不満足"),4,"")))))))</f>
        <v>2</v>
      </c>
      <c r="CN23" s="1">
        <f t="shared" si="33"/>
        <v>6</v>
      </c>
      <c r="CO23" s="1">
        <f t="shared" si="7"/>
        <v>3</v>
      </c>
      <c r="CP23" s="1">
        <f t="shared" si="34"/>
        <v>6</v>
      </c>
      <c r="CQ23" s="1">
        <f t="shared" si="8"/>
        <v>4</v>
      </c>
      <c r="CR23" s="1">
        <f t="shared" si="35"/>
        <v>11</v>
      </c>
      <c r="CS23" s="1">
        <f t="shared" si="36"/>
        <v>2</v>
      </c>
      <c r="CT23" s="1">
        <f t="shared" si="37"/>
        <v>5</v>
      </c>
      <c r="CU23" s="1">
        <f t="shared" si="9"/>
        <v>3</v>
      </c>
      <c r="CV23" s="1">
        <f t="shared" si="38"/>
        <v>19</v>
      </c>
      <c r="CW23" s="1">
        <f t="shared" si="39"/>
        <v>27</v>
      </c>
      <c r="CX23" s="1">
        <f t="shared" si="10"/>
        <v>9</v>
      </c>
      <c r="CY23" s="29" t="str">
        <f t="shared" si="40"/>
        <v>中①</v>
      </c>
      <c r="CZ23" s="1">
        <f>'2回目フォームの回答 '!BH23</f>
        <v>0.8</v>
      </c>
      <c r="DA23" s="2">
        <f t="shared" si="41"/>
        <v>0.19999999999999996</v>
      </c>
      <c r="DB23" s="1">
        <f>IF(('2回目フォームの回答 '!BI23="いつもより寝つきは良い"),0,(IF(('2回目フォームの回答 '!BI23="いつもより少し時間がかかった"),1,(IF(('2回目フォームの回答 '!BI23="いつもよりかなり時間がかかった"),2,(IF(('2回目フォームの回答 '!BI23="いつもより非常に時間がかかった、あるいは全く眠れなかった"),3,"")))))))</f>
        <v>1</v>
      </c>
      <c r="DC23" s="1">
        <f>IF(('2回目フォームの回答 '!BJ23="問題になるほどのことはなかった"),0,(IF(('2回目フォームの回答 '!BJ23="少し困ることがある"),1,(IF(('2回目フォームの回答 '!BJ23="かなり困っている"),2,(IF(('2回目フォームの回答 '!BJ23="深刻な状態、あるいは全く眠れなかった"),3,"")))))))</f>
        <v>0</v>
      </c>
      <c r="DD23" s="1">
        <f>IF(('2回目フォームの回答 '!BK23="そのようなことはなかった"),0,(IF(('2回目フォームの回答 '!BK23="少し早かった"),1,(IF(('2回目フォームの回答 '!BK23="かなり早かった"),2,(IF(('2回目フォームの回答 '!BK23="非常に早かった、あるいは全く眠れなかった"),3,"")))))))</f>
        <v>1</v>
      </c>
      <c r="DE23" s="1">
        <f>IF(('2回目フォームの回答 '!BL23="十分である"),0,(IF(('2回目フォームの回答 '!BL23="少し足りない"),1,(IF(('2回目フォームの回答 '!BL23="かなり足りない"),2,(IF(('2回目フォームの回答 '!BL23="全く足りない、あるいは全く眠れなかった"),3,"")))))))</f>
        <v>0</v>
      </c>
      <c r="DF23" s="1">
        <f>IF(('2回目フォームの回答 '!BM23="満足している"),0,(IF(('2回目フォームの回答 '!BM23="少し不満である"),1,(IF(('2回目フォームの回答 '!BM23="かなり不満である"),2,(IF(('2回目フォームの回答 '!BM23="非常に不満である、あるいは全く眠れなかった"),3,"")))))))</f>
        <v>0</v>
      </c>
      <c r="DG23" s="1">
        <f>IF(('2回目フォームの回答 '!BN23="いつもどおり"),0,(IF(('2回目フォームの回答 '!BN23="少し滅入った"),1,(IF(('2回目フォームの回答 '!BN23="かなり滅入った"),2,(IF(('2回目フォームの回答 '!BN23="非常に滅入った"),3,"")))))))</f>
        <v>0</v>
      </c>
      <c r="DH23" s="1">
        <f>IF(('2回目フォームの回答 '!BO23="いつもどおり"),0,(IF(('2回目フォームの回答 '!BO23="少し低下した"),1,(IF(('2回目フォームの回答 '!BO23="かなり低下した"),2,(IF(('2回目フォームの回答 '!BO23="非常に低下した"),3,"")))))))</f>
        <v>0</v>
      </c>
      <c r="DI23" s="1">
        <f>IF(('2回目フォームの回答 '!BP23="全くなかった"),0,(IF(('2回目フォームの回答 '!BP23="少しあった"),1,(IF(('2回目フォームの回答 '!BP23="かなりあった"),2,(IF(('2回目フォームの回答 '!BP23="激しかった"),3,"")))))))</f>
        <v>1</v>
      </c>
      <c r="DJ23">
        <f t="shared" si="42"/>
        <v>3</v>
      </c>
      <c r="DK23" s="4" t="str">
        <f t="shared" si="43"/>
        <v>低</v>
      </c>
      <c r="DL23" s="5">
        <v>4.7</v>
      </c>
      <c r="DM23" s="5">
        <v>0.5</v>
      </c>
      <c r="DN23" s="5">
        <v>6.2</v>
      </c>
      <c r="DO23" s="5">
        <f t="shared" si="44"/>
        <v>11.4</v>
      </c>
      <c r="DP23" s="5"/>
      <c r="DQ23" s="5" t="s">
        <v>200</v>
      </c>
      <c r="DR23" s="5"/>
      <c r="DS23" s="71">
        <v>0.40138888888888891</v>
      </c>
      <c r="DT23" s="66">
        <v>316</v>
      </c>
      <c r="DU23" s="59">
        <f>INDEX('1回目結果'!DR:DR,MATCH($DT23,'1回目結果'!$A:$A,0))</f>
        <v>1.92</v>
      </c>
      <c r="DV23" s="59">
        <f>INDEX('1回目結果'!DS:DS,MATCH($DT23,'1回目結果'!$A:$A,0))</f>
        <v>276.75</v>
      </c>
      <c r="DW23" s="59">
        <f>INDEX('1回目結果'!DT:DT,MATCH($DT23,'1回目結果'!$A:$A,0))</f>
        <v>0.69</v>
      </c>
      <c r="DX23" s="59">
        <f>INDEX('1回目結果'!DU:DU,MATCH($DT23,'1回目結果'!$A:$A,0))</f>
        <v>35</v>
      </c>
      <c r="DY23" s="59">
        <f>IFERROR(INDEX('1回目結果'!DL:DL,MATCH('2回目結果'!$DT23,'1回目結果'!$A:$A,0)),"")</f>
        <v>53.1</v>
      </c>
      <c r="DZ23" s="59">
        <f>IFERROR(INDEX('1回目結果'!DM:DM,MATCH('2回目結果'!$DT23,'1回目結果'!$A:$A,0)),"")</f>
        <v>26.4</v>
      </c>
      <c r="EA23" s="59">
        <f>IFERROR(INDEX('1回目結果'!DN:DN,MATCH('2回目結果'!$DT23,'1回目結果'!$A:$A,0)),"")</f>
        <v>58.3</v>
      </c>
      <c r="EB23" s="59">
        <f>IFERROR(INDEX('1回目結果'!DO:DO,MATCH('2回目結果'!$DT23,'1回目結果'!$A:$A,0)),"")</f>
        <v>137.80000000000001</v>
      </c>
      <c r="EC23" s="59">
        <f>IFERROR(INDEX('1回目結果'!DP:DP,MATCH('2回目結果'!$DT23,'1回目結果'!$A:$A,0)),"")</f>
        <v>0</v>
      </c>
      <c r="ED23" s="59">
        <f>IFERROR(INDEX('1回目結果'!DQ:DQ,MATCH('2回目結果'!$DT23,'1回目結果'!$A:$A,0)),"")</f>
        <v>0</v>
      </c>
      <c r="EE23" s="54">
        <v>2.1360000000000001</v>
      </c>
      <c r="EF23" s="54">
        <v>227.01</v>
      </c>
      <c r="EG23" s="54">
        <v>0.94</v>
      </c>
      <c r="EH23" s="54">
        <v>47</v>
      </c>
      <c r="EI23" s="43" t="s">
        <v>115</v>
      </c>
      <c r="EJ23" s="44">
        <f t="shared" si="45"/>
        <v>1.3428571428571427</v>
      </c>
      <c r="EK23" s="44">
        <f t="shared" si="53"/>
        <v>1.3623188405797102</v>
      </c>
      <c r="EL23">
        <f t="shared" si="46"/>
        <v>-126.4</v>
      </c>
      <c r="EM23">
        <f t="shared" si="47"/>
        <v>-52.099999999999994</v>
      </c>
    </row>
    <row r="24" spans="1:143" ht="15.75" customHeight="1">
      <c r="A24" s="1">
        <v>343</v>
      </c>
      <c r="B24" s="24" t="s">
        <v>139</v>
      </c>
      <c r="C24" s="52">
        <v>36597</v>
      </c>
      <c r="D24" s="38">
        <v>24</v>
      </c>
      <c r="E24" s="1">
        <f>IF(('2回目フォームの回答 '!C24="そうだ"),1,(IF(('2回目フォームの回答 '!C24="まぁそうだ"),2,(IF(('2回目フォームの回答 '!C24="ややちがう"),3,(IF(('2回目フォームの回答 '!C24="ちがう"),4,"")))))))</f>
        <v>3</v>
      </c>
      <c r="F24" s="1">
        <f>IF(('2回目フォームの回答 '!D24="そうだ"),1,(IF(('2回目フォームの回答 '!D24="まぁそうだ"),2,(IF(('2回目フォームの回答 '!D24="ややちがう"),3,(IF(('2回目フォームの回答 '!D24="ちがう"),4,"")))))))</f>
        <v>2</v>
      </c>
      <c r="G24" s="1">
        <f>IF(('2回目フォームの回答 '!E24="そうだ"),1,(IF(('2回目フォームの回答 '!E24="まぁそうだ"),2,(IF(('2回目フォームの回答 '!E24="ややちがう"),3,(IF(('2回目フォームの回答 '!E24="ちがう"),4,"")))))))</f>
        <v>2</v>
      </c>
      <c r="H24" s="1">
        <f>IF(('2回目フォームの回答 '!F24="そうだ"),1,(IF(('2回目フォームの回答 '!F24="まぁそうだ"),2,(IF(('2回目フォームの回答 '!F24="ややちがう"),3,(IF(('2回目フォームの回答 '!F24="ちがう"),4,"")))))))</f>
        <v>3</v>
      </c>
      <c r="I24" s="1">
        <f>IF(('2回目フォームの回答 '!G24="そうだ"),1,(IF(('2回目フォームの回答 '!G24="まぁそうだ"),2,(IF(('2回目フォームの回答 '!G24="ややちがう"),3,(IF(('2回目フォームの回答 '!G24="ちがう"),4,"")))))))</f>
        <v>2</v>
      </c>
      <c r="J24" s="1">
        <f>IF(('2回目フォームの回答 '!H24="そうだ"),1,(IF(('2回目フォームの回答 '!H24="まぁそうだ"),2,(IF(('2回目フォームの回答 '!H24="ややちがう"),3,(IF(('2回目フォームの回答 '!H24="ちがう"),4,"")))))))</f>
        <v>2</v>
      </c>
      <c r="K24" s="1">
        <f>IF(('2回目フォームの回答 '!I24="そうだ"),1,(IF(('2回目フォームの回答 '!I24="まぁそうだ"),2,(IF(('2回目フォームの回答 '!I24="ややちがう"),3,(IF(('2回目フォームの回答 '!I24="ちがう"),4,"")))))))</f>
        <v>3</v>
      </c>
      <c r="L24" s="1">
        <f>IF(('2回目フォームの回答 '!J24="そうだ"),1,(IF(('2回目フォームの回答 '!J24="まぁそうだ"),2,(IF(('2回目フォームの回答 '!J24="ややちがう"),3,(IF(('2回目フォームの回答 '!J24="ちがう"),4,"")))))))</f>
        <v>3</v>
      </c>
      <c r="M24" s="1">
        <f>IF(('2回目フォームの回答 '!K24="そうだ"),1,(IF(('2回目フォームの回答 '!K24="まぁそうだ"),2,(IF(('2回目フォームの回答 '!K24="ややちがう"),3,(IF(('2回目フォームの回答 '!K24="ちがう"),4,"")))))))</f>
        <v>3</v>
      </c>
      <c r="N24" s="1">
        <f>IF(('2回目フォームの回答 '!L24="そうだ"),1,(IF(('2回目フォームの回答 '!L24="まぁそうだ"),2,(IF(('2回目フォームの回答 '!L24="ややちがう"),3,(IF(('2回目フォームの回答 '!L24="ちがう"),4,"")))))))</f>
        <v>3</v>
      </c>
      <c r="O24" s="1">
        <f>IF(('2回目フォームの回答 '!M24="そうだ"),1,(IF(('2回目フォームの回答 '!M24="まぁそうだ"),2,(IF(('2回目フォームの回答 '!M24="ややちがう"),3,(IF(('2回目フォームの回答 '!M24="ちがう"),4,"")))))))</f>
        <v>4</v>
      </c>
      <c r="P24" s="1">
        <f>IF(('2回目フォームの回答 '!N24="そうだ"),1,(IF(('2回目フォームの回答 '!N24="まぁそうだ"),2,(IF(('2回目フォームの回答 '!N24="ややちがう"),3,(IF(('2回目フォームの回答 '!N24="ちがう"),4,"")))))))</f>
        <v>4</v>
      </c>
      <c r="Q24" s="1">
        <f>IF(('2回目フォームの回答 '!O24="そうだ"),1,(IF(('2回目フォームの回答 '!O24="まぁそうだ"),2,(IF(('2回目フォームの回答 '!O24="ややちがう"),3,(IF(('2回目フォームの回答 '!O24="ちがう"),4,"")))))))</f>
        <v>4</v>
      </c>
      <c r="R24" s="1">
        <f>IF(('2回目フォームの回答 '!P24="そうだ"),1,(IF(('2回目フォームの回答 '!P24="まぁそうだ"),2,(IF(('2回目フォームの回答 '!P24="ややちがう"),3,(IF(('2回目フォームの回答 '!P24="ちがう"),4,"")))))))</f>
        <v>1</v>
      </c>
      <c r="S24" s="1">
        <f>IF(('2回目フォームの回答 '!Q24="そうだ"),1,(IF(('2回目フォームの回答 '!Q24="まぁそうだ"),2,(IF(('2回目フォームの回答 '!Q24="ややちがう"),3,(IF(('2回目フォームの回答 '!Q24="ちがう"),4,"")))))))</f>
        <v>4</v>
      </c>
      <c r="T24" s="1">
        <f>IF(('2回目フォームの回答 '!R24="そうだ"),1,(IF(('2回目フォームの回答 '!R24="まぁそうだ"),2,(IF(('2回目フォームの回答 '!R24="ややちがう"),3,(IF(('2回目フォームの回答 '!R24="ちがう"),4,"")))))))</f>
        <v>3</v>
      </c>
      <c r="U24" s="1">
        <f>IF(('2回目フォームの回答 '!S24="そうだ"),1,(IF(('2回目フォームの回答 '!S24="まぁそうだ"),2,(IF(('2回目フォームの回答 '!S24="ややちがう"),3,(IF(('2回目フォームの回答 '!S24="ちがう"),4,"")))))))</f>
        <v>3</v>
      </c>
      <c r="V24" s="1">
        <f t="shared" si="48"/>
        <v>8</v>
      </c>
      <c r="W24" s="1">
        <f t="shared" si="11"/>
        <v>3</v>
      </c>
      <c r="X24" s="1">
        <f t="shared" si="12"/>
        <v>8</v>
      </c>
      <c r="Y24" s="1">
        <f t="shared" si="13"/>
        <v>3</v>
      </c>
      <c r="Z24" s="1">
        <f t="shared" si="14"/>
        <v>2</v>
      </c>
      <c r="AA24" s="1">
        <f t="shared" si="15"/>
        <v>3</v>
      </c>
      <c r="AB24" s="1">
        <f t="shared" si="16"/>
        <v>3</v>
      </c>
      <c r="AC24" s="1">
        <f t="shared" si="17"/>
        <v>1</v>
      </c>
      <c r="AD24" s="1">
        <f t="shared" si="18"/>
        <v>1</v>
      </c>
      <c r="AE24" s="1">
        <f t="shared" si="0"/>
        <v>2</v>
      </c>
      <c r="AF24" s="1">
        <f t="shared" si="19"/>
        <v>6</v>
      </c>
      <c r="AG24" s="1">
        <f t="shared" si="1"/>
        <v>4</v>
      </c>
      <c r="AH24" s="1">
        <f t="shared" si="20"/>
        <v>4</v>
      </c>
      <c r="AI24" s="1">
        <f t="shared" si="21"/>
        <v>2</v>
      </c>
      <c r="AJ24" s="1">
        <f t="shared" si="22"/>
        <v>2</v>
      </c>
      <c r="AK24" s="1">
        <f t="shared" si="23"/>
        <v>4</v>
      </c>
      <c r="AL24" s="1">
        <f t="shared" si="24"/>
        <v>2</v>
      </c>
      <c r="AM24" s="1">
        <f t="shared" si="25"/>
        <v>4</v>
      </c>
      <c r="AN24" s="1">
        <f>IF(('2回目フォームの回答 '!T24="ほとんどなかった"),1,(IF(('2回目フォームの回答 '!T24="ときどきあった"),2,(IF(('2回目フォームの回答 '!T24="しばしばあった"),3,(IF(('2回目フォームの回答 '!T24="ほとんどいつもあった"),4,"")))))))</f>
        <v>2</v>
      </c>
      <c r="AO24" s="1">
        <f>IF(('2回目フォームの回答 '!U24="ほとんどなかった"),1,(IF(('2回目フォームの回答 '!U24="ときどきあった"),2,(IF(('2回目フォームの回答 '!U24="しばしばあった"),3,(IF(('2回目フォームの回答 '!U24="ほとんどいつもあった"),4,"")))))))</f>
        <v>3</v>
      </c>
      <c r="AP24" s="1">
        <f>IF(('2回目フォームの回答 '!V24="ほとんどなかった"),1,(IF(('2回目フォームの回答 '!V24="ときどきあった"),2,(IF(('2回目フォームの回答 '!V24="しばしばあった"),3,(IF(('2回目フォームの回答 '!V24="ほとんどいつもあった"),4,"")))))))</f>
        <v>3</v>
      </c>
      <c r="AQ24" s="1">
        <f>IF(('2回目フォームの回答 '!W24="ほとんどなかった"),1,(IF(('2回目フォームの回答 '!W24="ときどきあった"),2,(IF(('2回目フォームの回答 '!W24="しばしばあった"),3,(IF(('2回目フォームの回答 '!W24="ほとんどいつもあった"),4,"")))))))</f>
        <v>2</v>
      </c>
      <c r="AR24" s="1">
        <f>IF(('2回目フォームの回答 '!X24="ほとんどなかった"),1,(IF(('2回目フォームの回答 '!X24="ときどきあった"),2,(IF(('2回目フォームの回答 '!X24="しばしばあった"),3,(IF(('2回目フォームの回答 '!X24="ほとんどいつもあった"),4,"")))))))</f>
        <v>2</v>
      </c>
      <c r="AS24" s="1">
        <f>IF(('2回目フォームの回答 '!Y24="ほとんどなかった"),1,(IF(('2回目フォームの回答 '!Y24="ときどきあった"),2,(IF(('2回目フォームの回答 '!Y24="しばしばあった"),3,(IF(('2回目フォームの回答 '!Y24="ほとんどいつもあった"),4,"")))))))</f>
        <v>2</v>
      </c>
      <c r="AT24" s="1">
        <f>IF(('2回目フォームの回答 '!Z24="ほとんどなかった"),1,(IF(('2回目フォームの回答 '!Z24="ときどきあった"),2,(IF(('2回目フォームの回答 '!Z24="しばしばあった"),3,(IF(('2回目フォームの回答 '!Z24="ほとんどいつもあった"),4,"")))))))</f>
        <v>3</v>
      </c>
      <c r="AU24" s="1">
        <f>IF(('2回目フォームの回答 '!AA24="ほとんどなかった"),1,(IF(('2回目フォームの回答 '!AA24="ときどきあった"),2,(IF(('2回目フォームの回答 '!AA24="しばしばあった"),3,(IF(('2回目フォームの回答 '!AA24="ほとんどいつもあった"),4,"")))))))</f>
        <v>3</v>
      </c>
      <c r="AV24" s="1">
        <f>IF(('2回目フォームの回答 '!AB24="ほとんどなかった"),1,(IF(('2回目フォームの回答 '!AB24="ときどきばあった"),2,(IF(('2回目フォームの回答 '!AB24="しばしばあった"),3,(IF(('2回目フォームの回答 '!AB24="ほとんどいつもあった"),4,"")))))))</f>
        <v>3</v>
      </c>
      <c r="AW24" s="1">
        <f>IF(('2回目フォームの回答 '!AC24="ほとんどなかった"),1,(IF(('2回目フォームの回答 '!AC24="ときどきあった"),2,(IF(('2回目フォームの回答 '!AC24="しばしばあった"),3,(IF(('2回目フォームの回答 '!AC24="ほとんどいつもあった"),4,"")))))))</f>
        <v>3</v>
      </c>
      <c r="AX24" s="1">
        <f>IF(('2回目フォームの回答 '!AD24="ほとんどなかった"),1,(IF(('2回目フォームの回答 '!AD24="ときどきあった"),2,(IF(('2回目フォームの回答 '!AD24="しばしばあった"),3,(IF(('2回目フォームの回答 '!AD24="ほとんどいつもあった"),4,"")))))))</f>
        <v>2</v>
      </c>
      <c r="AY24" s="1">
        <f>IF(('2回目フォームの回答 '!AE24="ほとんどなかった"),1,(IF(('2回目フォームの回答 '!AE24="ときどきあった"),2,(IF(('2回目フォームの回答 '!AE24="しばしばあった"),3,(IF(('2回目フォームの回答 '!AE24="ほとんどいつもあった"),4,"")))))))</f>
        <v>2</v>
      </c>
      <c r="AZ24" s="1">
        <f>IF(('2回目フォームの回答 '!AF24="ほとんどなかった"),1,(IF(('2回目フォームの回答 '!AF24="ときどきあった"),2,(IF(('2回目フォームの回答 '!AF24="しばしばあった"),3,(IF(('2回目フォームの回答 '!AF24="ほとんどいつもあった"),4,"")))))))</f>
        <v>2</v>
      </c>
      <c r="BA24" s="1">
        <f>IF(('2回目フォームの回答 '!AG24="ほとんどなかった"),1,(IF(('2回目フォームの回答 '!AG24="ときどきあった"),2,(IF(('2回目フォームの回答 '!AG24="しばしばあった"),3,(IF(('2回目フォームの回答 '!AG24="ほとんどいつもあった"),4,"")))))))</f>
        <v>3</v>
      </c>
      <c r="BB24" s="1">
        <f>IF(('2回目フォームの回答 '!AH24="ほとんどなかった"),1,(IF(('2回目フォームの回答 '!AH24="ときどきあった"),2,(IF(('2回目フォームの回答 '!AH24="しばしばあった"),3,(IF(('2回目フォームの回答 '!AH24="ほとんどいつもあった"),4,"")))))))</f>
        <v>3</v>
      </c>
      <c r="BC24" s="1">
        <f>IF(('2回目フォームの回答 '!AI24="ほとんどなかった"),1,(IF(('2回目フォームの回答 '!AI24="ときどきあった"),2,(IF(('2回目フォームの回答 '!AI24="しばしばあった"),3,(IF(('2回目フォームの回答 '!AI24="ほとんどいつもあった"),4,"")))))))</f>
        <v>3</v>
      </c>
      <c r="BD24" s="1">
        <f>IF(('2回目フォームの回答 '!AJ24="ほとんどなかった"),1,(IF(('2回目フォームの回答 '!AJ24="ときどきあった"),2,(IF(('2回目フォームの回答 '!AJ24="しばしばあった"),3,(IF(('2回目フォームの回答 '!AJ24="ほとんどいつもあった"),4,"")))))))</f>
        <v>3</v>
      </c>
      <c r="BE24" s="1">
        <f>IF(('2回目フォームの回答 '!AK24="ほとんどなかった"),1,(IF(('2回目フォームの回答 '!AK24="ときどきあった"),2,(IF(('2回目フォームの回答 '!AK24="しばしばあった"),3,(IF(('2回目フォームの回答 '!AK24="ほとんどいつもあった"),4,"")))))))</f>
        <v>2</v>
      </c>
      <c r="BF24" s="1">
        <f>IF(('2回目フォームの回答 '!AL24="ほとんどなかった"),1,(IF(('2回目フォームの回答 '!AL24="ときどきあった"),2,(IF(('2回目フォームの回答 '!AL24="しばしばあった"),3,(IF(('2回目フォームの回答 '!AL24="ほとんどいつもあった"),4,"")))))))</f>
        <v>1</v>
      </c>
      <c r="BG24" s="1">
        <f>IF(('2回目フォームの回答 '!AM24="ほとんどなかった"),1,(IF(('2回目フォームの回答 '!AM24="ときどきあった"),2,(IF(('2回目フォームの回答 '!AM24="しばしばあった"),3,(IF(('2回目フォームの回答 '!AM24="ほとんどいつもあった"),4,"")))))))</f>
        <v>1</v>
      </c>
      <c r="BH24" s="1">
        <f>IF(('2回目フォームの回答 '!AN24="ほとんどなかった"),1,(IF(('2回目フォームの回答 '!AN24="ときどきあった"),2,(IF(('2回目フォームの回答 '!AN24="しばしばあった"),3,(IF(('2回目フォームの回答 '!AN24="ほとんどいつもあった"),4,"")))))))</f>
        <v>3</v>
      </c>
      <c r="BI24" s="1">
        <f>IF(('2回目フォームの回答 '!AO24="ほとんどなかった"),1,(IF(('2回目フォームの回答 '!AO24="ときどきあった"),2,(IF(('2回目フォームの回答 '!AO24="しばしばあった"),3,(IF(('2回目フォームの回答 '!AO24="ほとんどいつもあった"),4,"")))))))</f>
        <v>2</v>
      </c>
      <c r="BJ24" s="1">
        <f>IF(('2回目フォームの回答 '!AP24="ほとんどなかった"),1,(IF(('2回目フォームの回答 '!AP24="ときどきあった"),2,(IF(('2回目フォームの回答 '!AP24="しばしばあった"),3,(IF(('2回目フォームの回答 '!AP24="ほとんどいつもあった"),4,"")))))))</f>
        <v>1</v>
      </c>
      <c r="BK24" s="1">
        <f>IF(('2回目フォームの回答 '!AQ24="ほとんどなかった"),1,(IF(('2回目フォームの回答 '!AQ24="ときどきあった"),2,(IF(('2回目フォームの回答 '!AQ24="しばしばあった"),3,(IF(('2回目フォームの回答 '!AQ24="ほとんどいつもあった"),4,"")))))))</f>
        <v>1</v>
      </c>
      <c r="BL24" s="1">
        <f>IF(('2回目フォームの回答 '!AR24="ほとんどなかった"),1,(IF(('2回目フォームの回答 '!AR24="ときどきあった"),2,(IF(('2回目フォームの回答 '!AR24="しばしばあった"),3,(IF(('2回目フォームの回答 '!AR24="ほとんどいつもあった"),4,"")))))))</f>
        <v>1</v>
      </c>
      <c r="BM24" s="1">
        <f>IF(('2回目フォームの回答 '!AS24="ほとんどなかった"),1,(IF(('2回目フォームの回答 '!AS24="ときどきあった"),2,(IF(('2回目フォームの回答 '!AS24="しばしばあった"),3,(IF(('2回目フォームの回答 '!AS24="ほとんどいつもあった"),4,"")))))))</f>
        <v>3</v>
      </c>
      <c r="BN24" s="1">
        <f>IF(('2回目フォームの回答 '!AT24="ほとんどなかった"),1,(IF(('2回目フォームの回答 '!AT24="ときどきあった"),2,(IF(('2回目フォームの回答 '!AT24="しばしばあった"),3,(IF(('2回目フォームの回答 '!AT24="ほとんどいつもあった"),4,"")))))))</f>
        <v>1</v>
      </c>
      <c r="BO24" s="1">
        <f>IF(('2回目フォームの回答 '!AU24="ほとんどなかった"),1,(IF(('2回目フォームの回答 '!AU24="ときどきあった"),2,(IF(('2回目フォームの回答 '!AU24="しばしばあった"),3,(IF(('2回目フォームの回答 '!AU24="ほとんどいつもあった"),4,"")))))))</f>
        <v>3</v>
      </c>
      <c r="BP24" s="1">
        <f>IF(('2回目フォームの回答 '!AV24="ほとんどなかった"),1,(IF(('2回目フォームの回答 '!AV24="ときどきあった"),2,(IF(('2回目フォームの回答 '!AV24="しばしばあった"),3,(IF(('2回目フォームの回答 '!AV24="ほとんどいつもあった"),4,"")))))))</f>
        <v>2</v>
      </c>
      <c r="BQ24" s="1">
        <f t="shared" si="26"/>
        <v>8</v>
      </c>
      <c r="BR24" s="1">
        <f t="shared" si="27"/>
        <v>2</v>
      </c>
      <c r="BS24" s="1">
        <f t="shared" si="28"/>
        <v>6</v>
      </c>
      <c r="BT24" s="1">
        <f t="shared" si="2"/>
        <v>3</v>
      </c>
      <c r="BU24" s="1">
        <f t="shared" si="3"/>
        <v>9</v>
      </c>
      <c r="BV24" s="1">
        <f t="shared" si="4"/>
        <v>4</v>
      </c>
      <c r="BW24" s="1">
        <f t="shared" si="29"/>
        <v>7</v>
      </c>
      <c r="BX24" s="1">
        <f t="shared" si="5"/>
        <v>3</v>
      </c>
      <c r="BY24" s="1">
        <f t="shared" si="30"/>
        <v>16</v>
      </c>
      <c r="BZ24" s="1">
        <f t="shared" si="6"/>
        <v>4</v>
      </c>
      <c r="CA24" s="1">
        <f t="shared" si="31"/>
        <v>19</v>
      </c>
      <c r="CB24" s="1">
        <f t="shared" si="32"/>
        <v>3</v>
      </c>
      <c r="CC24" s="1">
        <f>IF(('2回目フォームの回答 '!AW24="非常に"),1,(IF(('2回目フォームの回答 '!AW24="かなり"),2,(IF(('2回目フォームの回答 '!AW24="多少"),3,(IF(('2回目フォームの回答 '!AW24="全くない"),4,"")))))))</f>
        <v>3</v>
      </c>
      <c r="CD24" s="1">
        <f>IF(('2回目フォームの回答 '!AX24="非常に"),1,(IF(('2回目フォームの回答 '!AX24="かなり"),2,(IF(('2回目フォームの回答 '!AX24="多少"),3,(IF(('2回目フォームの回答 '!AX24="全くない"),4,"")))))))</f>
        <v>2</v>
      </c>
      <c r="CE24" s="1">
        <f>IF(('2回目フォームの回答 '!AY24="非常に"),1,(IF(('2回目フォームの回答 '!AY24="かなり"),2,(IF(('2回目フォームの回答 '!AY24="多少"),3,(IF(('2回目フォームの回答 '!AY24="全くない"),4,"")))))))</f>
        <v>3</v>
      </c>
      <c r="CF24" s="1">
        <f>IF(('2回目フォームの回答 '!AZ24="非常に"),1,(IF(('2回目フォームの回答 '!AZ24="かなり"),2,(IF(('2回目フォームの回答 '!AZ24="多少"),3,(IF(('2回目フォームの回答 '!AZ24="全くない"),4,"")))))))</f>
        <v>3</v>
      </c>
      <c r="CG24" s="1">
        <f>IF(('2回目フォームの回答 '!BA24="非常に"),1,(IF(('2回目フォームの回答 '!BA24="かなり"),2,(IF(('2回目フォームの回答 '!BA24="多少"),3,(IF(('2回目フォームの回答 '!BA24="全くない"),4,"")))))))</f>
        <v>3</v>
      </c>
      <c r="CH24" s="1">
        <f>IF(('2回目フォームの回答 '!BB24="非常に"),1,(IF(('2回目フォームの回答 '!BB24="かなり"),2,(IF(('2回目フォームの回答 '!BB24="多少"),3,(IF(('2回目フォームの回答 '!BB24="全くない"),4,"")))))))</f>
        <v>3</v>
      </c>
      <c r="CI24" s="1">
        <f>IF(('2回目フォームの回答 '!BC24="非常に"),1,(IF(('2回目フォームの回答 '!BC24="かなり"),2,(IF(('2回目フォームの回答 '!BC24="多少"),3,(IF(('2回目フォームの回答 '!BC24="全くない"),4,"")))))))</f>
        <v>3</v>
      </c>
      <c r="CJ24" s="1">
        <f>IF(('2回目フォームの回答 '!BD24="非常に"),1,(IF(('2回目フォームの回答 '!BD24="かなり"),2,(IF(('2回目フォームの回答 '!BD24="多少"),3,(IF(('2回目フォームの回答 '!BD24="全くない"),4,"")))))))</f>
        <v>3</v>
      </c>
      <c r="CK24" s="1">
        <f>IF(('2回目フォームの回答 '!BE24="非常に"),1,(IF(('2回目フォームの回答 '!BE24="かなり"),2,(IF(('2回目フォームの回答 '!BE24="多少"),3,(IF(('2回目フォームの回答 '!BE24="全くない"),4,"")))))))</f>
        <v>3</v>
      </c>
      <c r="CL24" s="1">
        <f>IF(('2回目フォームの回答 '!BF24="満足"),1,(IF(('2回目フォームの回答 '!BF24="まぁ満足"),2,(IF(('2回目フォームの回答 '!BF24="やや満足"),3,(IF(('2回目フォームの回答 '!BF24="不満足"),4,"")))))))</f>
        <v>3</v>
      </c>
      <c r="CM24" s="1">
        <f>IF(('2回目フォームの回答 '!BG24="満足"),1,(IF(('2回目フォームの回答 '!BG24="まぁ満足"),2,(IF(('2回目フォームの回答 '!BG24="やや満足"),3,(IF(('2回目フォームの回答 '!BG24="不満足"),4,"")))))))</f>
        <v>4</v>
      </c>
      <c r="CN24" s="1">
        <f t="shared" si="33"/>
        <v>6</v>
      </c>
      <c r="CO24" s="1">
        <f t="shared" si="7"/>
        <v>4</v>
      </c>
      <c r="CP24" s="1">
        <f t="shared" si="34"/>
        <v>7</v>
      </c>
      <c r="CQ24" s="1">
        <f t="shared" si="8"/>
        <v>4</v>
      </c>
      <c r="CR24" s="1">
        <f t="shared" si="35"/>
        <v>6</v>
      </c>
      <c r="CS24" s="1">
        <f t="shared" si="36"/>
        <v>5</v>
      </c>
      <c r="CT24" s="1">
        <f t="shared" si="37"/>
        <v>3</v>
      </c>
      <c r="CU24" s="1">
        <f t="shared" si="9"/>
        <v>5</v>
      </c>
      <c r="CV24" s="1">
        <f t="shared" si="38"/>
        <v>19</v>
      </c>
      <c r="CW24" s="1">
        <f t="shared" si="39"/>
        <v>26</v>
      </c>
      <c r="CX24" s="1">
        <f t="shared" si="10"/>
        <v>13</v>
      </c>
      <c r="CY24" s="29" t="str">
        <f t="shared" si="40"/>
        <v>中①</v>
      </c>
      <c r="CZ24" s="1">
        <f>'2回目フォームの回答 '!BH24</f>
        <v>0.9</v>
      </c>
      <c r="DA24" s="2">
        <f t="shared" si="41"/>
        <v>9.9999999999999978E-2</v>
      </c>
      <c r="DB24" s="1">
        <f>IF(('2回目フォームの回答 '!BI24="いつもより寝つきは良い"),0,(IF(('2回目フォームの回答 '!BI24="いつもより少し時間がかかった"),1,(IF(('2回目フォームの回答 '!BI24="いつもよりかなり時間がかかった"),2,(IF(('2回目フォームの回答 '!BI24="いつもより非常に時間がかかった、あるいは全く眠れなかった"),3,"")))))))</f>
        <v>1</v>
      </c>
      <c r="DC24" s="1">
        <f>IF(('2回目フォームの回答 '!BJ24="問題になるほどのことはなかった"),0,(IF(('2回目フォームの回答 '!BJ24="少し困ることがある"),1,(IF(('2回目フォームの回答 '!BJ24="かなり困っている"),2,(IF(('2回目フォームの回答 '!BJ24="深刻な状態、あるいは全く眠れなかった"),3,"")))))))</f>
        <v>1</v>
      </c>
      <c r="DD24" s="1">
        <f>IF(('2回目フォームの回答 '!BK24="そのようなことはなかった"),0,(IF(('2回目フォームの回答 '!BK24="少し早かった"),1,(IF(('2回目フォームの回答 '!BK24="かなり早かった"),2,(IF(('2回目フォームの回答 '!BK24="非常に早かった、あるいは全く眠れなかった"),3,"")))))))</f>
        <v>1</v>
      </c>
      <c r="DE24" s="1">
        <f>IF(('2回目フォームの回答 '!BL24="十分である"),0,(IF(('2回目フォームの回答 '!BL24="少し足りない"),1,(IF(('2回目フォームの回答 '!BL24="かなり足りない"),2,(IF(('2回目フォームの回答 '!BL24="全く足りない、あるいは全く眠れなかった"),3,"")))))))</f>
        <v>1</v>
      </c>
      <c r="DF24" s="1">
        <f>IF(('2回目フォームの回答 '!BM24="満足している"),0,(IF(('2回目フォームの回答 '!BM24="少し不満である"),1,(IF(('2回目フォームの回答 '!BM24="かなり不満である"),2,(IF(('2回目フォームの回答 '!BM24="非常に不満である、あるいは全く眠れなかった"),3,"")))))))</f>
        <v>1</v>
      </c>
      <c r="DG24" s="1">
        <f>IF(('2回目フォームの回答 '!BN24="いつもどおり"),0,(IF(('2回目フォームの回答 '!BN24="少し滅入った"),1,(IF(('2回目フォームの回答 '!BN24="かなり滅入った"),2,(IF(('2回目フォームの回答 '!BN24="非常に滅入った"),3,"")))))))</f>
        <v>0</v>
      </c>
      <c r="DH24" s="1">
        <f>IF(('2回目フォームの回答 '!BO24="いつもどおり"),0,(IF(('2回目フォームの回答 '!BO24="少し低下した"),1,(IF(('2回目フォームの回答 '!BO24="かなり低下した"),2,(IF(('2回目フォームの回答 '!BO24="非常に低下した"),3,"")))))))</f>
        <v>0</v>
      </c>
      <c r="DI24" s="1">
        <f>IF(('2回目フォームの回答 '!BP24="全くなかった"),0,(IF(('2回目フォームの回答 '!BP24="少しあった"),1,(IF(('2回目フォームの回答 '!BP24="かなりあった"),2,(IF(('2回目フォームの回答 '!BP24="激しかった"),3,"")))))))</f>
        <v>1</v>
      </c>
      <c r="DJ24">
        <f t="shared" si="42"/>
        <v>6</v>
      </c>
      <c r="DK24" s="4" t="str">
        <f t="shared" si="43"/>
        <v>高</v>
      </c>
      <c r="DL24" s="5">
        <v>0.2</v>
      </c>
      <c r="DM24" s="5">
        <v>0.5</v>
      </c>
      <c r="DN24" s="5">
        <v>0.3</v>
      </c>
      <c r="DO24" s="5">
        <f t="shared" si="44"/>
        <v>1</v>
      </c>
      <c r="DP24" s="5"/>
      <c r="DQ24" s="5" t="s">
        <v>200</v>
      </c>
      <c r="DR24" s="5"/>
      <c r="DS24" s="71"/>
      <c r="DT24" s="66">
        <v>318</v>
      </c>
      <c r="DU24" s="59">
        <f>INDEX('1回目結果'!DR:DR,MATCH($DT24,'1回目結果'!$A:$A,0))</f>
        <v>0.42</v>
      </c>
      <c r="DV24" s="59">
        <f>INDEX('1回目結果'!DS:DS,MATCH($DT24,'1回目結果'!$A:$A,0))</f>
        <v>61.18</v>
      </c>
      <c r="DW24" s="59">
        <f>INDEX('1回目結果'!DT:DT,MATCH($DT24,'1回目結果'!$A:$A,0))</f>
        <v>0.69</v>
      </c>
      <c r="DX24" s="59">
        <f>INDEX('1回目結果'!DU:DU,MATCH($DT24,'1回目結果'!$A:$A,0))</f>
        <v>35</v>
      </c>
      <c r="DY24" s="59">
        <f>IFERROR(INDEX('1回目結果'!DL:DL,MATCH('2回目結果'!$DT24,'1回目結果'!$A:$A,0)),"")</f>
        <v>2.2000000000000002</v>
      </c>
      <c r="DZ24" s="59">
        <f>IFERROR(INDEX('1回目結果'!DM:DM,MATCH('2回目結果'!$DT24,'1回目結果'!$A:$A,0)),"")</f>
        <v>0.6</v>
      </c>
      <c r="EA24" s="59">
        <f>IFERROR(INDEX('1回目結果'!DN:DN,MATCH('2回目結果'!$DT24,'1回目結果'!$A:$A,0)),"")</f>
        <v>2.2999999999999998</v>
      </c>
      <c r="EB24" s="59">
        <f>IFERROR(INDEX('1回目結果'!DO:DO,MATCH('2回目結果'!$DT24,'1回目結果'!$A:$A,0)),"")</f>
        <v>5.0999999999999996</v>
      </c>
      <c r="EC24" s="59">
        <f>IFERROR(INDEX('1回目結果'!DP:DP,MATCH('2回目結果'!$DT24,'1回目結果'!$A:$A,0)),"")</f>
        <v>0</v>
      </c>
      <c r="ED24" s="59">
        <f>IFERROR(INDEX('1回目結果'!DQ:DQ,MATCH('2回目結果'!$DT24,'1回目結果'!$A:$A,0)),"")</f>
        <v>0</v>
      </c>
      <c r="EE24" s="54">
        <v>2.8239999999999998</v>
      </c>
      <c r="EF24" s="54">
        <v>209.74</v>
      </c>
      <c r="EG24" s="54">
        <v>1.35</v>
      </c>
      <c r="EH24" s="54">
        <v>68</v>
      </c>
      <c r="EI24" s="43" t="s">
        <v>115</v>
      </c>
      <c r="EJ24" s="44">
        <f t="shared" si="45"/>
        <v>1.9428571428571428</v>
      </c>
      <c r="EK24" s="44">
        <f t="shared" si="53"/>
        <v>1.956521739130435</v>
      </c>
      <c r="EL24">
        <f t="shared" si="46"/>
        <v>-4.0999999999999996</v>
      </c>
      <c r="EM24">
        <f t="shared" si="47"/>
        <v>-1.9999999999999998</v>
      </c>
    </row>
    <row r="25" spans="1:143" ht="15.75" customHeight="1">
      <c r="A25" s="1">
        <v>344</v>
      </c>
      <c r="B25" s="24" t="s">
        <v>139</v>
      </c>
      <c r="C25" s="52">
        <v>29271</v>
      </c>
      <c r="D25" s="38">
        <v>44</v>
      </c>
      <c r="E25" s="1">
        <f>IF(('2回目フォームの回答 '!C25="そうだ"),1,(IF(('2回目フォームの回答 '!C25="まぁそうだ"),2,(IF(('2回目フォームの回答 '!C25="ややちがう"),3,(IF(('2回目フォームの回答 '!C25="ちがう"),4,"")))))))</f>
        <v>3</v>
      </c>
      <c r="F25" s="1">
        <f>IF(('2回目フォームの回答 '!D25="そうだ"),1,(IF(('2回目フォームの回答 '!D25="まぁそうだ"),2,(IF(('2回目フォームの回答 '!D25="ややちがう"),3,(IF(('2回目フォームの回答 '!D25="ちがう"),4,"")))))))</f>
        <v>3</v>
      </c>
      <c r="G25" s="1">
        <f>IF(('2回目フォームの回答 '!E25="そうだ"),1,(IF(('2回目フォームの回答 '!E25="まぁそうだ"),2,(IF(('2回目フォームの回答 '!E25="ややちがう"),3,(IF(('2回目フォームの回答 '!E25="ちがう"),4,"")))))))</f>
        <v>2</v>
      </c>
      <c r="H25" s="1">
        <f>IF(('2回目フォームの回答 '!F25="そうだ"),1,(IF(('2回目フォームの回答 '!F25="まぁそうだ"),2,(IF(('2回目フォームの回答 '!F25="ややちがう"),3,(IF(('2回目フォームの回答 '!F25="ちがう"),4,"")))))))</f>
        <v>2</v>
      </c>
      <c r="I25" s="1">
        <f>IF(('2回目フォームの回答 '!G25="そうだ"),1,(IF(('2回目フォームの回答 '!G25="まぁそうだ"),2,(IF(('2回目フォームの回答 '!G25="ややちがう"),3,(IF(('2回目フォームの回答 '!G25="ちがう"),4,"")))))))</f>
        <v>2</v>
      </c>
      <c r="J25" s="1">
        <f>IF(('2回目フォームの回答 '!H25="そうだ"),1,(IF(('2回目フォームの回答 '!H25="まぁそうだ"),2,(IF(('2回目フォームの回答 '!H25="ややちがう"),3,(IF(('2回目フォームの回答 '!H25="ちがう"),4,"")))))))</f>
        <v>2</v>
      </c>
      <c r="K25" s="1">
        <f>IF(('2回目フォームの回答 '!I25="そうだ"),1,(IF(('2回目フォームの回答 '!I25="まぁそうだ"),2,(IF(('2回目フォームの回答 '!I25="ややちがう"),3,(IF(('2回目フォームの回答 '!I25="ちがう"),4,"")))))))</f>
        <v>4</v>
      </c>
      <c r="L25" s="1">
        <f>IF(('2回目フォームの回答 '!J25="そうだ"),1,(IF(('2回目フォームの回答 '!J25="まぁそうだ"),2,(IF(('2回目フォームの回答 '!J25="ややちがう"),3,(IF(('2回目フォームの回答 '!J25="ちがう"),4,"")))))))</f>
        <v>2</v>
      </c>
      <c r="M25" s="1">
        <f>IF(('2回目フォームの回答 '!K25="そうだ"),1,(IF(('2回目フォームの回答 '!K25="まぁそうだ"),2,(IF(('2回目フォームの回答 '!K25="ややちがう"),3,(IF(('2回目フォームの回答 '!K25="ちがう"),4,"")))))))</f>
        <v>3</v>
      </c>
      <c r="N25" s="1">
        <f>IF(('2回目フォームの回答 '!L25="そうだ"),1,(IF(('2回目フォームの回答 '!L25="まぁそうだ"),2,(IF(('2回目フォームの回答 '!L25="ややちがう"),3,(IF(('2回目フォームの回答 '!L25="ちがう"),4,"")))))))</f>
        <v>3</v>
      </c>
      <c r="O25" s="1">
        <f>IF(('2回目フォームの回答 '!M25="そうだ"),1,(IF(('2回目フォームの回答 '!M25="まぁそうだ"),2,(IF(('2回目フォームの回答 '!M25="ややちがう"),3,(IF(('2回目フォームの回答 '!M25="ちがう"),4,"")))))))</f>
        <v>2</v>
      </c>
      <c r="P25" s="1">
        <f>IF(('2回目フォームの回答 '!N25="そうだ"),1,(IF(('2回目フォームの回答 '!N25="まぁそうだ"),2,(IF(('2回目フォームの回答 '!N25="ややちがう"),3,(IF(('2回目フォームの回答 '!N25="ちがう"),4,"")))))))</f>
        <v>3</v>
      </c>
      <c r="Q25" s="1">
        <f>IF(('2回目フォームの回答 '!O25="そうだ"),1,(IF(('2回目フォームの回答 '!O25="まぁそうだ"),2,(IF(('2回目フォームの回答 '!O25="ややちがう"),3,(IF(('2回目フォームの回答 '!O25="ちがう"),4,"")))))))</f>
        <v>3</v>
      </c>
      <c r="R25" s="1">
        <f>IF(('2回目フォームの回答 '!P25="そうだ"),1,(IF(('2回目フォームの回答 '!P25="まぁそうだ"),2,(IF(('2回目フォームの回答 '!P25="ややちがう"),3,(IF(('2回目フォームの回答 '!P25="ちがう"),4,"")))))))</f>
        <v>2</v>
      </c>
      <c r="S25" s="1">
        <f>IF(('2回目フォームの回答 '!Q25="そうだ"),1,(IF(('2回目フォームの回答 '!Q25="まぁそうだ"),2,(IF(('2回目フォームの回答 '!Q25="ややちがう"),3,(IF(('2回目フォームの回答 '!Q25="ちがう"),4,"")))))))</f>
        <v>4</v>
      </c>
      <c r="T25" s="1">
        <f>IF(('2回目フォームの回答 '!R25="そうだ"),1,(IF(('2回目フォームの回答 '!R25="まぁそうだ"),2,(IF(('2回目フォームの回答 '!R25="ややちがう"),3,(IF(('2回目フォームの回答 '!R25="ちがう"),4,"")))))))</f>
        <v>1</v>
      </c>
      <c r="U25" s="1">
        <f>IF(('2回目フォームの回答 '!S25="そうだ"),1,(IF(('2回目フォームの回答 '!S25="まぁそうだ"),2,(IF(('2回目フォームの回答 '!S25="ややちがう"),3,(IF(('2回目フォームの回答 '!S25="ちがう"),4,"")))))))</f>
        <v>1</v>
      </c>
      <c r="V25" s="1">
        <f t="shared" si="48"/>
        <v>7</v>
      </c>
      <c r="W25" s="1">
        <f t="shared" si="11"/>
        <v>2</v>
      </c>
      <c r="X25" s="1">
        <f t="shared" si="12"/>
        <v>9</v>
      </c>
      <c r="Y25" s="1">
        <f t="shared" si="13"/>
        <v>3</v>
      </c>
      <c r="Z25" s="1">
        <f t="shared" si="14"/>
        <v>1</v>
      </c>
      <c r="AA25" s="1">
        <f t="shared" si="15"/>
        <v>2</v>
      </c>
      <c r="AB25" s="1">
        <f t="shared" si="16"/>
        <v>6</v>
      </c>
      <c r="AC25" s="1">
        <f t="shared" si="17"/>
        <v>3</v>
      </c>
      <c r="AD25" s="1">
        <f t="shared" si="18"/>
        <v>1</v>
      </c>
      <c r="AE25" s="1">
        <f t="shared" si="0"/>
        <v>2</v>
      </c>
      <c r="AF25" s="1">
        <f t="shared" si="19"/>
        <v>7</v>
      </c>
      <c r="AG25" s="1">
        <f t="shared" si="1"/>
        <v>3</v>
      </c>
      <c r="AH25" s="1">
        <f t="shared" si="20"/>
        <v>2</v>
      </c>
      <c r="AI25" s="1">
        <f t="shared" si="21"/>
        <v>4</v>
      </c>
      <c r="AJ25" s="1">
        <f t="shared" si="22"/>
        <v>4</v>
      </c>
      <c r="AK25" s="1">
        <f t="shared" si="23"/>
        <v>1</v>
      </c>
      <c r="AL25" s="1">
        <f t="shared" si="24"/>
        <v>4</v>
      </c>
      <c r="AM25" s="1">
        <f t="shared" si="25"/>
        <v>1</v>
      </c>
      <c r="AN25" s="1">
        <f>IF(('2回目フォームの回答 '!T25="ほとんどなかった"),1,(IF(('2回目フォームの回答 '!T25="ときどきあった"),2,(IF(('2回目フォームの回答 '!T25="しばしばあった"),3,(IF(('2回目フォームの回答 '!T25="ほとんどいつもあった"),4,"")))))))</f>
        <v>2</v>
      </c>
      <c r="AO25" s="1">
        <f>IF(('2回目フォームの回答 '!U25="ほとんどなかった"),1,(IF(('2回目フォームの回答 '!U25="ときどきあった"),2,(IF(('2回目フォームの回答 '!U25="しばしばあった"),3,(IF(('2回目フォームの回答 '!U25="ほとんどいつもあった"),4,"")))))))</f>
        <v>3</v>
      </c>
      <c r="AP25" s="1">
        <f>IF(('2回目フォームの回答 '!V25="ほとんどなかった"),1,(IF(('2回目フォームの回答 '!V25="ときどきあった"),2,(IF(('2回目フォームの回答 '!V25="しばしばあった"),3,(IF(('2回目フォームの回答 '!V25="ほとんどいつもあった"),4,"")))))))</f>
        <v>3</v>
      </c>
      <c r="AQ25" s="1">
        <f>IF(('2回目フォームの回答 '!W25="ほとんどなかった"),1,(IF(('2回目フォームの回答 '!W25="ときどきあった"),2,(IF(('2回目フォームの回答 '!W25="しばしばあった"),3,(IF(('2回目フォームの回答 '!W25="ほとんどいつもあった"),4,"")))))))</f>
        <v>1</v>
      </c>
      <c r="AR25" s="1">
        <f>IF(('2回目フォームの回答 '!X25="ほとんどなかった"),1,(IF(('2回目フォームの回答 '!X25="ときどきあった"),2,(IF(('2回目フォームの回答 '!X25="しばしばあった"),3,(IF(('2回目フォームの回答 '!X25="ほとんどいつもあった"),4,"")))))))</f>
        <v>1</v>
      </c>
      <c r="AS25" s="1">
        <f>IF(('2回目フォームの回答 '!Y25="ほとんどなかった"),1,(IF(('2回目フォームの回答 '!Y25="ときどきあった"),2,(IF(('2回目フォームの回答 '!Y25="しばしばあった"),3,(IF(('2回目フォームの回答 '!Y25="ほとんどいつもあった"),4,"")))))))</f>
        <v>1</v>
      </c>
      <c r="AT25" s="1">
        <f>IF(('2回目フォームの回答 '!Z25="ほとんどなかった"),1,(IF(('2回目フォームの回答 '!Z25="ときどきあった"),2,(IF(('2回目フォームの回答 '!Z25="しばしばあった"),3,(IF(('2回目フォームの回答 '!Z25="ほとんどいつもあった"),4,"")))))))</f>
        <v>2</v>
      </c>
      <c r="AU25" s="1">
        <f>IF(('2回目フォームの回答 '!AA25="ほとんどなかった"),1,(IF(('2回目フォームの回答 '!AA25="ときどきあった"),2,(IF(('2回目フォームの回答 '!AA25="しばしばあった"),3,(IF(('2回目フォームの回答 '!AA25="ほとんどいつもあった"),4,"")))))))</f>
        <v>1</v>
      </c>
      <c r="AV25" s="1">
        <f>IF(('2回目フォームの回答 '!AB25="ほとんどなかった"),1,(IF(('2回目フォームの回答 '!AB25="ときどきばあった"),2,(IF(('2回目フォームの回答 '!AB25="しばしばあった"),3,(IF(('2回目フォームの回答 '!AB25="ほとんどいつもあった"),4,"")))))))</f>
        <v>1</v>
      </c>
      <c r="AW25" s="1">
        <f>IF(('2回目フォームの回答 '!AC25="ほとんどなかった"),1,(IF(('2回目フォームの回答 '!AC25="ときどきあった"),2,(IF(('2回目フォームの回答 '!AC25="しばしばあった"),3,(IF(('2回目フォームの回答 '!AC25="ほとんどいつもあった"),4,"")))))))</f>
        <v>1</v>
      </c>
      <c r="AX25" s="1">
        <f>IF(('2回目フォームの回答 '!AD25="ほとんどなかった"),1,(IF(('2回目フォームの回答 '!AD25="ときどきあった"),2,(IF(('2回目フォームの回答 '!AD25="しばしばあった"),3,(IF(('2回目フォームの回答 '!AD25="ほとんどいつもあった"),4,"")))))))</f>
        <v>2</v>
      </c>
      <c r="AY25" s="1">
        <f>IF(('2回目フォームの回答 '!AE25="ほとんどなかった"),1,(IF(('2回目フォームの回答 '!AE25="ときどきあった"),2,(IF(('2回目フォームの回答 '!AE25="しばしばあった"),3,(IF(('2回目フォームの回答 '!AE25="ほとんどいつもあった"),4,"")))))))</f>
        <v>1</v>
      </c>
      <c r="AZ25" s="1">
        <f>IF(('2回目フォームの回答 '!AF25="ほとんどなかった"),1,(IF(('2回目フォームの回答 '!AF25="ときどきあった"),2,(IF(('2回目フォームの回答 '!AF25="しばしばあった"),3,(IF(('2回目フォームの回答 '!AF25="ほとんどいつもあった"),4,"")))))))</f>
        <v>2</v>
      </c>
      <c r="BA25" s="1">
        <f>IF(('2回目フォームの回答 '!AG25="ほとんどなかった"),1,(IF(('2回目フォームの回答 '!AG25="ときどきあった"),2,(IF(('2回目フォームの回答 '!AG25="しばしばあった"),3,(IF(('2回目フォームの回答 '!AG25="ほとんどいつもあった"),4,"")))))))</f>
        <v>1</v>
      </c>
      <c r="BB25" s="1">
        <f>IF(('2回目フォームの回答 '!AH25="ほとんどなかった"),1,(IF(('2回目フォームの回答 '!AH25="ときどきあった"),2,(IF(('2回目フォームの回答 '!AH25="しばしばあった"),3,(IF(('2回目フォームの回答 '!AH25="ほとんどいつもあった"),4,"")))))))</f>
        <v>1</v>
      </c>
      <c r="BC25" s="1">
        <f>IF(('2回目フォームの回答 '!AI25="ほとんどなかった"),1,(IF(('2回目フォームの回答 '!AI25="ときどきあった"),2,(IF(('2回目フォームの回答 '!AI25="しばしばあった"),3,(IF(('2回目フォームの回答 '!AI25="ほとんどいつもあった"),4,"")))))))</f>
        <v>1</v>
      </c>
      <c r="BD25" s="1">
        <f>IF(('2回目フォームの回答 '!AJ25="ほとんどなかった"),1,(IF(('2回目フォームの回答 '!AJ25="ときどきあった"),2,(IF(('2回目フォームの回答 '!AJ25="しばしばあった"),3,(IF(('2回目フォームの回答 '!AJ25="ほとんどいつもあった"),4,"")))))))</f>
        <v>1</v>
      </c>
      <c r="BE25" s="1">
        <f>IF(('2回目フォームの回答 '!AK25="ほとんどなかった"),1,(IF(('2回目フォームの回答 '!AK25="ときどきあった"),2,(IF(('2回目フォームの回答 '!AK25="しばしばあった"),3,(IF(('2回目フォームの回答 '!AK25="ほとんどいつもあった"),4,"")))))))</f>
        <v>3</v>
      </c>
      <c r="BF25" s="1">
        <f>IF(('2回目フォームの回答 '!AL25="ほとんどなかった"),1,(IF(('2回目フォームの回答 '!AL25="ときどきあった"),2,(IF(('2回目フォームの回答 '!AL25="しばしばあった"),3,(IF(('2回目フォームの回答 '!AL25="ほとんどいつもあった"),4,"")))))))</f>
        <v>1</v>
      </c>
      <c r="BG25" s="1">
        <f>IF(('2回目フォームの回答 '!AM25="ほとんどなかった"),1,(IF(('2回目フォームの回答 '!AM25="ときどきあった"),2,(IF(('2回目フォームの回答 '!AM25="しばしばあった"),3,(IF(('2回目フォームの回答 '!AM25="ほとんどいつもあった"),4,"")))))))</f>
        <v>1</v>
      </c>
      <c r="BH25" s="1">
        <f>IF(('2回目フォームの回答 '!AN25="ほとんどなかった"),1,(IF(('2回目フォームの回答 '!AN25="ときどきあった"),2,(IF(('2回目フォームの回答 '!AN25="しばしばあった"),3,(IF(('2回目フォームの回答 '!AN25="ほとんどいつもあった"),4,"")))))))</f>
        <v>1</v>
      </c>
      <c r="BI25" s="1">
        <f>IF(('2回目フォームの回答 '!AO25="ほとんどなかった"),1,(IF(('2回目フォームの回答 '!AO25="ときどきあった"),2,(IF(('2回目フォームの回答 '!AO25="しばしばあった"),3,(IF(('2回目フォームの回答 '!AO25="ほとんどいつもあった"),4,"")))))))</f>
        <v>2</v>
      </c>
      <c r="BJ25" s="1">
        <f>IF(('2回目フォームの回答 '!AP25="ほとんどなかった"),1,(IF(('2回目フォームの回答 '!AP25="ときどきあった"),2,(IF(('2回目フォームの回答 '!AP25="しばしばあった"),3,(IF(('2回目フォームの回答 '!AP25="ほとんどいつもあった"),4,"")))))))</f>
        <v>1</v>
      </c>
      <c r="BK25" s="1">
        <f>IF(('2回目フォームの回答 '!AQ25="ほとんどなかった"),1,(IF(('2回目フォームの回答 '!AQ25="ときどきあった"),2,(IF(('2回目フォームの回答 '!AQ25="しばしばあった"),3,(IF(('2回目フォームの回答 '!AQ25="ほとんどいつもあった"),4,"")))))))</f>
        <v>2</v>
      </c>
      <c r="BL25" s="1">
        <f>IF(('2回目フォームの回答 '!AR25="ほとんどなかった"),1,(IF(('2回目フォームの回答 '!AR25="ときどきあった"),2,(IF(('2回目フォームの回答 '!AR25="しばしばあった"),3,(IF(('2回目フォームの回答 '!AR25="ほとんどいつもあった"),4,"")))))))</f>
        <v>1</v>
      </c>
      <c r="BM25" s="1">
        <f>IF(('2回目フォームの回答 '!AS25="ほとんどなかった"),1,(IF(('2回目フォームの回答 '!AS25="ときどきあった"),2,(IF(('2回目フォームの回答 '!AS25="しばしばあった"),3,(IF(('2回目フォームの回答 '!AS25="ほとんどいつもあった"),4,"")))))))</f>
        <v>2</v>
      </c>
      <c r="BN25" s="1">
        <f>IF(('2回目フォームの回答 '!AT25="ほとんどなかった"),1,(IF(('2回目フォームの回答 '!AT25="ときどきあった"),2,(IF(('2回目フォームの回答 '!AT25="しばしばあった"),3,(IF(('2回目フォームの回答 '!AT25="ほとんどいつもあった"),4,"")))))))</f>
        <v>1</v>
      </c>
      <c r="BO25" s="1">
        <f>IF(('2回目フォームの回答 '!AU25="ほとんどなかった"),1,(IF(('2回目フォームの回答 '!AU25="ときどきあった"),2,(IF(('2回目フォームの回答 '!AU25="しばしばあった"),3,(IF(('2回目フォームの回答 '!AU25="ほとんどいつもあった"),4,"")))))))</f>
        <v>2</v>
      </c>
      <c r="BP25" s="1">
        <f>IF(('2回目フォームの回答 '!AV25="ほとんどなかった"),1,(IF(('2回目フォームの回答 '!AV25="ときどきあった"),2,(IF(('2回目フォームの回答 '!AV25="しばしばあった"),3,(IF(('2回目フォームの回答 '!AV25="ほとんどいつもあった"),4,"")))))))</f>
        <v>2</v>
      </c>
      <c r="BQ25" s="1">
        <f t="shared" si="26"/>
        <v>8</v>
      </c>
      <c r="BR25" s="1">
        <f t="shared" si="27"/>
        <v>2</v>
      </c>
      <c r="BS25" s="1">
        <f t="shared" si="28"/>
        <v>3</v>
      </c>
      <c r="BT25" s="1">
        <f t="shared" si="2"/>
        <v>1</v>
      </c>
      <c r="BU25" s="1">
        <f t="shared" si="3"/>
        <v>4</v>
      </c>
      <c r="BV25" s="1">
        <f t="shared" si="4"/>
        <v>2</v>
      </c>
      <c r="BW25" s="1">
        <f t="shared" si="29"/>
        <v>4</v>
      </c>
      <c r="BX25" s="1">
        <f t="shared" si="5"/>
        <v>2</v>
      </c>
      <c r="BY25" s="1">
        <f t="shared" si="30"/>
        <v>9</v>
      </c>
      <c r="BZ25" s="1">
        <f t="shared" si="6"/>
        <v>3</v>
      </c>
      <c r="CA25" s="1">
        <f t="shared" si="31"/>
        <v>16</v>
      </c>
      <c r="CB25" s="1">
        <f t="shared" si="32"/>
        <v>3</v>
      </c>
      <c r="CC25" s="1">
        <f>IF(('2回目フォームの回答 '!AW25="非常に"),1,(IF(('2回目フォームの回答 '!AW25="かなり"),2,(IF(('2回目フォームの回答 '!AW25="多少"),3,(IF(('2回目フォームの回答 '!AW25="全くない"),4,"")))))))</f>
        <v>1</v>
      </c>
      <c r="CD25" s="1">
        <f>IF(('2回目フォームの回答 '!AX25="非常に"),1,(IF(('2回目フォームの回答 '!AX25="かなり"),2,(IF(('2回目フォームの回答 '!AX25="多少"),3,(IF(('2回目フォームの回答 '!AX25="全くない"),4,"")))))))</f>
        <v>2</v>
      </c>
      <c r="CE25" s="1">
        <f>IF(('2回目フォームの回答 '!AY25="非常に"),1,(IF(('2回目フォームの回答 '!AY25="かなり"),2,(IF(('2回目フォームの回答 '!AY25="多少"),3,(IF(('2回目フォームの回答 '!AY25="全くない"),4,"")))))))</f>
        <v>2</v>
      </c>
      <c r="CF25" s="1">
        <f>IF(('2回目フォームの回答 '!AZ25="非常に"),1,(IF(('2回目フォームの回答 '!AZ25="かなり"),2,(IF(('2回目フォームの回答 '!AZ25="多少"),3,(IF(('2回目フォームの回答 '!AZ25="全くない"),4,"")))))))</f>
        <v>1</v>
      </c>
      <c r="CG25" s="1">
        <f>IF(('2回目フォームの回答 '!BA25="非常に"),1,(IF(('2回目フォームの回答 '!BA25="かなり"),2,(IF(('2回目フォームの回答 '!BA25="多少"),3,(IF(('2回目フォームの回答 '!BA25="全くない"),4,"")))))))</f>
        <v>2</v>
      </c>
      <c r="CH25" s="1">
        <f>IF(('2回目フォームの回答 '!BB25="非常に"),1,(IF(('2回目フォームの回答 '!BB25="かなり"),2,(IF(('2回目フォームの回答 '!BB25="多少"),3,(IF(('2回目フォームの回答 '!BB25="全くない"),4,"")))))))</f>
        <v>1</v>
      </c>
      <c r="CI25" s="1">
        <f>IF(('2回目フォームの回答 '!BC25="非常に"),1,(IF(('2回目フォームの回答 '!BC25="かなり"),2,(IF(('2回目フォームの回答 '!BC25="多少"),3,(IF(('2回目フォームの回答 '!BC25="全くない"),4,"")))))))</f>
        <v>1</v>
      </c>
      <c r="CJ25" s="1">
        <f>IF(('2回目フォームの回答 '!BD25="非常に"),1,(IF(('2回目フォームの回答 '!BD25="かなり"),2,(IF(('2回目フォームの回答 '!BD25="多少"),3,(IF(('2回目フォームの回答 '!BD25="全くない"),4,"")))))))</f>
        <v>2</v>
      </c>
      <c r="CK25" s="1">
        <f>IF(('2回目フォームの回答 '!BE25="非常に"),1,(IF(('2回目フォームの回答 '!BE25="かなり"),2,(IF(('2回目フォームの回答 '!BE25="多少"),3,(IF(('2回目フォームの回答 '!BE25="全くない"),4,"")))))))</f>
        <v>1</v>
      </c>
      <c r="CL25" s="1">
        <f>IF(('2回目フォームの回答 '!BF25="満足"),1,(IF(('2回目フォームの回答 '!BF25="まぁ満足"),2,(IF(('2回目フォームの回答 '!BF25="やや満足"),3,(IF(('2回目フォームの回答 '!BF25="不満足"),4,"")))))))</f>
        <v>2</v>
      </c>
      <c r="CM25" s="1">
        <f>IF(('2回目フォームの回答 '!BG25="満足"),1,(IF(('2回目フォームの回答 '!BG25="まぁ満足"),2,(IF(('2回目フォームの回答 '!BG25="やや満足"),3,(IF(('2回目フォームの回答 '!BG25="不満足"),4,"")))))))</f>
        <v>2</v>
      </c>
      <c r="CN25" s="1">
        <f t="shared" si="33"/>
        <v>12</v>
      </c>
      <c r="CO25" s="1">
        <f t="shared" si="7"/>
        <v>1</v>
      </c>
      <c r="CP25" s="1">
        <f t="shared" si="34"/>
        <v>9</v>
      </c>
      <c r="CQ25" s="1">
        <f t="shared" si="8"/>
        <v>3</v>
      </c>
      <c r="CR25" s="1">
        <f t="shared" si="35"/>
        <v>11</v>
      </c>
      <c r="CS25" s="1">
        <f t="shared" si="36"/>
        <v>2</v>
      </c>
      <c r="CT25" s="1">
        <f t="shared" si="37"/>
        <v>6</v>
      </c>
      <c r="CU25" s="1">
        <f t="shared" si="9"/>
        <v>3</v>
      </c>
      <c r="CV25" s="1">
        <f t="shared" si="38"/>
        <v>13</v>
      </c>
      <c r="CW25" s="1">
        <f t="shared" si="39"/>
        <v>21</v>
      </c>
      <c r="CX25" s="1">
        <f t="shared" si="10"/>
        <v>6</v>
      </c>
      <c r="CY25" s="29" t="str">
        <f t="shared" si="40"/>
        <v>低</v>
      </c>
      <c r="CZ25" s="1">
        <f>'2回目フォームの回答 '!BH25</f>
        <v>0.7</v>
      </c>
      <c r="DA25" s="2">
        <f t="shared" si="41"/>
        <v>0.30000000000000004</v>
      </c>
      <c r="DB25" s="1">
        <f>IF(('2回目フォームの回答 '!BI25="いつもより寝つきは良い"),0,(IF(('2回目フォームの回答 '!BI25="いつもより少し時間がかかった"),1,(IF(('2回目フォームの回答 '!BI25="いつもよりかなり時間がかかった"),2,(IF(('2回目フォームの回答 '!BI25="いつもより非常に時間がかかった、あるいは全く眠れなかった"),3,"")))))))</f>
        <v>1</v>
      </c>
      <c r="DC25" s="1">
        <f>IF(('2回目フォームの回答 '!BJ25="問題になるほどのことはなかった"),0,(IF(('2回目フォームの回答 '!BJ25="少し困ることがある"),1,(IF(('2回目フォームの回答 '!BJ25="かなり困っている"),2,(IF(('2回目フォームの回答 '!BJ25="深刻な状態、あるいは全く眠れなかった"),3,"")))))))</f>
        <v>0</v>
      </c>
      <c r="DD25" s="1">
        <f>IF(('2回目フォームの回答 '!BK25="そのようなことはなかった"),0,(IF(('2回目フォームの回答 '!BK25="少し早かった"),1,(IF(('2回目フォームの回答 '!BK25="かなり早かった"),2,(IF(('2回目フォームの回答 '!BK25="非常に早かった、あるいは全く眠れなかった"),3,"")))))))</f>
        <v>0</v>
      </c>
      <c r="DE25" s="1">
        <f>IF(('2回目フォームの回答 '!BL25="十分である"),0,(IF(('2回目フォームの回答 '!BL25="少し足りない"),1,(IF(('2回目フォームの回答 '!BL25="かなり足りない"),2,(IF(('2回目フォームの回答 '!BL25="全く足りない、あるいは全く眠れなかった"),3,"")))))))</f>
        <v>0</v>
      </c>
      <c r="DF25" s="1">
        <f>IF(('2回目フォームの回答 '!BM25="満足している"),0,(IF(('2回目フォームの回答 '!BM25="少し不満である"),1,(IF(('2回目フォームの回答 '!BM25="かなり不満である"),2,(IF(('2回目フォームの回答 '!BM25="非常に不満である、あるいは全く眠れなかった"),3,"")))))))</f>
        <v>0</v>
      </c>
      <c r="DG25" s="1">
        <f>IF(('2回目フォームの回答 '!BN25="いつもどおり"),0,(IF(('2回目フォームの回答 '!BN25="少し滅入った"),1,(IF(('2回目フォームの回答 '!BN25="かなり滅入った"),2,(IF(('2回目フォームの回答 '!BN25="非常に滅入った"),3,"")))))))</f>
        <v>0</v>
      </c>
      <c r="DH25" s="1">
        <f>IF(('2回目フォームの回答 '!BO25="いつもどおり"),0,(IF(('2回目フォームの回答 '!BO25="少し低下した"),1,(IF(('2回目フォームの回答 '!BO25="かなり低下した"),2,(IF(('2回目フォームの回答 '!BO25="非常に低下した"),3,"")))))))</f>
        <v>0</v>
      </c>
      <c r="DI25" s="1">
        <f>IF(('2回目フォームの回答 '!BP25="全くなかった"),0,(IF(('2回目フォームの回答 '!BP25="少しあった"),1,(IF(('2回目フォームの回答 '!BP25="かなりあった"),2,(IF(('2回目フォームの回答 '!BP25="激しかった"),3,"")))))))</f>
        <v>1</v>
      </c>
      <c r="DJ25">
        <f t="shared" si="42"/>
        <v>2</v>
      </c>
      <c r="DK25" s="4" t="str">
        <f t="shared" si="43"/>
        <v>低</v>
      </c>
      <c r="DL25" s="5">
        <v>0</v>
      </c>
      <c r="DM25" s="5">
        <v>0</v>
      </c>
      <c r="DN25" s="5">
        <v>11.6</v>
      </c>
      <c r="DO25" s="5">
        <f t="shared" si="44"/>
        <v>11.6</v>
      </c>
      <c r="DP25" s="5" t="s">
        <v>200</v>
      </c>
      <c r="DQ25" s="5"/>
      <c r="DR25" s="5"/>
      <c r="DS25" s="71"/>
      <c r="DT25" s="66">
        <v>309</v>
      </c>
      <c r="DU25" s="59">
        <f>INDEX('1回目結果'!DR:DR,MATCH($DT25,'1回目結果'!$A:$A,0))</f>
        <v>1.252</v>
      </c>
      <c r="DV25" s="59">
        <f>INDEX('1回目結果'!DS:DS,MATCH($DT25,'1回目結果'!$A:$A,0))</f>
        <v>197.4</v>
      </c>
      <c r="DW25" s="59">
        <f>INDEX('1回目結果'!DT:DT,MATCH($DT25,'1回目結果'!$A:$A,0))</f>
        <v>0.63</v>
      </c>
      <c r="DX25" s="59">
        <f>INDEX('1回目結果'!DU:DU,MATCH($DT25,'1回目結果'!$A:$A,0))</f>
        <v>32</v>
      </c>
      <c r="DY25" s="59">
        <f>IFERROR(INDEX('1回目結果'!DL:DL,MATCH('2回目結果'!$DT25,'1回目結果'!$A:$A,0)),"")</f>
        <v>0</v>
      </c>
      <c r="DZ25" s="59">
        <f>IFERROR(INDEX('1回目結果'!DM:DM,MATCH('2回目結果'!$DT25,'1回目結果'!$A:$A,0)),"")</f>
        <v>0</v>
      </c>
      <c r="EA25" s="59">
        <f>IFERROR(INDEX('1回目結果'!DN:DN,MATCH('2回目結果'!$DT25,'1回目結果'!$A:$A,0)),"")</f>
        <v>0</v>
      </c>
      <c r="EB25" s="59">
        <f>IFERROR(INDEX('1回目結果'!DO:DO,MATCH('2回目結果'!$DT25,'1回目結果'!$A:$A,0)),"")</f>
        <v>0</v>
      </c>
      <c r="EC25" s="59">
        <f>IFERROR(INDEX('1回目結果'!DP:DP,MATCH('2回目結果'!$DT25,'1回目結果'!$A:$A,0)),"")</f>
        <v>0</v>
      </c>
      <c r="ED25" s="59">
        <f>IFERROR(INDEX('1回目結果'!DQ:DQ,MATCH('2回目結果'!$DT25,'1回目結果'!$A:$A,0)),"")</f>
        <v>0</v>
      </c>
      <c r="EE25" s="54">
        <v>0.46</v>
      </c>
      <c r="EF25" s="54">
        <v>42.79</v>
      </c>
      <c r="EG25" s="54">
        <v>1.08</v>
      </c>
      <c r="EH25" s="54">
        <v>54</v>
      </c>
      <c r="EI25" s="43" t="s">
        <v>115</v>
      </c>
      <c r="EJ25" s="44">
        <f t="shared" si="45"/>
        <v>1.6875</v>
      </c>
      <c r="EK25" s="44">
        <f t="shared" si="53"/>
        <v>1.7142857142857144</v>
      </c>
      <c r="EL25">
        <f t="shared" si="46"/>
        <v>11.6</v>
      </c>
      <c r="EM25">
        <f t="shared" si="47"/>
        <v>11.6</v>
      </c>
    </row>
    <row r="26" spans="1:143" ht="15.75" customHeight="1">
      <c r="A26" s="3">
        <v>346</v>
      </c>
      <c r="B26" s="24" t="s">
        <v>140</v>
      </c>
      <c r="C26" s="52">
        <v>36619</v>
      </c>
      <c r="D26" s="38">
        <v>24</v>
      </c>
      <c r="E26" s="1">
        <f>IF(('2回目フォームの回答 '!C26="そうだ"),1,(IF(('2回目フォームの回答 '!C26="まぁそうだ"),2,(IF(('2回目フォームの回答 '!C26="ややちがう"),3,(IF(('2回目フォームの回答 '!C26="ちがう"),4,"")))))))</f>
        <v>3</v>
      </c>
      <c r="F26" s="1">
        <f>IF(('2回目フォームの回答 '!D26="そうだ"),1,(IF(('2回目フォームの回答 '!D26="まぁそうだ"),2,(IF(('2回目フォームの回答 '!D26="ややちがう"),3,(IF(('2回目フォームの回答 '!D26="ちがう"),4,"")))))))</f>
        <v>3</v>
      </c>
      <c r="G26" s="1">
        <f>IF(('2回目フォームの回答 '!E26="そうだ"),1,(IF(('2回目フォームの回答 '!E26="まぁそうだ"),2,(IF(('2回目フォームの回答 '!E26="ややちがう"),3,(IF(('2回目フォームの回答 '!E26="ちがう"),4,"")))))))</f>
        <v>2</v>
      </c>
      <c r="H26" s="1">
        <f>IF(('2回目フォームの回答 '!F26="そうだ"),1,(IF(('2回目フォームの回答 '!F26="まぁそうだ"),2,(IF(('2回目フォームの回答 '!F26="ややちがう"),3,(IF(('2回目フォームの回答 '!F26="ちがう"),4,"")))))))</f>
        <v>3</v>
      </c>
      <c r="I26" s="1">
        <f>IF(('2回目フォームの回答 '!G26="そうだ"),1,(IF(('2回目フォームの回答 '!G26="まぁそうだ"),2,(IF(('2回目フォームの回答 '!G26="ややちがう"),3,(IF(('2回目フォームの回答 '!G26="ちがう"),4,"")))))))</f>
        <v>2</v>
      </c>
      <c r="J26" s="1">
        <f>IF(('2回目フォームの回答 '!H26="そうだ"),1,(IF(('2回目フォームの回答 '!H26="まぁそうだ"),2,(IF(('2回目フォームの回答 '!H26="ややちがう"),3,(IF(('2回目フォームの回答 '!H26="ちがう"),4,"")))))))</f>
        <v>3</v>
      </c>
      <c r="K26" s="1">
        <f>IF(('2回目フォームの回答 '!I26="そうだ"),1,(IF(('2回目フォームの回答 '!I26="まぁそうだ"),2,(IF(('2回目フォームの回答 '!I26="ややちがう"),3,(IF(('2回目フォームの回答 '!I26="ちがう"),4,"")))))))</f>
        <v>3</v>
      </c>
      <c r="L26" s="1">
        <f>IF(('2回目フォームの回答 '!J26="そうだ"),1,(IF(('2回目フォームの回答 '!J26="まぁそうだ"),2,(IF(('2回目フォームの回答 '!J26="ややちがう"),3,(IF(('2回目フォームの回答 '!J26="ちがう"),4,"")))))))</f>
        <v>1</v>
      </c>
      <c r="M26" s="1">
        <f>IF(('2回目フォームの回答 '!K26="そうだ"),1,(IF(('2回目フォームの回答 '!K26="まぁそうだ"),2,(IF(('2回目フォームの回答 '!K26="ややちがう"),3,(IF(('2回目フォームの回答 '!K26="ちがう"),4,"")))))))</f>
        <v>3</v>
      </c>
      <c r="N26" s="1">
        <f>IF(('2回目フォームの回答 '!L26="そうだ"),1,(IF(('2回目フォームの回答 '!L26="まぁそうだ"),2,(IF(('2回目フォームの回答 '!L26="ややちがう"),3,(IF(('2回目フォームの回答 '!L26="ちがう"),4,"")))))))</f>
        <v>2</v>
      </c>
      <c r="O26" s="1">
        <f>IF(('2回目フォームの回答 '!M26="そうだ"),1,(IF(('2回目フォームの回答 '!M26="まぁそうだ"),2,(IF(('2回目フォームの回答 '!M26="ややちがう"),3,(IF(('2回目フォームの回答 '!M26="ちがう"),4,"")))))))</f>
        <v>3</v>
      </c>
      <c r="P26" s="1">
        <f>IF(('2回目フォームの回答 '!N26="そうだ"),1,(IF(('2回目フォームの回答 '!N26="まぁそうだ"),2,(IF(('2回目フォームの回答 '!N26="ややちがう"),3,(IF(('2回目フォームの回答 '!N26="ちがう"),4,"")))))))</f>
        <v>3</v>
      </c>
      <c r="Q26" s="1">
        <f>IF(('2回目フォームの回答 '!O26="そうだ"),1,(IF(('2回目フォームの回答 '!O26="まぁそうだ"),2,(IF(('2回目フォームの回答 '!O26="ややちがう"),3,(IF(('2回目フォームの回答 '!O26="ちがう"),4,"")))))))</f>
        <v>3</v>
      </c>
      <c r="R26" s="1">
        <f>IF(('2回目フォームの回答 '!P26="そうだ"),1,(IF(('2回目フォームの回答 '!P26="まぁそうだ"),2,(IF(('2回目フォームの回答 '!P26="ややちがう"),3,(IF(('2回目フォームの回答 '!P26="ちがう"),4,"")))))))</f>
        <v>1</v>
      </c>
      <c r="S26" s="1">
        <f>IF(('2回目フォームの回答 '!Q26="そうだ"),1,(IF(('2回目フォームの回答 '!Q26="まぁそうだ"),2,(IF(('2回目フォームの回答 '!Q26="ややちがう"),3,(IF(('2回目フォームの回答 '!Q26="ちがう"),4,"")))))))</f>
        <v>4</v>
      </c>
      <c r="T26" s="1">
        <f>IF(('2回目フォームの回答 '!R26="そうだ"),1,(IF(('2回目フォームの回答 '!R26="まぁそうだ"),2,(IF(('2回目フォームの回答 '!R26="ややちがう"),3,(IF(('2回目フォームの回答 '!R26="ちがう"),4,"")))))))</f>
        <v>4</v>
      </c>
      <c r="U26" s="1">
        <f>IF(('2回目フォームの回答 '!S26="そうだ"),1,(IF(('2回目フォームの回答 '!S26="まぁそうだ"),2,(IF(('2回目フォームの回答 '!S26="ややちがう"),3,(IF(('2回目フォームの回答 '!S26="ちがう"),4,"")))))))</f>
        <v>2</v>
      </c>
      <c r="V26" s="1">
        <f t="shared" si="48"/>
        <v>7</v>
      </c>
      <c r="W26" s="1">
        <f t="shared" si="11"/>
        <v>3</v>
      </c>
      <c r="X26" s="1">
        <f t="shared" si="12"/>
        <v>7</v>
      </c>
      <c r="Y26" s="1">
        <f t="shared" si="13"/>
        <v>3</v>
      </c>
      <c r="Z26" s="1">
        <f t="shared" si="14"/>
        <v>2</v>
      </c>
      <c r="AA26" s="1">
        <f t="shared" si="15"/>
        <v>3</v>
      </c>
      <c r="AB26" s="1">
        <f t="shared" si="16"/>
        <v>5</v>
      </c>
      <c r="AC26" s="1">
        <f t="shared" si="17"/>
        <v>2</v>
      </c>
      <c r="AD26" s="1">
        <f t="shared" si="18"/>
        <v>1</v>
      </c>
      <c r="AE26" s="1">
        <f t="shared" si="0"/>
        <v>1</v>
      </c>
      <c r="AF26" s="1">
        <f t="shared" si="19"/>
        <v>9</v>
      </c>
      <c r="AG26" s="1">
        <f t="shared" si="1"/>
        <v>2</v>
      </c>
      <c r="AH26" s="1">
        <f t="shared" si="20"/>
        <v>3</v>
      </c>
      <c r="AI26" s="1">
        <f t="shared" si="21"/>
        <v>3</v>
      </c>
      <c r="AJ26" s="1">
        <f t="shared" si="22"/>
        <v>1</v>
      </c>
      <c r="AK26" s="1">
        <f t="shared" si="23"/>
        <v>5</v>
      </c>
      <c r="AL26" s="1">
        <f t="shared" si="24"/>
        <v>3</v>
      </c>
      <c r="AM26" s="1">
        <f t="shared" si="25"/>
        <v>3</v>
      </c>
      <c r="AN26" s="1">
        <f>IF(('2回目フォームの回答 '!T26="ほとんどなかった"),1,(IF(('2回目フォームの回答 '!T26="ときどきあった"),2,(IF(('2回目フォームの回答 '!T26="しばしばあった"),3,(IF(('2回目フォームの回答 '!T26="ほとんどいつもあった"),4,"")))))))</f>
        <v>2</v>
      </c>
      <c r="AO26" s="1">
        <f>IF(('2回目フォームの回答 '!U26="ほとんどなかった"),1,(IF(('2回目フォームの回答 '!U26="ときどきあった"),2,(IF(('2回目フォームの回答 '!U26="しばしばあった"),3,(IF(('2回目フォームの回答 '!U26="ほとんどいつもあった"),4,"")))))))</f>
        <v>2</v>
      </c>
      <c r="AP26" s="1">
        <f>IF(('2回目フォームの回答 '!V26="ほとんどなかった"),1,(IF(('2回目フォームの回答 '!V26="ときどきあった"),2,(IF(('2回目フォームの回答 '!V26="しばしばあった"),3,(IF(('2回目フォームの回答 '!V26="ほとんどいつもあった"),4,"")))))))</f>
        <v>2</v>
      </c>
      <c r="AQ26" s="1">
        <f>IF(('2回目フォームの回答 '!W26="ほとんどなかった"),1,(IF(('2回目フォームの回答 '!W26="ときどきあった"),2,(IF(('2回目フォームの回答 '!W26="しばしばあった"),3,(IF(('2回目フォームの回答 '!W26="ほとんどいつもあった"),4,"")))))))</f>
        <v>2</v>
      </c>
      <c r="AR26" s="1">
        <f>IF(('2回目フォームの回答 '!X26="ほとんどなかった"),1,(IF(('2回目フォームの回答 '!X26="ときどきあった"),2,(IF(('2回目フォームの回答 '!X26="しばしばあった"),3,(IF(('2回目フォームの回答 '!X26="ほとんどいつもあった"),4,"")))))))</f>
        <v>2</v>
      </c>
      <c r="AS26" s="1">
        <f>IF(('2回目フォームの回答 '!Y26="ほとんどなかった"),1,(IF(('2回目フォームの回答 '!Y26="ときどきあった"),2,(IF(('2回目フォームの回答 '!Y26="しばしばあった"),3,(IF(('2回目フォームの回答 '!Y26="ほとんどいつもあった"),4,"")))))))</f>
        <v>3</v>
      </c>
      <c r="AT26" s="1">
        <f>IF(('2回目フォームの回答 '!Z26="ほとんどなかった"),1,(IF(('2回目フォームの回答 '!Z26="ときどきあった"),2,(IF(('2回目フォームの回答 '!Z26="しばしばあった"),3,(IF(('2回目フォームの回答 '!Z26="ほとんどいつもあった"),4,"")))))))</f>
        <v>3</v>
      </c>
      <c r="AU26" s="1">
        <f>IF(('2回目フォームの回答 '!AA26="ほとんどなかった"),1,(IF(('2回目フォームの回答 '!AA26="ときどきあった"),2,(IF(('2回目フォームの回答 '!AA26="しばしばあった"),3,(IF(('2回目フォームの回答 '!AA26="ほとんどいつもあった"),4,"")))))))</f>
        <v>3</v>
      </c>
      <c r="AV26" s="1">
        <f>IF(('2回目フォームの回答 '!AB26="ほとんどなかった"),1,(IF(('2回目フォームの回答 '!AB26="ときどきばあった"),2,(IF(('2回目フォームの回答 '!AB26="しばしばあった"),3,(IF(('2回目フォームの回答 '!AB26="ほとんどいつもあった"),4,"")))))))</f>
        <v>3</v>
      </c>
      <c r="AW26" s="1">
        <f>IF(('2回目フォームの回答 '!AC26="ほとんどなかった"),1,(IF(('2回目フォームの回答 '!AC26="ときどきあった"),2,(IF(('2回目フォームの回答 '!AC26="しばしばあった"),3,(IF(('2回目フォームの回答 '!AC26="ほとんどいつもあった"),4,"")))))))</f>
        <v>2</v>
      </c>
      <c r="AX26" s="1">
        <f>IF(('2回目フォームの回答 '!AD26="ほとんどなかった"),1,(IF(('2回目フォームの回答 '!AD26="ときどきあった"),2,(IF(('2回目フォームの回答 '!AD26="しばしばあった"),3,(IF(('2回目フォームの回答 '!AD26="ほとんどいつもあった"),4,"")))))))</f>
        <v>4</v>
      </c>
      <c r="AY26" s="1">
        <f>IF(('2回目フォームの回答 '!AE26="ほとんどなかった"),1,(IF(('2回目フォームの回答 '!AE26="ときどきあった"),2,(IF(('2回目フォームの回答 '!AE26="しばしばあった"),3,(IF(('2回目フォームの回答 '!AE26="ほとんどいつもあった"),4,"")))))))</f>
        <v>1</v>
      </c>
      <c r="AZ26" s="1">
        <f>IF(('2回目フォームの回答 '!AF26="ほとんどなかった"),1,(IF(('2回目フォームの回答 '!AF26="ときどきあった"),2,(IF(('2回目フォームの回答 '!AF26="しばしばあった"),3,(IF(('2回目フォームの回答 '!AF26="ほとんどいつもあった"),4,"")))))))</f>
        <v>3</v>
      </c>
      <c r="BA26" s="1">
        <f>IF(('2回目フォームの回答 '!AG26="ほとんどなかった"),1,(IF(('2回目フォームの回答 '!AG26="ときどきあった"),2,(IF(('2回目フォームの回答 '!AG26="しばしばあった"),3,(IF(('2回目フォームの回答 '!AG26="ほとんどいつもあった"),4,"")))))))</f>
        <v>3</v>
      </c>
      <c r="BB26" s="1">
        <f>IF(('2回目フォームの回答 '!AH26="ほとんどなかった"),1,(IF(('2回目フォームの回答 '!AH26="ときどきあった"),2,(IF(('2回目フォームの回答 '!AH26="しばしばあった"),3,(IF(('2回目フォームの回答 '!AH26="ほとんどいつもあった"),4,"")))))))</f>
        <v>3</v>
      </c>
      <c r="BC26" s="1">
        <f>IF(('2回目フォームの回答 '!AI26="ほとんどなかった"),1,(IF(('2回目フォームの回答 '!AI26="ときどきあった"),2,(IF(('2回目フォームの回答 '!AI26="しばしばあった"),3,(IF(('2回目フォームの回答 '!AI26="ほとんどいつもあった"),4,"")))))))</f>
        <v>3</v>
      </c>
      <c r="BD26" s="1">
        <f>IF(('2回目フォームの回答 '!AJ26="ほとんどなかった"),1,(IF(('2回目フォームの回答 '!AJ26="ときどきあった"),2,(IF(('2回目フォームの回答 '!AJ26="しばしばあった"),3,(IF(('2回目フォームの回答 '!AJ26="ほとんどいつもあった"),4,"")))))))</f>
        <v>3</v>
      </c>
      <c r="BE26" s="1">
        <f>IF(('2回目フォームの回答 '!AK26="ほとんどなかった"),1,(IF(('2回目フォームの回答 '!AK26="ときどきあった"),2,(IF(('2回目フォームの回答 '!AK26="しばしばあった"),3,(IF(('2回目フォームの回答 '!AK26="ほとんどいつもあった"),4,"")))))))</f>
        <v>3</v>
      </c>
      <c r="BF26" s="1">
        <f>IF(('2回目フォームの回答 '!AL26="ほとんどなかった"),1,(IF(('2回目フォームの回答 '!AL26="ときどきあった"),2,(IF(('2回目フォームの回答 '!AL26="しばしばあった"),3,(IF(('2回目フォームの回答 '!AL26="ほとんどいつもあった"),4,"")))))))</f>
        <v>1</v>
      </c>
      <c r="BG26" s="1">
        <f>IF(('2回目フォームの回答 '!AM26="ほとんどなかった"),1,(IF(('2回目フォームの回答 '!AM26="ときどきあった"),2,(IF(('2回目フォームの回答 '!AM26="しばしばあった"),3,(IF(('2回目フォームの回答 '!AM26="ほとんどいつもあった"),4,"")))))))</f>
        <v>4</v>
      </c>
      <c r="BH26" s="1">
        <f>IF(('2回目フォームの回答 '!AN26="ほとんどなかった"),1,(IF(('2回目フォームの回答 '!AN26="ときどきあった"),2,(IF(('2回目フォームの回答 '!AN26="しばしばあった"),3,(IF(('2回目フォームの回答 '!AN26="ほとんどいつもあった"),4,"")))))))</f>
        <v>1</v>
      </c>
      <c r="BI26" s="1">
        <f>IF(('2回目フォームの回答 '!AO26="ほとんどなかった"),1,(IF(('2回目フォームの回答 '!AO26="ときどきあった"),2,(IF(('2回目フォームの回答 '!AO26="しばしばあった"),3,(IF(('2回目フォームの回答 '!AO26="ほとんどいつもあった"),4,"")))))))</f>
        <v>3</v>
      </c>
      <c r="BJ26" s="1">
        <f>IF(('2回目フォームの回答 '!AP26="ほとんどなかった"),1,(IF(('2回目フォームの回答 '!AP26="ときどきあった"),2,(IF(('2回目フォームの回答 '!AP26="しばしばあった"),3,(IF(('2回目フォームの回答 '!AP26="ほとんどいつもあった"),4,"")))))))</f>
        <v>2</v>
      </c>
      <c r="BK26" s="1">
        <f>IF(('2回目フォームの回答 '!AQ26="ほとんどなかった"),1,(IF(('2回目フォームの回答 '!AQ26="ときどきあった"),2,(IF(('2回目フォームの回答 '!AQ26="しばしばあった"),3,(IF(('2回目フォームの回答 '!AQ26="ほとんどいつもあった"),4,"")))))))</f>
        <v>3</v>
      </c>
      <c r="BL26" s="1">
        <f>IF(('2回目フォームの回答 '!AR26="ほとんどなかった"),1,(IF(('2回目フォームの回答 '!AR26="ときどきあった"),2,(IF(('2回目フォームの回答 '!AR26="しばしばあった"),3,(IF(('2回目フォームの回答 '!AR26="ほとんどいつもあった"),4,"")))))))</f>
        <v>1</v>
      </c>
      <c r="BM26" s="1">
        <f>IF(('2回目フォームの回答 '!AS26="ほとんどなかった"),1,(IF(('2回目フォームの回答 '!AS26="ときどきあった"),2,(IF(('2回目フォームの回答 '!AS26="しばしばあった"),3,(IF(('2回目フォームの回答 '!AS26="ほとんどいつもあった"),4,"")))))))</f>
        <v>1</v>
      </c>
      <c r="BN26" s="1">
        <f>IF(('2回目フォームの回答 '!AT26="ほとんどなかった"),1,(IF(('2回目フォームの回答 '!AT26="ときどきあった"),2,(IF(('2回目フォームの回答 '!AT26="しばしばあった"),3,(IF(('2回目フォームの回答 '!AT26="ほとんどいつもあった"),4,"")))))))</f>
        <v>2</v>
      </c>
      <c r="BO26" s="1">
        <f>IF(('2回目フォームの回答 '!AU26="ほとんどなかった"),1,(IF(('2回目フォームの回答 '!AU26="ときどきあった"),2,(IF(('2回目フォームの回答 '!AU26="しばしばあった"),3,(IF(('2回目フォームの回答 '!AU26="ほとんどいつもあった"),4,"")))))))</f>
        <v>1</v>
      </c>
      <c r="BP26" s="1">
        <f>IF(('2回目フォームの回答 '!AV26="ほとんどなかった"),1,(IF(('2回目フォームの回答 '!AV26="ときどきあった"),2,(IF(('2回目フォームの回答 '!AV26="しばしばあった"),3,(IF(('2回目フォームの回答 '!AV26="ほとんどいつもあった"),4,"")))))))</f>
        <v>1</v>
      </c>
      <c r="BQ26" s="1">
        <f t="shared" si="26"/>
        <v>6</v>
      </c>
      <c r="BR26" s="1">
        <f t="shared" si="27"/>
        <v>3</v>
      </c>
      <c r="BS26" s="1">
        <f t="shared" si="28"/>
        <v>7</v>
      </c>
      <c r="BT26" s="1">
        <f t="shared" si="2"/>
        <v>3</v>
      </c>
      <c r="BU26" s="1">
        <f t="shared" si="3"/>
        <v>9</v>
      </c>
      <c r="BV26" s="1">
        <f t="shared" si="4"/>
        <v>4</v>
      </c>
      <c r="BW26" s="1">
        <f t="shared" si="29"/>
        <v>7</v>
      </c>
      <c r="BX26" s="1">
        <f t="shared" si="5"/>
        <v>3</v>
      </c>
      <c r="BY26" s="1">
        <f t="shared" si="30"/>
        <v>18</v>
      </c>
      <c r="BZ26" s="1">
        <f t="shared" si="6"/>
        <v>5</v>
      </c>
      <c r="CA26" s="1">
        <f t="shared" si="31"/>
        <v>20</v>
      </c>
      <c r="CB26" s="1">
        <f t="shared" si="32"/>
        <v>3</v>
      </c>
      <c r="CC26" s="1">
        <f>IF(('2回目フォームの回答 '!AW26="非常に"),1,(IF(('2回目フォームの回答 '!AW26="かなり"),2,(IF(('2回目フォームの回答 '!AW26="多少"),3,(IF(('2回目フォームの回答 '!AW26="全くない"),4,"")))))))</f>
        <v>3</v>
      </c>
      <c r="CD26" s="1">
        <f>IF(('2回目フォームの回答 '!AX26="非常に"),1,(IF(('2回目フォームの回答 '!AX26="かなり"),2,(IF(('2回目フォームの回答 '!AX26="多少"),3,(IF(('2回目フォームの回答 '!AX26="全くない"),4,"")))))))</f>
        <v>3</v>
      </c>
      <c r="CE26" s="1">
        <f>IF(('2回目フォームの回答 '!AY26="非常に"),1,(IF(('2回目フォームの回答 '!AY26="かなり"),2,(IF(('2回目フォームの回答 '!AY26="多少"),3,(IF(('2回目フォームの回答 '!AY26="全くない"),4,"")))))))</f>
        <v>2</v>
      </c>
      <c r="CF26" s="1">
        <f>IF(('2回目フォームの回答 '!AZ26="非常に"),1,(IF(('2回目フォームの回答 '!AZ26="かなり"),2,(IF(('2回目フォームの回答 '!AZ26="多少"),3,(IF(('2回目フォームの回答 '!AZ26="全くない"),4,"")))))))</f>
        <v>2</v>
      </c>
      <c r="CG26" s="1">
        <f>IF(('2回目フォームの回答 '!BA26="非常に"),1,(IF(('2回目フォームの回答 '!BA26="かなり"),2,(IF(('2回目フォームの回答 '!BA26="多少"),3,(IF(('2回目フォームの回答 '!BA26="全くない"),4,"")))))))</f>
        <v>2</v>
      </c>
      <c r="CH26" s="1">
        <f>IF(('2回目フォームの回答 '!BB26="非常に"),1,(IF(('2回目フォームの回答 '!BB26="かなり"),2,(IF(('2回目フォームの回答 '!BB26="多少"),3,(IF(('2回目フォームの回答 '!BB26="全くない"),4,"")))))))</f>
        <v>2</v>
      </c>
      <c r="CI26" s="1">
        <f>IF(('2回目フォームの回答 '!BC26="非常に"),1,(IF(('2回目フォームの回答 '!BC26="かなり"),2,(IF(('2回目フォームの回答 '!BC26="多少"),3,(IF(('2回目フォームの回答 '!BC26="全くない"),4,"")))))))</f>
        <v>3</v>
      </c>
      <c r="CJ26" s="1">
        <f>IF(('2回目フォームの回答 '!BD26="非常に"),1,(IF(('2回目フォームの回答 '!BD26="かなり"),2,(IF(('2回目フォームの回答 '!BD26="多少"),3,(IF(('2回目フォームの回答 '!BD26="全くない"),4,"")))))))</f>
        <v>3</v>
      </c>
      <c r="CK26" s="1">
        <f>IF(('2回目フォームの回答 '!BE26="非常に"),1,(IF(('2回目フォームの回答 '!BE26="かなり"),2,(IF(('2回目フォームの回答 '!BE26="多少"),3,(IF(('2回目フォームの回答 '!BE26="全くない"),4,"")))))))</f>
        <v>2</v>
      </c>
      <c r="CL26" s="1">
        <f>IF(('2回目フォームの回答 '!BF26="満足"),1,(IF(('2回目フォームの回答 '!BF26="まぁ満足"),2,(IF(('2回目フォームの回答 '!BF26="やや満足"),3,(IF(('2回目フォームの回答 '!BF26="不満足"),4,"")))))))</f>
        <v>3</v>
      </c>
      <c r="CM26" s="1">
        <f>IF(('2回目フォームの回答 '!BG26="満足"),1,(IF(('2回目フォームの回答 '!BG26="まぁ満足"),2,(IF(('2回目フォームの回答 '!BG26="やや満足"),3,(IF(('2回目フォームの回答 '!BG26="不満足"),4,"")))))))</f>
        <v>2</v>
      </c>
      <c r="CN26" s="1">
        <f t="shared" si="33"/>
        <v>7</v>
      </c>
      <c r="CO26" s="1">
        <f t="shared" si="7"/>
        <v>3</v>
      </c>
      <c r="CP26" s="1">
        <f t="shared" si="34"/>
        <v>7</v>
      </c>
      <c r="CQ26" s="1">
        <f t="shared" si="8"/>
        <v>4</v>
      </c>
      <c r="CR26" s="1">
        <f t="shared" si="35"/>
        <v>9</v>
      </c>
      <c r="CS26" s="1">
        <f t="shared" si="36"/>
        <v>3</v>
      </c>
      <c r="CT26" s="1">
        <f t="shared" si="37"/>
        <v>5</v>
      </c>
      <c r="CU26" s="1">
        <f t="shared" si="9"/>
        <v>3</v>
      </c>
      <c r="CV26" s="1">
        <f t="shared" si="38"/>
        <v>21</v>
      </c>
      <c r="CW26" s="1">
        <f t="shared" si="39"/>
        <v>25</v>
      </c>
      <c r="CX26" s="1">
        <f t="shared" si="10"/>
        <v>10</v>
      </c>
      <c r="CY26" s="29" t="str">
        <f t="shared" si="40"/>
        <v>中①</v>
      </c>
      <c r="CZ26" s="1">
        <f>'2回目フォームの回答 '!BH26</f>
        <v>0.8</v>
      </c>
      <c r="DA26" s="2">
        <f t="shared" si="41"/>
        <v>0.19999999999999996</v>
      </c>
      <c r="DB26" s="1">
        <f>IF(('2回目フォームの回答 '!BI26="いつもより寝つきは良い"),0,(IF(('2回目フォームの回答 '!BI26="いつもより少し時間がかかった"),1,(IF(('2回目フォームの回答 '!BI26="いつもよりかなり時間がかかった"),2,(IF(('2回目フォームの回答 '!BI26="いつもより非常に時間がかかった、あるいは全く眠れなかった"),3,"")))))))</f>
        <v>1</v>
      </c>
      <c r="DC26" s="1">
        <f>IF(('2回目フォームの回答 '!BJ26="問題になるほどのことはなかった"),0,(IF(('2回目フォームの回答 '!BJ26="少し困ることがある"),1,(IF(('2回目フォームの回答 '!BJ26="かなり困っている"),2,(IF(('2回目フォームの回答 '!BJ26="深刻な状態、あるいは全く眠れなかった"),3,"")))))))</f>
        <v>0</v>
      </c>
      <c r="DD26" s="1">
        <f>IF(('2回目フォームの回答 '!BK26="そのようなことはなかった"),0,(IF(('2回目フォームの回答 '!BK26="少し早かった"),1,(IF(('2回目フォームの回答 '!BK26="かなり早かった"),2,(IF(('2回目フォームの回答 '!BK26="非常に早かった、あるいは全く眠れなかった"),3,"")))))))</f>
        <v>0</v>
      </c>
      <c r="DE26" s="1">
        <f>IF(('2回目フォームの回答 '!BL26="十分である"),0,(IF(('2回目フォームの回答 '!BL26="少し足りない"),1,(IF(('2回目フォームの回答 '!BL26="かなり足りない"),2,(IF(('2回目フォームの回答 '!BL26="全く足りない、あるいは全く眠れなかった"),3,"")))))))</f>
        <v>1</v>
      </c>
      <c r="DF26" s="1">
        <f>IF(('2回目フォームの回答 '!BM26="満足している"),0,(IF(('2回目フォームの回答 '!BM26="少し不満である"),1,(IF(('2回目フォームの回答 '!BM26="かなり不満である"),2,(IF(('2回目フォームの回答 '!BM26="非常に不満である、あるいは全く眠れなかった"),3,"")))))))</f>
        <v>1</v>
      </c>
      <c r="DG26" s="1">
        <f>IF(('2回目フォームの回答 '!BN26="いつもどおり"),0,(IF(('2回目フォームの回答 '!BN26="少し滅入った"),1,(IF(('2回目フォームの回答 '!BN26="かなり滅入った"),2,(IF(('2回目フォームの回答 '!BN26="非常に滅入った"),3,"")))))))</f>
        <v>2</v>
      </c>
      <c r="DH26" s="1">
        <f>IF(('2回目フォームの回答 '!BO26="いつもどおり"),0,(IF(('2回目フォームの回答 '!BO26="少し低下した"),1,(IF(('2回目フォームの回答 '!BO26="かなり低下した"),2,(IF(('2回目フォームの回答 '!BO26="非常に低下した"),3,"")))))))</f>
        <v>1</v>
      </c>
      <c r="DI26" s="1">
        <f>IF(('2回目フォームの回答 '!BP26="全くなかった"),0,(IF(('2回目フォームの回答 '!BP26="少しあった"),1,(IF(('2回目フォームの回答 '!BP26="かなりあった"),2,(IF(('2回目フォームの回答 '!BP26="激しかった"),3,"")))))))</f>
        <v>2</v>
      </c>
      <c r="DJ26">
        <f t="shared" si="42"/>
        <v>8</v>
      </c>
      <c r="DK26" s="4" t="str">
        <f t="shared" si="43"/>
        <v>高</v>
      </c>
      <c r="DL26" s="5">
        <v>0</v>
      </c>
      <c r="DM26" s="5">
        <v>4.8</v>
      </c>
      <c r="DN26" s="5">
        <v>3.5</v>
      </c>
      <c r="DO26" s="5">
        <f t="shared" si="44"/>
        <v>8.3000000000000007</v>
      </c>
      <c r="DP26" s="5"/>
      <c r="DQ26" s="5"/>
      <c r="DR26" s="5" t="s">
        <v>200</v>
      </c>
      <c r="DS26" s="71">
        <v>0.29166666666666669</v>
      </c>
      <c r="DT26" s="66">
        <v>306</v>
      </c>
      <c r="DU26" s="59">
        <f>INDEX('1回目結果'!DR:DR,MATCH($DT26,'1回目結果'!$A:$A,0))</f>
        <v>0.82</v>
      </c>
      <c r="DV26" s="59">
        <f>INDEX('1回目結果'!DS:DS,MATCH($DT26,'1回目結果'!$A:$A,0))</f>
        <v>129.65</v>
      </c>
      <c r="DW26" s="59">
        <f>INDEX('1回目結果'!DT:DT,MATCH($DT26,'1回目結果'!$A:$A,0))</f>
        <v>0.63</v>
      </c>
      <c r="DX26" s="59">
        <f>INDEX('1回目結果'!DU:DU,MATCH($DT26,'1回目結果'!$A:$A,0))</f>
        <v>32</v>
      </c>
      <c r="DY26" s="59">
        <f>IFERROR(INDEX('1回目結果'!DL:DL,MATCH('2回目結果'!$DT26,'1回目結果'!$A:$A,0)),"")</f>
        <v>2</v>
      </c>
      <c r="DZ26" s="59">
        <f>IFERROR(INDEX('1回目結果'!DM:DM,MATCH('2回目結果'!$DT26,'1回目結果'!$A:$A,0)),"")</f>
        <v>3.7</v>
      </c>
      <c r="EA26" s="59">
        <f>IFERROR(INDEX('1回目結果'!DN:DN,MATCH('2回目結果'!$DT26,'1回目結果'!$A:$A,0)),"")</f>
        <v>3.7</v>
      </c>
      <c r="EB26" s="59">
        <f>IFERROR(INDEX('1回目結果'!DO:DO,MATCH('2回目結果'!$DT26,'1回目結果'!$A:$A,0)),"")</f>
        <v>9.4</v>
      </c>
      <c r="EC26" s="59" t="str">
        <f>IFERROR(INDEX('1回目結果'!DP:DP,MATCH('2回目結果'!$DT26,'1回目結果'!$A:$A,0)),"")</f>
        <v>4月入社</v>
      </c>
      <c r="ED26" s="59">
        <f>IFERROR(INDEX('1回目結果'!DQ:DQ,MATCH('2回目結果'!$DT26,'1回目結果'!$A:$A,0)),"")</f>
        <v>0</v>
      </c>
      <c r="EE26" s="54">
        <v>2.024</v>
      </c>
      <c r="EF26" s="54">
        <v>155.33000000000001</v>
      </c>
      <c r="EG26" s="54">
        <v>1.3</v>
      </c>
      <c r="EH26" s="54">
        <v>65</v>
      </c>
      <c r="EI26" s="43" t="s">
        <v>115</v>
      </c>
      <c r="EJ26" s="44">
        <f t="shared" si="45"/>
        <v>2.03125</v>
      </c>
      <c r="EK26" s="44">
        <f t="shared" si="53"/>
        <v>2.0634920634920637</v>
      </c>
      <c r="EL26">
        <f t="shared" si="46"/>
        <v>-1.0999999999999996</v>
      </c>
      <c r="EM26">
        <f t="shared" si="47"/>
        <v>-0.20000000000000018</v>
      </c>
    </row>
    <row r="27" spans="1:143" ht="15.75" customHeight="1">
      <c r="A27" s="1">
        <v>347</v>
      </c>
      <c r="B27" s="24" t="s">
        <v>139</v>
      </c>
      <c r="C27" s="52">
        <v>32863</v>
      </c>
      <c r="D27" s="38">
        <v>34</v>
      </c>
      <c r="E27" s="1">
        <f>IF(('2回目フォームの回答 '!C27="そうだ"),1,(IF(('2回目フォームの回答 '!C27="まぁそうだ"),2,(IF(('2回目フォームの回答 '!C27="ややちがう"),3,(IF(('2回目フォームの回答 '!C27="ちがう"),4,"")))))))</f>
        <v>2</v>
      </c>
      <c r="F27" s="1">
        <f>IF(('2回目フォームの回答 '!D27="そうだ"),1,(IF(('2回目フォームの回答 '!D27="まぁそうだ"),2,(IF(('2回目フォームの回答 '!D27="ややちがう"),3,(IF(('2回目フォームの回答 '!D27="ちがう"),4,"")))))))</f>
        <v>1</v>
      </c>
      <c r="G27" s="1">
        <f>IF(('2回目フォームの回答 '!E27="そうだ"),1,(IF(('2回目フォームの回答 '!E27="まぁそうだ"),2,(IF(('2回目フォームの回答 '!E27="ややちがう"),3,(IF(('2回目フォームの回答 '!E27="ちがう"),4,"")))))))</f>
        <v>2</v>
      </c>
      <c r="H27" s="1">
        <f>IF(('2回目フォームの回答 '!F27="そうだ"),1,(IF(('2回目フォームの回答 '!F27="まぁそうだ"),2,(IF(('2回目フォームの回答 '!F27="ややちがう"),3,(IF(('2回目フォームの回答 '!F27="ちがう"),4,"")))))))</f>
        <v>2</v>
      </c>
      <c r="I27" s="1">
        <f>IF(('2回目フォームの回答 '!G27="そうだ"),1,(IF(('2回目フォームの回答 '!G27="まぁそうだ"),2,(IF(('2回目フォームの回答 '!G27="ややちがう"),3,(IF(('2回目フォームの回答 '!G27="ちがう"),4,"")))))))</f>
        <v>2</v>
      </c>
      <c r="J27" s="1">
        <f>IF(('2回目フォームの回答 '!H27="そうだ"),1,(IF(('2回目フォームの回答 '!H27="まぁそうだ"),2,(IF(('2回目フォームの回答 '!H27="ややちがう"),3,(IF(('2回目フォームの回答 '!H27="ちがう"),4,"")))))))</f>
        <v>2</v>
      </c>
      <c r="K27" s="1">
        <f>IF(('2回目フォームの回答 '!I27="そうだ"),1,(IF(('2回目フォームの回答 '!I27="まぁそうだ"),2,(IF(('2回目フォームの回答 '!I27="ややちがう"),3,(IF(('2回目フォームの回答 '!I27="ちがう"),4,"")))))))</f>
        <v>4</v>
      </c>
      <c r="L27" s="1">
        <f>IF(('2回目フォームの回答 '!J27="そうだ"),1,(IF(('2回目フォームの回答 '!J27="まぁそうだ"),2,(IF(('2回目フォームの回答 '!J27="ややちがう"),3,(IF(('2回目フォームの回答 '!J27="ちがう"),4,"")))))))</f>
        <v>2</v>
      </c>
      <c r="M27" s="1">
        <f>IF(('2回目フォームの回答 '!K27="そうだ"),1,(IF(('2回目フォームの回答 '!K27="まぁそうだ"),2,(IF(('2回目フォームの回答 '!K27="ややちがう"),3,(IF(('2回目フォームの回答 '!K27="ちがう"),4,"")))))))</f>
        <v>2</v>
      </c>
      <c r="N27" s="1">
        <f>IF(('2回目フォームの回答 '!L27="そうだ"),1,(IF(('2回目フォームの回答 '!L27="まぁそうだ"),2,(IF(('2回目フォームの回答 '!L27="ややちがう"),3,(IF(('2回目フォームの回答 '!L27="ちがう"),4,"")))))))</f>
        <v>2</v>
      </c>
      <c r="O27" s="1">
        <f>IF(('2回目フォームの回答 '!M27="そうだ"),1,(IF(('2回目フォームの回答 '!M27="まぁそうだ"),2,(IF(('2回目フォームの回答 '!M27="ややちがう"),3,(IF(('2回目フォームの回答 '!M27="ちがう"),4,"")))))))</f>
        <v>2</v>
      </c>
      <c r="P27" s="1">
        <f>IF(('2回目フォームの回答 '!N27="そうだ"),1,(IF(('2回目フォームの回答 '!N27="まぁそうだ"),2,(IF(('2回目フォームの回答 '!N27="ややちがう"),3,(IF(('2回目フォームの回答 '!N27="ちがう"),4,"")))))))</f>
        <v>1</v>
      </c>
      <c r="Q27" s="1">
        <f>IF(('2回目フォームの回答 '!O27="そうだ"),1,(IF(('2回目フォームの回答 '!O27="まぁそうだ"),2,(IF(('2回目フォームの回答 '!O27="ややちがう"),3,(IF(('2回目フォームの回答 '!O27="ちがう"),4,"")))))))</f>
        <v>3</v>
      </c>
      <c r="R27" s="1">
        <f>IF(('2回目フォームの回答 '!P27="そうだ"),1,(IF(('2回目フォームの回答 '!P27="まぁそうだ"),2,(IF(('2回目フォームの回答 '!P27="ややちがう"),3,(IF(('2回目フォームの回答 '!P27="ちがう"),4,"")))))))</f>
        <v>2</v>
      </c>
      <c r="S27" s="1">
        <f>IF(('2回目フォームの回答 '!Q27="そうだ"),1,(IF(('2回目フォームの回答 '!Q27="まぁそうだ"),2,(IF(('2回目フォームの回答 '!Q27="ややちがう"),3,(IF(('2回目フォームの回答 '!Q27="ちがう"),4,"")))))))</f>
        <v>2</v>
      </c>
      <c r="T27" s="1">
        <f>IF(('2回目フォームの回答 '!R27="そうだ"),1,(IF(('2回目フォームの回答 '!R27="まぁそうだ"),2,(IF(('2回目フォームの回答 '!R27="ややちがう"),3,(IF(('2回目フォームの回答 '!R27="ちがう"),4,"")))))))</f>
        <v>3</v>
      </c>
      <c r="U27" s="1">
        <f>IF(('2回目フォームの回答 '!S27="そうだ"),1,(IF(('2回目フォームの回答 '!S27="まぁそうだ"),2,(IF(('2回目フォームの回答 '!S27="ややちがう"),3,(IF(('2回目フォームの回答 '!S27="ちがう"),4,"")))))))</f>
        <v>2</v>
      </c>
      <c r="V27" s="1">
        <f t="shared" si="48"/>
        <v>10</v>
      </c>
      <c r="W27" s="1">
        <f t="shared" si="11"/>
        <v>4</v>
      </c>
      <c r="X27" s="1">
        <f t="shared" si="12"/>
        <v>9</v>
      </c>
      <c r="Y27" s="1">
        <f t="shared" si="13"/>
        <v>3</v>
      </c>
      <c r="Z27" s="1">
        <f t="shared" si="14"/>
        <v>1</v>
      </c>
      <c r="AA27" s="1">
        <f t="shared" si="15"/>
        <v>2</v>
      </c>
      <c r="AB27" s="1">
        <f t="shared" si="16"/>
        <v>8</v>
      </c>
      <c r="AC27" s="1">
        <f t="shared" si="17"/>
        <v>4</v>
      </c>
      <c r="AD27" s="1">
        <f t="shared" si="18"/>
        <v>3</v>
      </c>
      <c r="AE27" s="1">
        <f t="shared" si="0"/>
        <v>4</v>
      </c>
      <c r="AF27" s="1">
        <f t="shared" si="19"/>
        <v>9</v>
      </c>
      <c r="AG27" s="1">
        <f t="shared" si="1"/>
        <v>2</v>
      </c>
      <c r="AH27" s="1">
        <f t="shared" si="20"/>
        <v>2</v>
      </c>
      <c r="AI27" s="1">
        <f t="shared" si="21"/>
        <v>4</v>
      </c>
      <c r="AJ27" s="1">
        <f t="shared" si="22"/>
        <v>2</v>
      </c>
      <c r="AK27" s="1">
        <f t="shared" si="23"/>
        <v>4</v>
      </c>
      <c r="AL27" s="1">
        <f t="shared" si="24"/>
        <v>3</v>
      </c>
      <c r="AM27" s="1">
        <f t="shared" si="25"/>
        <v>3</v>
      </c>
      <c r="AN27" s="1">
        <f>IF(('2回目フォームの回答 '!T27="ほとんどなかった"),1,(IF(('2回目フォームの回答 '!T27="ときどきあった"),2,(IF(('2回目フォームの回答 '!T27="しばしばあった"),3,(IF(('2回目フォームの回答 '!T27="ほとんどいつもあった"),4,"")))))))</f>
        <v>2</v>
      </c>
      <c r="AO27" s="1">
        <f>IF(('2回目フォームの回答 '!U27="ほとんどなかった"),1,(IF(('2回目フォームの回答 '!U27="ときどきあった"),2,(IF(('2回目フォームの回答 '!U27="しばしばあった"),3,(IF(('2回目フォームの回答 '!U27="ほとんどいつもあった"),4,"")))))))</f>
        <v>2</v>
      </c>
      <c r="AP27" s="1">
        <f>IF(('2回目フォームの回答 '!V27="ほとんどなかった"),1,(IF(('2回目フォームの回答 '!V27="ときどきあった"),2,(IF(('2回目フォームの回答 '!V27="しばしばあった"),3,(IF(('2回目フォームの回答 '!V27="ほとんどいつもあった"),4,"")))))))</f>
        <v>2</v>
      </c>
      <c r="AQ27" s="1">
        <f>IF(('2回目フォームの回答 '!W27="ほとんどなかった"),1,(IF(('2回目フォームの回答 '!W27="ときどきあった"),2,(IF(('2回目フォームの回答 '!W27="しばしばあった"),3,(IF(('2回目フォームの回答 '!W27="ほとんどいつもあった"),4,"")))))))</f>
        <v>2</v>
      </c>
      <c r="AR27" s="1">
        <f>IF(('2回目フォームの回答 '!X27="ほとんどなかった"),1,(IF(('2回目フォームの回答 '!X27="ときどきあった"),2,(IF(('2回目フォームの回答 '!X27="しばしばあった"),3,(IF(('2回目フォームの回答 '!X27="ほとんどいつもあった"),4,"")))))))</f>
        <v>2</v>
      </c>
      <c r="AS27" s="1">
        <f>IF(('2回目フォームの回答 '!Y27="ほとんどなかった"),1,(IF(('2回目フォームの回答 '!Y27="ときどきあった"),2,(IF(('2回目フォームの回答 '!Y27="しばしばあった"),3,(IF(('2回目フォームの回答 '!Y27="ほとんどいつもあった"),4,"")))))))</f>
        <v>2</v>
      </c>
      <c r="AT27" s="1">
        <f>IF(('2回目フォームの回答 '!Z27="ほとんどなかった"),1,(IF(('2回目フォームの回答 '!Z27="ときどきあった"),2,(IF(('2回目フォームの回答 '!Z27="しばしばあった"),3,(IF(('2回目フォームの回答 '!Z27="ほとんどいつもあった"),4,"")))))))</f>
        <v>3</v>
      </c>
      <c r="AU27" s="1">
        <f>IF(('2回目フォームの回答 '!AA27="ほとんどなかった"),1,(IF(('2回目フォームの回答 '!AA27="ときどきあった"),2,(IF(('2回目フォームの回答 '!AA27="しばしばあった"),3,(IF(('2回目フォームの回答 '!AA27="ほとんどいつもあった"),4,"")))))))</f>
        <v>3</v>
      </c>
      <c r="AV27" s="1">
        <f>IF(('2回目フォームの回答 '!AB27="ほとんどなかった"),1,(IF(('2回目フォームの回答 '!AB27="ときどきばあった"),2,(IF(('2回目フォームの回答 '!AB27="しばしばあった"),3,(IF(('2回目フォームの回答 '!AB27="ほとんどいつもあった"),4,"")))))))</f>
        <v>3</v>
      </c>
      <c r="AW27" s="1">
        <f>IF(('2回目フォームの回答 '!AC27="ほとんどなかった"),1,(IF(('2回目フォームの回答 '!AC27="ときどきあった"),2,(IF(('2回目フォームの回答 '!AC27="しばしばあった"),3,(IF(('2回目フォームの回答 '!AC27="ほとんどいつもあった"),4,"")))))))</f>
        <v>2</v>
      </c>
      <c r="AX27" s="1">
        <f>IF(('2回目フォームの回答 '!AD27="ほとんどなかった"),1,(IF(('2回目フォームの回答 '!AD27="ときどきあった"),2,(IF(('2回目フォームの回答 '!AD27="しばしばあった"),3,(IF(('2回目フォームの回答 '!AD27="ほとんどいつもあった"),4,"")))))))</f>
        <v>3</v>
      </c>
      <c r="AY27" s="1">
        <f>IF(('2回目フォームの回答 '!AE27="ほとんどなかった"),1,(IF(('2回目フォームの回答 '!AE27="ときどきあった"),2,(IF(('2回目フォームの回答 '!AE27="しばしばあった"),3,(IF(('2回目フォームの回答 '!AE27="ほとんどいつもあった"),4,"")))))))</f>
        <v>3</v>
      </c>
      <c r="AZ27" s="1">
        <f>IF(('2回目フォームの回答 '!AF27="ほとんどなかった"),1,(IF(('2回目フォームの回答 '!AF27="ときどきあった"),2,(IF(('2回目フォームの回答 '!AF27="しばしばあった"),3,(IF(('2回目フォームの回答 '!AF27="ほとんどいつもあった"),4,"")))))))</f>
        <v>3</v>
      </c>
      <c r="BA27" s="1">
        <f>IF(('2回目フォームの回答 '!AG27="ほとんどなかった"),1,(IF(('2回目フォームの回答 '!AG27="ときどきあった"),2,(IF(('2回目フォームの回答 '!AG27="しばしばあった"),3,(IF(('2回目フォームの回答 '!AG27="ほとんどいつもあった"),4,"")))))))</f>
        <v>3</v>
      </c>
      <c r="BB27" s="1">
        <f>IF(('2回目フォームの回答 '!AH27="ほとんどなかった"),1,(IF(('2回目フォームの回答 '!AH27="ときどきあった"),2,(IF(('2回目フォームの回答 '!AH27="しばしばあった"),3,(IF(('2回目フォームの回答 '!AH27="ほとんどいつもあった"),4,"")))))))</f>
        <v>4</v>
      </c>
      <c r="BC27" s="1">
        <f>IF(('2回目フォームの回答 '!AI27="ほとんどなかった"),1,(IF(('2回目フォームの回答 '!AI27="ときどきあった"),2,(IF(('2回目フォームの回答 '!AI27="しばしばあった"),3,(IF(('2回目フォームの回答 '!AI27="ほとんどいつもあった"),4,"")))))))</f>
        <v>3</v>
      </c>
      <c r="BD27" s="1">
        <f>IF(('2回目フォームの回答 '!AJ27="ほとんどなかった"),1,(IF(('2回目フォームの回答 '!AJ27="ときどきあった"),2,(IF(('2回目フォームの回答 '!AJ27="しばしばあった"),3,(IF(('2回目フォームの回答 '!AJ27="ほとんどいつもあった"),4,"")))))))</f>
        <v>4</v>
      </c>
      <c r="BE27" s="1">
        <f>IF(('2回目フォームの回答 '!AK27="ほとんどなかった"),1,(IF(('2回目フォームの回答 '!AK27="ときどきあった"),2,(IF(('2回目フォームの回答 '!AK27="しばしばあった"),3,(IF(('2回目フォームの回答 '!AK27="ほとんどいつもあった"),4,"")))))))</f>
        <v>3</v>
      </c>
      <c r="BF27" s="1">
        <f>IF(('2回目フォームの回答 '!AL27="ほとんどなかった"),1,(IF(('2回目フォームの回答 '!AL27="ときどきあった"),2,(IF(('2回目フォームの回答 '!AL27="しばしばあった"),3,(IF(('2回目フォームの回答 '!AL27="ほとんどいつもあった"),4,"")))))))</f>
        <v>4</v>
      </c>
      <c r="BG27" s="1">
        <f>IF(('2回目フォームの回答 '!AM27="ほとんどなかった"),1,(IF(('2回目フォームの回答 '!AM27="ときどきあった"),2,(IF(('2回目フォームの回答 '!AM27="しばしばあった"),3,(IF(('2回目フォームの回答 '!AM27="ほとんどいつもあった"),4,"")))))))</f>
        <v>3</v>
      </c>
      <c r="BH27" s="1">
        <f>IF(('2回目フォームの回答 '!AN27="ほとんどなかった"),1,(IF(('2回目フォームの回答 '!AN27="ときどきあった"),2,(IF(('2回目フォームの回答 '!AN27="しばしばあった"),3,(IF(('2回目フォームの回答 '!AN27="ほとんどいつもあった"),4,"")))))))</f>
        <v>3</v>
      </c>
      <c r="BI27" s="1">
        <f>IF(('2回目フォームの回答 '!AO27="ほとんどなかった"),1,(IF(('2回目フォームの回答 '!AO27="ときどきあった"),2,(IF(('2回目フォームの回答 '!AO27="しばしばあった"),3,(IF(('2回目フォームの回答 '!AO27="ほとんどいつもあった"),4,"")))))))</f>
        <v>2</v>
      </c>
      <c r="BJ27" s="1">
        <f>IF(('2回目フォームの回答 '!AP27="ほとんどなかった"),1,(IF(('2回目フォームの回答 '!AP27="ときどきあった"),2,(IF(('2回目フォームの回答 '!AP27="しばしばあった"),3,(IF(('2回目フォームの回答 '!AP27="ほとんどいつもあった"),4,"")))))))</f>
        <v>1</v>
      </c>
      <c r="BK27" s="1">
        <f>IF(('2回目フォームの回答 '!AQ27="ほとんどなかった"),1,(IF(('2回目フォームの回答 '!AQ27="ときどきあった"),2,(IF(('2回目フォームの回答 '!AQ27="しばしばあった"),3,(IF(('2回目フォームの回答 '!AQ27="ほとんどいつもあった"),4,"")))))))</f>
        <v>3</v>
      </c>
      <c r="BL27" s="1">
        <f>IF(('2回目フォームの回答 '!AR27="ほとんどなかった"),1,(IF(('2回目フォームの回答 '!AR27="ときどきあった"),2,(IF(('2回目フォームの回答 '!AR27="しばしばあった"),3,(IF(('2回目フォームの回答 '!AR27="ほとんどいつもあった"),4,"")))))))</f>
        <v>2</v>
      </c>
      <c r="BM27" s="1">
        <f>IF(('2回目フォームの回答 '!AS27="ほとんどなかった"),1,(IF(('2回目フォームの回答 '!AS27="ときどきあった"),2,(IF(('2回目フォームの回答 '!AS27="しばしばあった"),3,(IF(('2回目フォームの回答 '!AS27="ほとんどいつもあった"),4,"")))))))</f>
        <v>4</v>
      </c>
      <c r="BN27" s="1">
        <f>IF(('2回目フォームの回答 '!AT27="ほとんどなかった"),1,(IF(('2回目フォームの回答 '!AT27="ときどきあった"),2,(IF(('2回目フォームの回答 '!AT27="しばしばあった"),3,(IF(('2回目フォームの回答 '!AT27="ほとんどいつもあった"),4,"")))))))</f>
        <v>2</v>
      </c>
      <c r="BO27" s="1">
        <f>IF(('2回目フォームの回答 '!AU27="ほとんどなかった"),1,(IF(('2回目フォームの回答 '!AU27="ときどきあった"),2,(IF(('2回目フォームの回答 '!AU27="しばしばあった"),3,(IF(('2回目フォームの回答 '!AU27="ほとんどいつもあった"),4,"")))))))</f>
        <v>2</v>
      </c>
      <c r="BP27" s="1">
        <f>IF(('2回目フォームの回答 '!AV27="ほとんどなかった"),1,(IF(('2回目フォームの回答 '!AV27="ときどきあった"),2,(IF(('2回目フォームの回答 '!AV27="しばしばあった"),3,(IF(('2回目フォームの回答 '!AV27="ほとんどいつもあった"),4,"")))))))</f>
        <v>4</v>
      </c>
      <c r="BQ27" s="1">
        <f t="shared" si="26"/>
        <v>6</v>
      </c>
      <c r="BR27" s="1">
        <f t="shared" si="27"/>
        <v>3</v>
      </c>
      <c r="BS27" s="1">
        <f t="shared" si="28"/>
        <v>6</v>
      </c>
      <c r="BT27" s="1">
        <f t="shared" si="2"/>
        <v>3</v>
      </c>
      <c r="BU27" s="1">
        <f t="shared" si="3"/>
        <v>9</v>
      </c>
      <c r="BV27" s="1">
        <f t="shared" si="4"/>
        <v>4</v>
      </c>
      <c r="BW27" s="1">
        <f t="shared" si="29"/>
        <v>8</v>
      </c>
      <c r="BX27" s="1">
        <f t="shared" si="5"/>
        <v>4</v>
      </c>
      <c r="BY27" s="1">
        <f t="shared" si="30"/>
        <v>20</v>
      </c>
      <c r="BZ27" s="1">
        <f t="shared" si="6"/>
        <v>5</v>
      </c>
      <c r="CA27" s="1">
        <f t="shared" si="31"/>
        <v>30</v>
      </c>
      <c r="CB27" s="1">
        <f t="shared" si="32"/>
        <v>5</v>
      </c>
      <c r="CC27" s="1">
        <f>IF(('2回目フォームの回答 '!AW27="非常に"),1,(IF(('2回目フォームの回答 '!AW27="かなり"),2,(IF(('2回目フォームの回答 '!AW27="多少"),3,(IF(('2回目フォームの回答 '!AW27="全くない"),4,"")))))))</f>
        <v>3</v>
      </c>
      <c r="CD27" s="1">
        <f>IF(('2回目フォームの回答 '!AX27="非常に"),1,(IF(('2回目フォームの回答 '!AX27="かなり"),2,(IF(('2回目フォームの回答 '!AX27="多少"),3,(IF(('2回目フォームの回答 '!AX27="全くない"),4,"")))))))</f>
        <v>2</v>
      </c>
      <c r="CE27" s="1">
        <f>IF(('2回目フォームの回答 '!AY27="非常に"),1,(IF(('2回目フォームの回答 '!AY27="かなり"),2,(IF(('2回目フォームの回答 '!AY27="多少"),3,(IF(('2回目フォームの回答 '!AY27="全くない"),4,"")))))))</f>
        <v>2</v>
      </c>
      <c r="CF27" s="1">
        <f>IF(('2回目フォームの回答 '!AZ27="非常に"),1,(IF(('2回目フォームの回答 '!AZ27="かなり"),2,(IF(('2回目フォームの回答 '!AZ27="多少"),3,(IF(('2回目フォームの回答 '!AZ27="全くない"),4,"")))))))</f>
        <v>2</v>
      </c>
      <c r="CG27" s="1">
        <f>IF(('2回目フォームの回答 '!BA27="非常に"),1,(IF(('2回目フォームの回答 '!BA27="かなり"),2,(IF(('2回目フォームの回答 '!BA27="多少"),3,(IF(('2回目フォームの回答 '!BA27="全くない"),4,"")))))))</f>
        <v>2</v>
      </c>
      <c r="CH27" s="1">
        <f>IF(('2回目フォームの回答 '!BB27="非常に"),1,(IF(('2回目フォームの回答 '!BB27="かなり"),2,(IF(('2回目フォームの回答 '!BB27="多少"),3,(IF(('2回目フォームの回答 '!BB27="全くない"),4,"")))))))</f>
        <v>2</v>
      </c>
      <c r="CI27" s="1">
        <f>IF(('2回目フォームの回答 '!BC27="非常に"),1,(IF(('2回目フォームの回答 '!BC27="かなり"),2,(IF(('2回目フォームの回答 '!BC27="多少"),3,(IF(('2回目フォームの回答 '!BC27="全くない"),4,"")))))))</f>
        <v>2</v>
      </c>
      <c r="CJ27" s="1">
        <f>IF(('2回目フォームの回答 '!BD27="非常に"),1,(IF(('2回目フォームの回答 '!BD27="かなり"),2,(IF(('2回目フォームの回答 '!BD27="多少"),3,(IF(('2回目フォームの回答 '!BD27="全くない"),4,"")))))))</f>
        <v>2</v>
      </c>
      <c r="CK27" s="1">
        <f>IF(('2回目フォームの回答 '!BE27="非常に"),1,(IF(('2回目フォームの回答 '!BE27="かなり"),2,(IF(('2回目フォームの回答 '!BE27="多少"),3,(IF(('2回目フォームの回答 '!BE27="全くない"),4,"")))))))</f>
        <v>2</v>
      </c>
      <c r="CL27" s="1">
        <f>IF(('2回目フォームの回答 '!BF27="満足"),1,(IF(('2回目フォームの回答 '!BF27="まぁ満足"),2,(IF(('2回目フォームの回答 '!BF27="やや満足"),3,(IF(('2回目フォームの回答 '!BF27="不満足"),4,"")))))))</f>
        <v>3</v>
      </c>
      <c r="CM27" s="1">
        <f>IF(('2回目フォームの回答 '!BG27="満足"),1,(IF(('2回目フォームの回答 '!BG27="まぁ満足"),2,(IF(('2回目フォームの回答 '!BG27="やや満足"),3,(IF(('2回目フォームの回答 '!BG27="不満足"),4,"")))))))</f>
        <v>3</v>
      </c>
      <c r="CN27" s="1">
        <f t="shared" si="33"/>
        <v>8</v>
      </c>
      <c r="CO27" s="1">
        <f t="shared" si="7"/>
        <v>3</v>
      </c>
      <c r="CP27" s="1">
        <f t="shared" si="34"/>
        <v>9</v>
      </c>
      <c r="CQ27" s="1">
        <f t="shared" si="8"/>
        <v>3</v>
      </c>
      <c r="CR27" s="1">
        <f t="shared" si="35"/>
        <v>9</v>
      </c>
      <c r="CS27" s="1">
        <f t="shared" si="36"/>
        <v>3</v>
      </c>
      <c r="CT27" s="1">
        <f t="shared" si="37"/>
        <v>4</v>
      </c>
      <c r="CU27" s="1">
        <f t="shared" si="9"/>
        <v>4</v>
      </c>
      <c r="CV27" s="1">
        <f t="shared" si="38"/>
        <v>24</v>
      </c>
      <c r="CW27" s="1">
        <f t="shared" si="39"/>
        <v>30</v>
      </c>
      <c r="CX27" s="1">
        <f t="shared" si="10"/>
        <v>9</v>
      </c>
      <c r="CY27" s="29" t="str">
        <f t="shared" si="40"/>
        <v>高</v>
      </c>
      <c r="CZ27" s="1">
        <f>'2回目フォームの回答 '!BH27</f>
        <v>0.6</v>
      </c>
      <c r="DA27" s="2">
        <f t="shared" si="41"/>
        <v>0.4</v>
      </c>
      <c r="DB27" s="1">
        <f>IF(('2回目フォームの回答 '!BI27="いつもより寝つきは良い"),0,(IF(('2回目フォームの回答 '!BI27="いつもより少し時間がかかった"),1,(IF(('2回目フォームの回答 '!BI27="いつもよりかなり時間がかかった"),2,(IF(('2回目フォームの回答 '!BI27="いつもより非常に時間がかかった、あるいは全く眠れなかった"),3,"")))))))</f>
        <v>1</v>
      </c>
      <c r="DC27" s="1">
        <f>IF(('2回目フォームの回答 '!BJ27="問題になるほどのことはなかった"),0,(IF(('2回目フォームの回答 '!BJ27="少し困ることがある"),1,(IF(('2回目フォームの回答 '!BJ27="かなり困っている"),2,(IF(('2回目フォームの回答 '!BJ27="深刻な状態、あるいは全く眠れなかった"),3,"")))))))</f>
        <v>1</v>
      </c>
      <c r="DD27" s="1">
        <f>IF(('2回目フォームの回答 '!BK27="そのようなことはなかった"),0,(IF(('2回目フォームの回答 '!BK27="少し早かった"),1,(IF(('2回目フォームの回答 '!BK27="かなり早かった"),2,(IF(('2回目フォームの回答 '!BK27="非常に早かった、あるいは全く眠れなかった"),3,"")))))))</f>
        <v>0</v>
      </c>
      <c r="DE27" s="1">
        <f>IF(('2回目フォームの回答 '!BL27="十分である"),0,(IF(('2回目フォームの回答 '!BL27="少し足りない"),1,(IF(('2回目フォームの回答 '!BL27="かなり足りない"),2,(IF(('2回目フォームの回答 '!BL27="全く足りない、あるいは全く眠れなかった"),3,"")))))))</f>
        <v>1</v>
      </c>
      <c r="DF27" s="1">
        <f>IF(('2回目フォームの回答 '!BM27="満足している"),0,(IF(('2回目フォームの回答 '!BM27="少し不満である"),1,(IF(('2回目フォームの回答 '!BM27="かなり不満である"),2,(IF(('2回目フォームの回答 '!BM27="非常に不満である、あるいは全く眠れなかった"),3,"")))))))</f>
        <v>2</v>
      </c>
      <c r="DG27" s="1">
        <f>IF(('2回目フォームの回答 '!BN27="いつもどおり"),0,(IF(('2回目フォームの回答 '!BN27="少し滅入った"),1,(IF(('2回目フォームの回答 '!BN27="かなり滅入った"),2,(IF(('2回目フォームの回答 '!BN27="非常に滅入った"),3,"")))))))</f>
        <v>2</v>
      </c>
      <c r="DH27" s="1">
        <f>IF(('2回目フォームの回答 '!BO27="いつもどおり"),0,(IF(('2回目フォームの回答 '!BO27="少し低下した"),1,(IF(('2回目フォームの回答 '!BO27="かなり低下した"),2,(IF(('2回目フォームの回答 '!BO27="非常に低下した"),3,"")))))))</f>
        <v>1</v>
      </c>
      <c r="DI27" s="1">
        <f>IF(('2回目フォームの回答 '!BP27="全くなかった"),0,(IF(('2回目フォームの回答 '!BP27="少しあった"),1,(IF(('2回目フォームの回答 '!BP27="かなりあった"),2,(IF(('2回目フォームの回答 '!BP27="激しかった"),3,"")))))))</f>
        <v>2</v>
      </c>
      <c r="DJ27">
        <f t="shared" si="42"/>
        <v>10</v>
      </c>
      <c r="DK27" s="4" t="str">
        <f t="shared" si="43"/>
        <v>高</v>
      </c>
      <c r="DL27" s="5">
        <v>19.3</v>
      </c>
      <c r="DM27" s="5">
        <v>16.8</v>
      </c>
      <c r="DN27" s="5">
        <v>12.1</v>
      </c>
      <c r="DO27" s="5">
        <f t="shared" si="44"/>
        <v>48.2</v>
      </c>
      <c r="DP27" s="5"/>
      <c r="DQ27" s="5" t="s">
        <v>200</v>
      </c>
      <c r="DR27" s="5"/>
      <c r="DS27" s="71">
        <v>0.28958333333333336</v>
      </c>
      <c r="DT27" s="66">
        <v>308</v>
      </c>
      <c r="DU27" s="59">
        <f>INDEX('1回目結果'!DR:DR,MATCH($DT27,'1回目結果'!$A:$A,0))</f>
        <v>0.29199999999999998</v>
      </c>
      <c r="DV27" s="59">
        <f>INDEX('1回目結果'!DS:DS,MATCH($DT27,'1回目結果'!$A:$A,0))</f>
        <v>54.5</v>
      </c>
      <c r="DW27" s="59">
        <f>INDEX('1回目結果'!DT:DT,MATCH($DT27,'1回目結果'!$A:$A,0))</f>
        <v>0.54</v>
      </c>
      <c r="DX27" s="59">
        <f>INDEX('1回目結果'!DU:DU,MATCH($DT27,'1回目結果'!$A:$A,0))</f>
        <v>10</v>
      </c>
      <c r="DY27" s="59">
        <f>IFERROR(INDEX('1回目結果'!DL:DL,MATCH('2回目結果'!$DT27,'1回目結果'!$A:$A,0)),"")</f>
        <v>74.2</v>
      </c>
      <c r="DZ27" s="59">
        <f>IFERROR(INDEX('1回目結果'!DM:DM,MATCH('2回目結果'!$DT27,'1回目結果'!$A:$A,0)),"")</f>
        <v>32.200000000000003</v>
      </c>
      <c r="EA27" s="59">
        <f>IFERROR(INDEX('1回目結果'!DN:DN,MATCH('2回目結果'!$DT27,'1回目結果'!$A:$A,0)),"")</f>
        <v>31.5</v>
      </c>
      <c r="EB27" s="59">
        <f>IFERROR(INDEX('1回目結果'!DO:DO,MATCH('2回目結果'!$DT27,'1回目結果'!$A:$A,0)),"")</f>
        <v>137.9</v>
      </c>
      <c r="EC27" s="59">
        <f>IFERROR(INDEX('1回目結果'!DP:DP,MATCH('2回目結果'!$DT27,'1回目結果'!$A:$A,0)),"")</f>
        <v>0</v>
      </c>
      <c r="ED27" s="59">
        <f>IFERROR(INDEX('1回目結果'!DQ:DQ,MATCH('2回目結果'!$DT27,'1回目結果'!$A:$A,0)),"")</f>
        <v>0</v>
      </c>
      <c r="EE27" s="54">
        <v>0.74399999999999999</v>
      </c>
      <c r="EF27" s="54">
        <v>77.03</v>
      </c>
      <c r="EG27" s="54">
        <v>0.97</v>
      </c>
      <c r="EH27" s="54">
        <v>49</v>
      </c>
      <c r="EI27" s="43" t="s">
        <v>115</v>
      </c>
      <c r="EJ27" s="44">
        <f t="shared" si="45"/>
        <v>4.9000000000000004</v>
      </c>
      <c r="EK27" s="44"/>
      <c r="EL27">
        <f t="shared" si="46"/>
        <v>-89.7</v>
      </c>
      <c r="EM27">
        <f t="shared" si="47"/>
        <v>-19.399999999999999</v>
      </c>
    </row>
    <row r="28" spans="1:143" ht="15.75" customHeight="1">
      <c r="A28" s="1">
        <v>349</v>
      </c>
      <c r="B28" s="24" t="s">
        <v>140</v>
      </c>
      <c r="C28" s="52">
        <v>34879</v>
      </c>
      <c r="D28" s="38">
        <v>29</v>
      </c>
      <c r="E28" s="1">
        <f>IF(('2回目フォームの回答 '!C28="そうだ"),1,(IF(('2回目フォームの回答 '!C28="まぁそうだ"),2,(IF(('2回目フォームの回答 '!C28="ややちがう"),3,(IF(('2回目フォームの回答 '!C28="ちがう"),4,"")))))))</f>
        <v>2</v>
      </c>
      <c r="F28" s="1">
        <f>IF(('2回目フォームの回答 '!D28="そうだ"),1,(IF(('2回目フォームの回答 '!D28="まぁそうだ"),2,(IF(('2回目フォームの回答 '!D28="ややちがう"),3,(IF(('2回目フォームの回答 '!D28="ちがう"),4,"")))))))</f>
        <v>1</v>
      </c>
      <c r="G28" s="1">
        <f>IF(('2回目フォームの回答 '!E28="そうだ"),1,(IF(('2回目フォームの回答 '!E28="まぁそうだ"),2,(IF(('2回目フォームの回答 '!E28="ややちがう"),3,(IF(('2回目フォームの回答 '!E28="ちがう"),4,"")))))))</f>
        <v>1</v>
      </c>
      <c r="H28" s="1">
        <f>IF(('2回目フォームの回答 '!F28="そうだ"),1,(IF(('2回目フォームの回答 '!F28="まぁそうだ"),2,(IF(('2回目フォームの回答 '!F28="ややちがう"),3,(IF(('2回目フォームの回答 '!F28="ちがう"),4,"")))))))</f>
        <v>1</v>
      </c>
      <c r="I28" s="1">
        <f>IF(('2回目フォームの回答 '!G28="そうだ"),1,(IF(('2回目フォームの回答 '!G28="まぁそうだ"),2,(IF(('2回目フォームの回答 '!G28="ややちがう"),3,(IF(('2回目フォームの回答 '!G28="ちがう"),4,"")))))))</f>
        <v>1</v>
      </c>
      <c r="J28" s="1">
        <f>IF(('2回目フォームの回答 '!H28="そうだ"),1,(IF(('2回目フォームの回答 '!H28="まぁそうだ"),2,(IF(('2回目フォームの回答 '!H28="ややちがう"),3,(IF(('2回目フォームの回答 '!H28="ちがう"),4,"")))))))</f>
        <v>1</v>
      </c>
      <c r="K28" s="1">
        <f>IF(('2回目フォームの回答 '!I28="そうだ"),1,(IF(('2回目フォームの回答 '!I28="まぁそうだ"),2,(IF(('2回目フォームの回答 '!I28="ややちがう"),3,(IF(('2回目フォームの回答 '!I28="ちがう"),4,"")))))))</f>
        <v>4</v>
      </c>
      <c r="L28" s="1">
        <f>IF(('2回目フォームの回答 '!J28="そうだ"),1,(IF(('2回目フォームの回答 '!J28="まぁそうだ"),2,(IF(('2回目フォームの回答 '!J28="ややちがう"),3,(IF(('2回目フォームの回答 '!J28="ちがう"),4,"")))))))</f>
        <v>4</v>
      </c>
      <c r="M28" s="1">
        <f>IF(('2回目フォームの回答 '!K28="そうだ"),1,(IF(('2回目フォームの回答 '!K28="まぁそうだ"),2,(IF(('2回目フォームの回答 '!K28="ややちがう"),3,(IF(('2回目フォームの回答 '!K28="ちがう"),4,"")))))))</f>
        <v>4</v>
      </c>
      <c r="N28" s="1">
        <f>IF(('2回目フォームの回答 '!L28="そうだ"),1,(IF(('2回目フォームの回答 '!L28="まぁそうだ"),2,(IF(('2回目フォームの回答 '!L28="ややちがう"),3,(IF(('2回目フォームの回答 '!L28="ちがう"),4,"")))))))</f>
        <v>4</v>
      </c>
      <c r="O28" s="1">
        <f>IF(('2回目フォームの回答 '!M28="そうだ"),1,(IF(('2回目フォームの回答 '!M28="まぁそうだ"),2,(IF(('2回目フォームの回答 '!M28="ややちがう"),3,(IF(('2回目フォームの回答 '!M28="ちがう"),4,"")))))))</f>
        <v>4</v>
      </c>
      <c r="P28" s="1">
        <f>IF(('2回目フォームの回答 '!N28="そうだ"),1,(IF(('2回目フォームの回答 '!N28="まぁそうだ"),2,(IF(('2回目フォームの回答 '!N28="ややちがう"),3,(IF(('2回目フォームの回答 '!N28="ちがう"),4,"")))))))</f>
        <v>2</v>
      </c>
      <c r="Q28" s="1">
        <f>IF(('2回目フォームの回答 '!O28="そうだ"),1,(IF(('2回目フォームの回答 '!O28="まぁそうだ"),2,(IF(('2回目フォームの回答 '!O28="ややちがう"),3,(IF(('2回目フォームの回答 '!O28="ちがう"),4,"")))))))</f>
        <v>2</v>
      </c>
      <c r="R28" s="1">
        <f>IF(('2回目フォームの回答 '!P28="そうだ"),1,(IF(('2回目フォームの回答 '!P28="まぁそうだ"),2,(IF(('2回目フォームの回答 '!P28="ややちがう"),3,(IF(('2回目フォームの回答 '!P28="ちがう"),4,"")))))))</f>
        <v>3</v>
      </c>
      <c r="S28" s="1">
        <f>IF(('2回目フォームの回答 '!Q28="そうだ"),1,(IF(('2回目フォームの回答 '!Q28="まぁそうだ"),2,(IF(('2回目フォームの回答 '!Q28="ややちがう"),3,(IF(('2回目フォームの回答 '!Q28="ちがう"),4,"")))))))</f>
        <v>3</v>
      </c>
      <c r="T28" s="1">
        <f>IF(('2回目フォームの回答 '!R28="そうだ"),1,(IF(('2回目フォームの回答 '!R28="まぁそうだ"),2,(IF(('2回目フォームの回答 '!R28="ややちがう"),3,(IF(('2回目フォームの回答 '!R28="ちがう"),4,"")))))))</f>
        <v>4</v>
      </c>
      <c r="U28" s="1">
        <f>IF(('2回目フォームの回答 '!S28="そうだ"),1,(IF(('2回目フォームの回答 '!S28="まぁそうだ"),2,(IF(('2回目フォームの回答 '!S28="ややちがう"),3,(IF(('2回目フォームの回答 '!S28="ちがう"),4,"")))))))</f>
        <v>3</v>
      </c>
      <c r="V28" s="1">
        <f t="shared" si="48"/>
        <v>11</v>
      </c>
      <c r="W28" s="1">
        <f t="shared" si="11"/>
        <v>4</v>
      </c>
      <c r="X28" s="1">
        <f t="shared" si="12"/>
        <v>12</v>
      </c>
      <c r="Y28" s="1">
        <f t="shared" si="13"/>
        <v>5</v>
      </c>
      <c r="Z28" s="1">
        <f t="shared" si="14"/>
        <v>1</v>
      </c>
      <c r="AA28" s="1">
        <f t="shared" si="15"/>
        <v>2</v>
      </c>
      <c r="AB28" s="1">
        <f t="shared" si="16"/>
        <v>9</v>
      </c>
      <c r="AC28" s="1">
        <f t="shared" si="17"/>
        <v>4</v>
      </c>
      <c r="AD28" s="1">
        <f t="shared" si="18"/>
        <v>2</v>
      </c>
      <c r="AE28" s="1">
        <f t="shared" si="0"/>
        <v>3</v>
      </c>
      <c r="AF28" s="1">
        <f t="shared" si="19"/>
        <v>3</v>
      </c>
      <c r="AG28" s="1">
        <f t="shared" si="1"/>
        <v>5</v>
      </c>
      <c r="AH28" s="1">
        <f t="shared" si="20"/>
        <v>4</v>
      </c>
      <c r="AI28" s="1">
        <f t="shared" si="21"/>
        <v>2</v>
      </c>
      <c r="AJ28" s="1">
        <f t="shared" si="22"/>
        <v>1</v>
      </c>
      <c r="AK28" s="1">
        <f t="shared" si="23"/>
        <v>5</v>
      </c>
      <c r="AL28" s="1">
        <f t="shared" si="24"/>
        <v>2</v>
      </c>
      <c r="AM28" s="1">
        <f t="shared" si="25"/>
        <v>4</v>
      </c>
      <c r="AN28" s="1">
        <f>IF(('2回目フォームの回答 '!T28="ほとんどなかった"),1,(IF(('2回目フォームの回答 '!T28="ときどきあった"),2,(IF(('2回目フォームの回答 '!T28="しばしばあった"),3,(IF(('2回目フォームの回答 '!T28="ほとんどいつもあった"),4,"")))))))</f>
        <v>1</v>
      </c>
      <c r="AO28" s="1">
        <f>IF(('2回目フォームの回答 '!U28="ほとんどなかった"),1,(IF(('2回目フォームの回答 '!U28="ときどきあった"),2,(IF(('2回目フォームの回答 '!U28="しばしばあった"),3,(IF(('2回目フォームの回答 '!U28="ほとんどいつもあった"),4,"")))))))</f>
        <v>1</v>
      </c>
      <c r="AP28" s="1">
        <f>IF(('2回目フォームの回答 '!V28="ほとんどなかった"),1,(IF(('2回目フォームの回答 '!V28="ときどきあった"),2,(IF(('2回目フォームの回答 '!V28="しばしばあった"),3,(IF(('2回目フォームの回答 '!V28="ほとんどいつもあった"),4,"")))))))</f>
        <v>1</v>
      </c>
      <c r="AQ28" s="1">
        <f>IF(('2回目フォームの回答 '!W28="ほとんどなかった"),1,(IF(('2回目フォームの回答 '!W28="ときどきあった"),2,(IF(('2回目フォームの回答 '!W28="しばしばあった"),3,(IF(('2回目フォームの回答 '!W28="ほとんどいつもあった"),4,"")))))))</f>
        <v>3</v>
      </c>
      <c r="AR28" s="1">
        <f>IF(('2回目フォームの回答 '!X28="ほとんどなかった"),1,(IF(('2回目フォームの回答 '!X28="ときどきあった"),2,(IF(('2回目フォームの回答 '!X28="しばしばあった"),3,(IF(('2回目フォームの回答 '!X28="ほとんどいつもあった"),4,"")))))))</f>
        <v>3</v>
      </c>
      <c r="AS28" s="1">
        <f>IF(('2回目フォームの回答 '!Y28="ほとんどなかった"),1,(IF(('2回目フォームの回答 '!Y28="ときどきあった"),2,(IF(('2回目フォームの回答 '!Y28="しばしばあった"),3,(IF(('2回目フォームの回答 '!Y28="ほとんどいつもあった"),4,"")))))))</f>
        <v>3</v>
      </c>
      <c r="AT28" s="1">
        <f>IF(('2回目フォームの回答 '!Z28="ほとんどなかった"),1,(IF(('2回目フォームの回答 '!Z28="ときどきあった"),2,(IF(('2回目フォームの回答 '!Z28="しばしばあった"),3,(IF(('2回目フォームの回答 '!Z28="ほとんどいつもあった"),4,"")))))))</f>
        <v>4</v>
      </c>
      <c r="AU28" s="1">
        <f>IF(('2回目フォームの回答 '!AA28="ほとんどなかった"),1,(IF(('2回目フォームの回答 '!AA28="ときどきあった"),2,(IF(('2回目フォームの回答 '!AA28="しばしばあった"),3,(IF(('2回目フォームの回答 '!AA28="ほとんどいつもあった"),4,"")))))))</f>
        <v>4</v>
      </c>
      <c r="AV28" s="1">
        <f>IF(('2回目フォームの回答 '!AB28="ほとんどなかった"),1,(IF(('2回目フォームの回答 '!AB28="ときどきばあった"),2,(IF(('2回目フォームの回答 '!AB28="しばしばあった"),3,(IF(('2回目フォームの回答 '!AB28="ほとんどいつもあった"),4,"")))))))</f>
        <v>3</v>
      </c>
      <c r="AW28" s="1">
        <f>IF(('2回目フォームの回答 '!AC28="ほとんどなかった"),1,(IF(('2回目フォームの回答 '!AC28="ときどきあった"),2,(IF(('2回目フォームの回答 '!AC28="しばしばあった"),3,(IF(('2回目フォームの回答 '!AC28="ほとんどいつもあった"),4,"")))))))</f>
        <v>3</v>
      </c>
      <c r="AX28" s="1">
        <f>IF(('2回目フォームの回答 '!AD28="ほとんどなかった"),1,(IF(('2回目フォームの回答 '!AD28="ときどきあった"),2,(IF(('2回目フォームの回答 '!AD28="しばしばあった"),3,(IF(('2回目フォームの回答 '!AD28="ほとんどいつもあった"),4,"")))))))</f>
        <v>4</v>
      </c>
      <c r="AY28" s="1">
        <f>IF(('2回目フォームの回答 '!AE28="ほとんどなかった"),1,(IF(('2回目フォームの回答 '!AE28="ときどきあった"),2,(IF(('2回目フォームの回答 '!AE28="しばしばあった"),3,(IF(('2回目フォームの回答 '!AE28="ほとんどいつもあった"),4,"")))))))</f>
        <v>4</v>
      </c>
      <c r="AZ28" s="1">
        <f>IF(('2回目フォームの回答 '!AF28="ほとんどなかった"),1,(IF(('2回目フォームの回答 '!AF28="ときどきあった"),2,(IF(('2回目フォームの回答 '!AF28="しばしばあった"),3,(IF(('2回目フォームの回答 '!AF28="ほとんどいつもあった"),4,"")))))))</f>
        <v>4</v>
      </c>
      <c r="BA28" s="1">
        <f>IF(('2回目フォームの回答 '!AG28="ほとんどなかった"),1,(IF(('2回目フォームの回答 '!AG28="ときどきあった"),2,(IF(('2回目フォームの回答 '!AG28="しばしばあった"),3,(IF(('2回目フォームの回答 '!AG28="ほとんどいつもあった"),4,"")))))))</f>
        <v>2</v>
      </c>
      <c r="BB28" s="1">
        <f>IF(('2回目フォームの回答 '!AH28="ほとんどなかった"),1,(IF(('2回目フォームの回答 '!AH28="ときどきあった"),2,(IF(('2回目フォームの回答 '!AH28="しばしばあった"),3,(IF(('2回目フォームの回答 '!AH28="ほとんどいつもあった"),4,"")))))))</f>
        <v>3</v>
      </c>
      <c r="BC28" s="1">
        <f>IF(('2回目フォームの回答 '!AI28="ほとんどなかった"),1,(IF(('2回目フォームの回答 '!AI28="ときどきあった"),2,(IF(('2回目フォームの回答 '!AI28="しばしばあった"),3,(IF(('2回目フォームの回答 '!AI28="ほとんどいつもあった"),4,"")))))))</f>
        <v>3</v>
      </c>
      <c r="BD28" s="1">
        <f>IF(('2回目フォームの回答 '!AJ28="ほとんどなかった"),1,(IF(('2回目フォームの回答 '!AJ28="ときどきあった"),2,(IF(('2回目フォームの回答 '!AJ28="しばしばあった"),3,(IF(('2回目フォームの回答 '!AJ28="ほとんどいつもあった"),4,"")))))))</f>
        <v>3</v>
      </c>
      <c r="BE28" s="1">
        <f>IF(('2回目フォームの回答 '!AK28="ほとんどなかった"),1,(IF(('2回目フォームの回答 '!AK28="ときどきあった"),2,(IF(('2回目フォームの回答 '!AK28="しばしばあった"),3,(IF(('2回目フォームの回答 '!AK28="ほとんどいつもあった"),4,"")))))))</f>
        <v>3</v>
      </c>
      <c r="BF28" s="1">
        <f>IF(('2回目フォームの回答 '!AL28="ほとんどなかった"),1,(IF(('2回目フォームの回答 '!AL28="ときどきあった"),2,(IF(('2回目フォームの回答 '!AL28="しばしばあった"),3,(IF(('2回目フォームの回答 '!AL28="ほとんどいつもあった"),4,"")))))))</f>
        <v>2</v>
      </c>
      <c r="BG28" s="1">
        <f>IF(('2回目フォームの回答 '!AM28="ほとんどなかった"),1,(IF(('2回目フォームの回答 '!AM28="ときどきあった"),2,(IF(('2回目フォームの回答 '!AM28="しばしばあった"),3,(IF(('2回目フォームの回答 '!AM28="ほとんどいつもあった"),4,"")))))))</f>
        <v>2</v>
      </c>
      <c r="BH28" s="1">
        <f>IF(('2回目フォームの回答 '!AN28="ほとんどなかった"),1,(IF(('2回目フォームの回答 '!AN28="ときどきあった"),2,(IF(('2回目フォームの回答 '!AN28="しばしばあった"),3,(IF(('2回目フォームの回答 '!AN28="ほとんどいつもあった"),4,"")))))))</f>
        <v>2</v>
      </c>
      <c r="BI28" s="1">
        <f>IF(('2回目フォームの回答 '!AO28="ほとんどなかった"),1,(IF(('2回目フォームの回答 '!AO28="ときどきあった"),2,(IF(('2回目フォームの回答 '!AO28="しばしばあった"),3,(IF(('2回目フォームの回答 '!AO28="ほとんどいつもあった"),4,"")))))))</f>
        <v>4</v>
      </c>
      <c r="BJ28" s="1">
        <f>IF(('2回目フォームの回答 '!AP28="ほとんどなかった"),1,(IF(('2回目フォームの回答 '!AP28="ときどきあった"),2,(IF(('2回目フォームの回答 '!AP28="しばしばあった"),3,(IF(('2回目フォームの回答 '!AP28="ほとんどいつもあった"),4,"")))))))</f>
        <v>3</v>
      </c>
      <c r="BK28" s="1">
        <f>IF(('2回目フォームの回答 '!AQ28="ほとんどなかった"),1,(IF(('2回目フォームの回答 '!AQ28="ときどきあった"),2,(IF(('2回目フォームの回答 '!AQ28="しばしばあった"),3,(IF(('2回目フォームの回答 '!AQ28="ほとんどいつもあった"),4,"")))))))</f>
        <v>3</v>
      </c>
      <c r="BL28" s="1">
        <f>IF(('2回目フォームの回答 '!AR28="ほとんどなかった"),1,(IF(('2回目フォームの回答 '!AR28="ときどきあった"),2,(IF(('2回目フォームの回答 '!AR28="しばしばあった"),3,(IF(('2回目フォームの回答 '!AR28="ほとんどいつもあった"),4,"")))))))</f>
        <v>2</v>
      </c>
      <c r="BM28" s="1">
        <f>IF(('2回目フォームの回答 '!AS28="ほとんどなかった"),1,(IF(('2回目フォームの回答 '!AS28="ときどきあった"),2,(IF(('2回目フォームの回答 '!AS28="しばしばあった"),3,(IF(('2回目フォームの回答 '!AS28="ほとんどいつもあった"),4,"")))))))</f>
        <v>3</v>
      </c>
      <c r="BN28" s="1">
        <f>IF(('2回目フォームの回答 '!AT28="ほとんどなかった"),1,(IF(('2回目フォームの回答 '!AT28="ときどきあった"),2,(IF(('2回目フォームの回答 '!AT28="しばしばあった"),3,(IF(('2回目フォームの回答 '!AT28="ほとんどいつもあった"),4,"")))))))</f>
        <v>3</v>
      </c>
      <c r="BO28" s="1">
        <f>IF(('2回目フォームの回答 '!AU28="ほとんどなかった"),1,(IF(('2回目フォームの回答 '!AU28="ときどきあった"),2,(IF(('2回目フォームの回答 '!AU28="しばしばあった"),3,(IF(('2回目フォームの回答 '!AU28="ほとんどいつもあった"),4,"")))))))</f>
        <v>3</v>
      </c>
      <c r="BP28" s="1">
        <f>IF(('2回目フォームの回答 '!AV28="ほとんどなかった"),1,(IF(('2回目フォームの回答 '!AV28="ときどきあった"),2,(IF(('2回目フォームの回答 '!AV28="しばしばあった"),3,(IF(('2回目フォームの回答 '!AV28="ほとんどいつもあった"),4,"")))))))</f>
        <v>3</v>
      </c>
      <c r="BQ28" s="1">
        <f t="shared" si="26"/>
        <v>3</v>
      </c>
      <c r="BR28" s="1">
        <f t="shared" si="27"/>
        <v>5</v>
      </c>
      <c r="BS28" s="1">
        <f t="shared" si="28"/>
        <v>9</v>
      </c>
      <c r="BT28" s="1">
        <f t="shared" si="2"/>
        <v>4</v>
      </c>
      <c r="BU28" s="1">
        <f t="shared" si="3"/>
        <v>11</v>
      </c>
      <c r="BV28" s="1">
        <f t="shared" si="4"/>
        <v>4</v>
      </c>
      <c r="BW28" s="1">
        <f t="shared" si="29"/>
        <v>11</v>
      </c>
      <c r="BX28" s="1">
        <f t="shared" si="5"/>
        <v>5</v>
      </c>
      <c r="BY28" s="1">
        <f t="shared" si="30"/>
        <v>18</v>
      </c>
      <c r="BZ28" s="1">
        <f t="shared" si="6"/>
        <v>5</v>
      </c>
      <c r="CA28" s="1">
        <f t="shared" si="31"/>
        <v>30</v>
      </c>
      <c r="CB28" s="1">
        <f t="shared" si="32"/>
        <v>5</v>
      </c>
      <c r="CC28" s="1">
        <f>IF(('2回目フォームの回答 '!AW28="非常に"),1,(IF(('2回目フォームの回答 '!AW28="かなり"),2,(IF(('2回目フォームの回答 '!AW28="多少"),3,(IF(('2回目フォームの回答 '!AW28="全くない"),4,"")))))))</f>
        <v>4</v>
      </c>
      <c r="CD28" s="1">
        <f>IF(('2回目フォームの回答 '!AX28="非常に"),1,(IF(('2回目フォームの回答 '!AX28="かなり"),2,(IF(('2回目フォームの回答 '!AX28="多少"),3,(IF(('2回目フォームの回答 '!AX28="全くない"),4,"")))))))</f>
        <v>3</v>
      </c>
      <c r="CE28" s="1">
        <f>IF(('2回目フォームの回答 '!AY28="非常に"),1,(IF(('2回目フォームの回答 '!AY28="かなり"),2,(IF(('2回目フォームの回答 '!AY28="多少"),3,(IF(('2回目フォームの回答 '!AY28="全くない"),4,"")))))))</f>
        <v>1</v>
      </c>
      <c r="CF28" s="1">
        <f>IF(('2回目フォームの回答 '!AZ28="非常に"),1,(IF(('2回目フォームの回答 '!AZ28="かなり"),2,(IF(('2回目フォームの回答 '!AZ28="多少"),3,(IF(('2回目フォームの回答 '!AZ28="全くない"),4,"")))))))</f>
        <v>4</v>
      </c>
      <c r="CG28" s="1">
        <f>IF(('2回目フォームの回答 '!BA28="非常に"),1,(IF(('2回目フォームの回答 '!BA28="かなり"),2,(IF(('2回目フォームの回答 '!BA28="多少"),3,(IF(('2回目フォームの回答 '!BA28="全くない"),4,"")))))))</f>
        <v>3</v>
      </c>
      <c r="CH28" s="1">
        <f>IF(('2回目フォームの回答 '!BB28="非常に"),1,(IF(('2回目フォームの回答 '!BB28="かなり"),2,(IF(('2回目フォームの回答 '!BB28="多少"),3,(IF(('2回目フォームの回答 '!BB28="全くない"),4,"")))))))</f>
        <v>3</v>
      </c>
      <c r="CI28" s="1">
        <f>IF(('2回目フォームの回答 '!BC28="非常に"),1,(IF(('2回目フォームの回答 '!BC28="かなり"),2,(IF(('2回目フォームの回答 '!BC28="多少"),3,(IF(('2回目フォームの回答 '!BC28="全くない"),4,"")))))))</f>
        <v>4</v>
      </c>
      <c r="CJ28" s="1">
        <f>IF(('2回目フォームの回答 '!BD28="非常に"),1,(IF(('2回目フォームの回答 '!BD28="かなり"),2,(IF(('2回目フォームの回答 '!BD28="多少"),3,(IF(('2回目フォームの回答 '!BD28="全くない"),4,"")))))))</f>
        <v>3</v>
      </c>
      <c r="CK28" s="1">
        <f>IF(('2回目フォームの回答 '!BE28="非常に"),1,(IF(('2回目フォームの回答 '!BE28="かなり"),2,(IF(('2回目フォームの回答 '!BE28="多少"),3,(IF(('2回目フォームの回答 '!BE28="全くない"),4,"")))))))</f>
        <v>2</v>
      </c>
      <c r="CL28" s="1">
        <f>IF(('2回目フォームの回答 '!BF28="満足"),1,(IF(('2回目フォームの回答 '!BF28="まぁ満足"),2,(IF(('2回目フォームの回答 '!BF28="やや満足"),3,(IF(('2回目フォームの回答 '!BF28="不満足"),4,"")))))))</f>
        <v>4</v>
      </c>
      <c r="CM28" s="1">
        <f>IF(('2回目フォームの回答 '!BG28="満足"),1,(IF(('2回目フォームの回答 '!BG28="まぁ満足"),2,(IF(('2回目フォームの回答 '!BG28="やや満足"),3,(IF(('2回目フォームの回答 '!BG28="不満足"),4,"")))))))</f>
        <v>2</v>
      </c>
      <c r="CN28" s="1">
        <f t="shared" si="33"/>
        <v>3</v>
      </c>
      <c r="CO28" s="1">
        <f t="shared" si="7"/>
        <v>5</v>
      </c>
      <c r="CP28" s="1">
        <f t="shared" si="34"/>
        <v>6</v>
      </c>
      <c r="CQ28" s="1">
        <f t="shared" si="8"/>
        <v>4</v>
      </c>
      <c r="CR28" s="1">
        <f t="shared" si="35"/>
        <v>9</v>
      </c>
      <c r="CS28" s="1">
        <f t="shared" si="36"/>
        <v>3</v>
      </c>
      <c r="CT28" s="1">
        <f t="shared" si="37"/>
        <v>4</v>
      </c>
      <c r="CU28" s="1">
        <f t="shared" si="9"/>
        <v>4</v>
      </c>
      <c r="CV28" s="1">
        <f t="shared" si="38"/>
        <v>28</v>
      </c>
      <c r="CW28" s="1">
        <f t="shared" si="39"/>
        <v>34</v>
      </c>
      <c r="CX28" s="1">
        <f t="shared" si="10"/>
        <v>12</v>
      </c>
      <c r="CY28" s="29" t="str">
        <f t="shared" si="40"/>
        <v>高</v>
      </c>
      <c r="CZ28" s="1">
        <f>'2回目フォームの回答 '!BH28</f>
        <v>0.6</v>
      </c>
      <c r="DA28" s="2">
        <f t="shared" si="41"/>
        <v>0.4</v>
      </c>
      <c r="DB28" s="1">
        <f>IF(('2回目フォームの回答 '!BI28="いつもより寝つきは良い"),0,(IF(('2回目フォームの回答 '!BI28="いつもより少し時間がかかった"),1,(IF(('2回目フォームの回答 '!BI28="いつもよりかなり時間がかかった"),2,(IF(('2回目フォームの回答 '!BI28="いつもより非常に時間がかかった、あるいは全く眠れなかった"),3,"")))))))</f>
        <v>1</v>
      </c>
      <c r="DC28" s="1">
        <f>IF(('2回目フォームの回答 '!BJ28="問題になるほどのことはなかった"),0,(IF(('2回目フォームの回答 '!BJ28="少し困ることがある"),1,(IF(('2回目フォームの回答 '!BJ28="かなり困っている"),2,(IF(('2回目フォームの回答 '!BJ28="深刻な状態、あるいは全く眠れなかった"),3,"")))))))</f>
        <v>2</v>
      </c>
      <c r="DD28" s="1">
        <f>IF(('2回目フォームの回答 '!BK28="そのようなことはなかった"),0,(IF(('2回目フォームの回答 '!BK28="少し早かった"),1,(IF(('2回目フォームの回答 '!BK28="かなり早かった"),2,(IF(('2回目フォームの回答 '!BK28="非常に早かった、あるいは全く眠れなかった"),3,"")))))))</f>
        <v>1</v>
      </c>
      <c r="DE28" s="1">
        <f>IF(('2回目フォームの回答 '!BL28="十分である"),0,(IF(('2回目フォームの回答 '!BL28="少し足りない"),1,(IF(('2回目フォームの回答 '!BL28="かなり足りない"),2,(IF(('2回目フォームの回答 '!BL28="全く足りない、あるいは全く眠れなかった"),3,"")))))))</f>
        <v>1</v>
      </c>
      <c r="DF28" s="1">
        <f>IF(('2回目フォームの回答 '!BM28="満足している"),0,(IF(('2回目フォームの回答 '!BM28="少し不満である"),1,(IF(('2回目フォームの回答 '!BM28="かなり不満である"),2,(IF(('2回目フォームの回答 '!BM28="非常に不満である、あるいは全く眠れなかった"),3,"")))))))</f>
        <v>3</v>
      </c>
      <c r="DG28" s="1">
        <f>IF(('2回目フォームの回答 '!BN28="いつもどおり"),0,(IF(('2回目フォームの回答 '!BN28="少し滅入った"),1,(IF(('2回目フォームの回答 '!BN28="かなり滅入った"),2,(IF(('2回目フォームの回答 '!BN28="非常に滅入った"),3,"")))))))</f>
        <v>2</v>
      </c>
      <c r="DH28" s="1">
        <f>IF(('2回目フォームの回答 '!BO28="いつもどおり"),0,(IF(('2回目フォームの回答 '!BO28="少し低下した"),1,(IF(('2回目フォームの回答 '!BO28="かなり低下した"),2,(IF(('2回目フォームの回答 '!BO28="非常に低下した"),3,"")))))))</f>
        <v>2</v>
      </c>
      <c r="DI28" s="1">
        <f>IF(('2回目フォームの回答 '!BP28="全くなかった"),0,(IF(('2回目フォームの回答 '!BP28="少しあった"),1,(IF(('2回目フォームの回答 '!BP28="かなりあった"),2,(IF(('2回目フォームの回答 '!BP28="激しかった"),3,"")))))))</f>
        <v>1</v>
      </c>
      <c r="DJ28">
        <f t="shared" si="42"/>
        <v>13</v>
      </c>
      <c r="DK28" s="4" t="str">
        <f t="shared" si="43"/>
        <v>高</v>
      </c>
      <c r="DL28" s="5">
        <v>12.9</v>
      </c>
      <c r="DM28" s="5">
        <v>36.299999999999997</v>
      </c>
      <c r="DN28" s="5">
        <v>27.1</v>
      </c>
      <c r="DO28" s="5">
        <f t="shared" si="44"/>
        <v>76.3</v>
      </c>
      <c r="DP28" s="5" t="s">
        <v>200</v>
      </c>
      <c r="DQ28" s="5"/>
      <c r="DR28" s="5" t="s">
        <v>200</v>
      </c>
      <c r="DS28" s="71">
        <v>0.29166666666666669</v>
      </c>
      <c r="DT28" s="66">
        <v>319</v>
      </c>
      <c r="DU28" s="59">
        <f>INDEX('1回目結果'!DR:DR,MATCH($DT28,'1回目結果'!$A:$A,0))</f>
        <v>0.56799999999999995</v>
      </c>
      <c r="DV28" s="59">
        <f>INDEX('1回目結果'!DS:DS,MATCH($DT28,'1回目結果'!$A:$A,0))</f>
        <v>87.58</v>
      </c>
      <c r="DW28" s="59">
        <f>INDEX('1回目結果'!DT:DT,MATCH($DT28,'1回目結果'!$A:$A,0))</f>
        <v>0.65</v>
      </c>
      <c r="DX28" s="59">
        <f>INDEX('1回目結果'!DU:DU,MATCH($DT28,'1回目結果'!$A:$A,0))</f>
        <v>33</v>
      </c>
      <c r="DY28" s="59">
        <f>IFERROR(INDEX('1回目結果'!DL:DL,MATCH('2回目結果'!$DT28,'1回目結果'!$A:$A,0)),"")</f>
        <v>0</v>
      </c>
      <c r="DZ28" s="59">
        <f>IFERROR(INDEX('1回目結果'!DM:DM,MATCH('2回目結果'!$DT28,'1回目結果'!$A:$A,0)),"")</f>
        <v>0</v>
      </c>
      <c r="EA28" s="59">
        <f>IFERROR(INDEX('1回目結果'!DN:DN,MATCH('2回目結果'!$DT28,'1回目結果'!$A:$A,0)),"")</f>
        <v>0</v>
      </c>
      <c r="EB28" s="59">
        <f>IFERROR(INDEX('1回目結果'!DO:DO,MATCH('2回目結果'!$DT28,'1回目結果'!$A:$A,0)),"")</f>
        <v>0</v>
      </c>
      <c r="EC28" s="59">
        <f>IFERROR(INDEX('1回目結果'!DP:DP,MATCH('2回目結果'!$DT28,'1回目結果'!$A:$A,0)),"")</f>
        <v>0</v>
      </c>
      <c r="ED28" s="59" t="str">
        <f>IFERROR(INDEX('1回目結果'!DQ:DQ,MATCH('2回目結果'!$DT28,'1回目結果'!$A:$A,0)),"")</f>
        <v>〇</v>
      </c>
      <c r="EE28" s="54">
        <v>1.208</v>
      </c>
      <c r="EF28" s="54">
        <v>115.89</v>
      </c>
      <c r="EG28" s="54">
        <v>1.04</v>
      </c>
      <c r="EH28" s="54">
        <v>52</v>
      </c>
      <c r="EI28" s="43" t="s">
        <v>115</v>
      </c>
      <c r="EJ28" s="44">
        <f t="shared" si="45"/>
        <v>1.5757575757575757</v>
      </c>
      <c r="EK28" s="44">
        <f>EG28/DW28</f>
        <v>1.6</v>
      </c>
      <c r="EL28">
        <f t="shared" si="46"/>
        <v>76.3</v>
      </c>
      <c r="EM28">
        <f t="shared" si="47"/>
        <v>27.1</v>
      </c>
    </row>
    <row r="29" spans="1:143" ht="15.75" hidden="1" customHeight="1">
      <c r="A29" s="1">
        <v>350</v>
      </c>
      <c r="B29" s="24" t="s">
        <v>139</v>
      </c>
      <c r="C29" s="52">
        <v>26997</v>
      </c>
      <c r="D29" s="38">
        <v>50</v>
      </c>
      <c r="E29" s="1">
        <f>IF(('2回目フォームの回答 '!C29="そうだ"),1,(IF(('2回目フォームの回答 '!C29="まぁそうだ"),2,(IF(('2回目フォームの回答 '!C29="ややちがう"),3,(IF(('2回目フォームの回答 '!C29="ちがう"),4,"")))))))</f>
        <v>3</v>
      </c>
      <c r="F29" s="1">
        <f>IF(('2回目フォームの回答 '!D29="そうだ"),1,(IF(('2回目フォームの回答 '!D29="まぁそうだ"),2,(IF(('2回目フォームの回答 '!D29="ややちがう"),3,(IF(('2回目フォームの回答 '!D29="ちがう"),4,"")))))))</f>
        <v>2</v>
      </c>
      <c r="G29" s="1">
        <f>IF(('2回目フォームの回答 '!E29="そうだ"),1,(IF(('2回目フォームの回答 '!E29="まぁそうだ"),2,(IF(('2回目フォームの回答 '!E29="ややちがう"),3,(IF(('2回目フォームの回答 '!E29="ちがう"),4,"")))))))</f>
        <v>2</v>
      </c>
      <c r="H29" s="1">
        <f>IF(('2回目フォームの回答 '!F29="そうだ"),1,(IF(('2回目フォームの回答 '!F29="まぁそうだ"),2,(IF(('2回目フォームの回答 '!F29="ややちがう"),3,(IF(('2回目フォームの回答 '!F29="ちがう"),4,"")))))))</f>
        <v>2</v>
      </c>
      <c r="I29" s="1">
        <f>IF(('2回目フォームの回答 '!G29="そうだ"),1,(IF(('2回目フォームの回答 '!G29="まぁそうだ"),2,(IF(('2回目フォームの回答 '!G29="ややちがう"),3,(IF(('2回目フォームの回答 '!G29="ちがう"),4,"")))))))</f>
        <v>2</v>
      </c>
      <c r="J29" s="1">
        <f>IF(('2回目フォームの回答 '!H29="そうだ"),1,(IF(('2回目フォームの回答 '!H29="まぁそうだ"),2,(IF(('2回目フォームの回答 '!H29="ややちがう"),3,(IF(('2回目フォームの回答 '!H29="ちがう"),4,"")))))))</f>
        <v>2</v>
      </c>
      <c r="K29" s="1">
        <f>IF(('2回目フォームの回答 '!I29="そうだ"),1,(IF(('2回目フォームの回答 '!I29="まぁそうだ"),2,(IF(('2回目フォームの回答 '!I29="ややちがう"),3,(IF(('2回目フォームの回答 '!I29="ちがう"),4,"")))))))</f>
        <v>3</v>
      </c>
      <c r="L29" s="1">
        <f>IF(('2回目フォームの回答 '!J29="そうだ"),1,(IF(('2回目フォームの回答 '!J29="まぁそうだ"),2,(IF(('2回目フォームの回答 '!J29="ややちがう"),3,(IF(('2回目フォームの回答 '!J29="ちがう"),4,"")))))))</f>
        <v>2</v>
      </c>
      <c r="M29" s="1">
        <f>IF(('2回目フォームの回答 '!K29="そうだ"),1,(IF(('2回目フォームの回答 '!K29="まぁそうだ"),2,(IF(('2回目フォームの回答 '!K29="ややちがう"),3,(IF(('2回目フォームの回答 '!K29="ちがう"),4,"")))))))</f>
        <v>2</v>
      </c>
      <c r="N29" s="1">
        <f>IF(('2回目フォームの回答 '!L29="そうだ"),1,(IF(('2回目フォームの回答 '!L29="まぁそうだ"),2,(IF(('2回目フォームの回答 '!L29="ややちがう"),3,(IF(('2回目フォームの回答 '!L29="ちがう"),4,"")))))))</f>
        <v>2</v>
      </c>
      <c r="O29" s="1">
        <f>IF(('2回目フォームの回答 '!M29="そうだ"),1,(IF(('2回目フォームの回答 '!M29="まぁそうだ"),2,(IF(('2回目フォームの回答 '!M29="ややちがう"),3,(IF(('2回目フォームの回答 '!M29="ちがう"),4,"")))))))</f>
        <v>3</v>
      </c>
      <c r="P29" s="1">
        <f>IF(('2回目フォームの回答 '!N29="そうだ"),1,(IF(('2回目フォームの回答 '!N29="まぁそうだ"),2,(IF(('2回目フォームの回答 '!N29="ややちがう"),3,(IF(('2回目フォームの回答 '!N29="ちがう"),4,"")))))))</f>
        <v>4</v>
      </c>
      <c r="Q29" s="1">
        <f>IF(('2回目フォームの回答 '!O29="そうだ"),1,(IF(('2回目フォームの回答 '!O29="まぁそうだ"),2,(IF(('2回目フォームの回答 '!O29="ややちがう"),3,(IF(('2回目フォームの回答 '!O29="ちがう"),4,"")))))))</f>
        <v>4</v>
      </c>
      <c r="R29" s="1">
        <f>IF(('2回目フォームの回答 '!P29="そうだ"),1,(IF(('2回目フォームの回答 '!P29="まぁそうだ"),2,(IF(('2回目フォームの回答 '!P29="ややちがう"),3,(IF(('2回目フォームの回答 '!P29="ちがう"),4,"")))))))</f>
        <v>2</v>
      </c>
      <c r="S29" s="1">
        <f>IF(('2回目フォームの回答 '!Q29="そうだ"),1,(IF(('2回目フォームの回答 '!Q29="まぁそうだ"),2,(IF(('2回目フォームの回答 '!Q29="ややちがう"),3,(IF(('2回目フォームの回答 '!Q29="ちがう"),4,"")))))))</f>
        <v>4</v>
      </c>
      <c r="T29" s="1">
        <f>IF(('2回目フォームの回答 '!R29="そうだ"),1,(IF(('2回目フォームの回答 '!R29="まぁそうだ"),2,(IF(('2回目フォームの回答 '!R29="ややちがう"),3,(IF(('2回目フォームの回答 '!R29="ちがう"),4,"")))))))</f>
        <v>3</v>
      </c>
      <c r="U29" s="1">
        <f>IF(('2回目フォームの回答 '!S29="そうだ"),1,(IF(('2回目フォームの回答 '!S29="まぁそうだ"),2,(IF(('2回目フォームの回答 '!S29="ややちがう"),3,(IF(('2回目フォームの回答 '!S29="ちがう"),4,"")))))))</f>
        <v>2</v>
      </c>
      <c r="V29" s="1">
        <f t="shared" si="48"/>
        <v>8</v>
      </c>
      <c r="W29" s="1">
        <f t="shared" si="11"/>
        <v>3</v>
      </c>
      <c r="X29" s="1">
        <f t="shared" si="12"/>
        <v>9</v>
      </c>
      <c r="Y29" s="1">
        <f t="shared" si="13"/>
        <v>3</v>
      </c>
      <c r="Z29" s="1">
        <f t="shared" si="14"/>
        <v>2</v>
      </c>
      <c r="AA29" s="1">
        <f t="shared" si="15"/>
        <v>3</v>
      </c>
      <c r="AB29" s="1">
        <f t="shared" si="16"/>
        <v>4</v>
      </c>
      <c r="AC29" s="1">
        <f t="shared" si="17"/>
        <v>2</v>
      </c>
      <c r="AD29" s="1">
        <f t="shared" si="18"/>
        <v>1</v>
      </c>
      <c r="AE29" s="1">
        <f t="shared" si="0"/>
        <v>2</v>
      </c>
      <c r="AF29" s="1">
        <f t="shared" si="19"/>
        <v>9</v>
      </c>
      <c r="AG29" s="1">
        <f t="shared" si="1"/>
        <v>2</v>
      </c>
      <c r="AH29" s="1">
        <f t="shared" si="20"/>
        <v>3</v>
      </c>
      <c r="AI29" s="1">
        <f t="shared" si="21"/>
        <v>3</v>
      </c>
      <c r="AJ29" s="1">
        <f t="shared" si="22"/>
        <v>2</v>
      </c>
      <c r="AK29" s="1">
        <f t="shared" si="23"/>
        <v>4</v>
      </c>
      <c r="AL29" s="1">
        <f t="shared" si="24"/>
        <v>3</v>
      </c>
      <c r="AM29" s="1">
        <f t="shared" si="25"/>
        <v>3</v>
      </c>
      <c r="AN29" s="1">
        <f>IF(('2回目フォームの回答 '!T29="ほとんどなかった"),1,(IF(('2回目フォームの回答 '!T29="ときどきあった"),2,(IF(('2回目フォームの回答 '!T29="しばしばあった"),3,(IF(('2回目フォームの回答 '!T29="ほとんどいつもあった"),4,"")))))))</f>
        <v>2</v>
      </c>
      <c r="AO29" s="1">
        <f>IF(('2回目フォームの回答 '!U29="ほとんどなかった"),1,(IF(('2回目フォームの回答 '!U29="ときどきあった"),2,(IF(('2回目フォームの回答 '!U29="しばしばあった"),3,(IF(('2回目フォームの回答 '!U29="ほとんどいつもあった"),4,"")))))))</f>
        <v>2</v>
      </c>
      <c r="AP29" s="1">
        <f>IF(('2回目フォームの回答 '!V29="ほとんどなかった"),1,(IF(('2回目フォームの回答 '!V29="ときどきあった"),2,(IF(('2回目フォームの回答 '!V29="しばしばあった"),3,(IF(('2回目フォームの回答 '!V29="ほとんどいつもあった"),4,"")))))))</f>
        <v>2</v>
      </c>
      <c r="AQ29" s="1">
        <f>IF(('2回目フォームの回答 '!W29="ほとんどなかった"),1,(IF(('2回目フォームの回答 '!W29="ときどきあった"),2,(IF(('2回目フォームの回答 '!W29="しばしばあった"),3,(IF(('2回目フォームの回答 '!W29="ほとんどいつもあった"),4,"")))))))</f>
        <v>2</v>
      </c>
      <c r="AR29" s="1">
        <f>IF(('2回目フォームの回答 '!X29="ほとんどなかった"),1,(IF(('2回目フォームの回答 '!X29="ときどきあった"),2,(IF(('2回目フォームの回答 '!X29="しばしばあった"),3,(IF(('2回目フォームの回答 '!X29="ほとんどいつもあった"),4,"")))))))</f>
        <v>3</v>
      </c>
      <c r="AS29" s="1">
        <f>IF(('2回目フォームの回答 '!Y29="ほとんどなかった"),1,(IF(('2回目フォームの回答 '!Y29="ときどきあった"),2,(IF(('2回目フォームの回答 '!Y29="しばしばあった"),3,(IF(('2回目フォームの回答 '!Y29="ほとんどいつもあった"),4,"")))))))</f>
        <v>3</v>
      </c>
      <c r="AT29" s="1">
        <f>IF(('2回目フォームの回答 '!Z29="ほとんどなかった"),1,(IF(('2回目フォームの回答 '!Z29="ときどきあった"),2,(IF(('2回目フォームの回答 '!Z29="しばしばあった"),3,(IF(('2回目フォームの回答 '!Z29="ほとんどいつもあった"),4,"")))))))</f>
        <v>4</v>
      </c>
      <c r="AU29" s="1">
        <f>IF(('2回目フォームの回答 '!AA29="ほとんどなかった"),1,(IF(('2回目フォームの回答 '!AA29="ときどきあった"),2,(IF(('2回目フォームの回答 '!AA29="しばしばあった"),3,(IF(('2回目フォームの回答 '!AA29="ほとんどいつもあった"),4,"")))))))</f>
        <v>3</v>
      </c>
      <c r="AV29" s="1">
        <f>IF(('2回目フォームの回答 '!AB29="ほとんどなかった"),1,(IF(('2回目フォームの回答 '!AB29="ときどきばあった"),2,(IF(('2回目フォームの回答 '!AB29="しばしばあった"),3,(IF(('2回目フォームの回答 '!AB29="ほとんどいつもあった"),4,"")))))))</f>
        <v>4</v>
      </c>
      <c r="AW29" s="1">
        <f>IF(('2回目フォームの回答 '!AC29="ほとんどなかった"),1,(IF(('2回目フォームの回答 '!AC29="ときどきあった"),2,(IF(('2回目フォームの回答 '!AC29="しばしばあった"),3,(IF(('2回目フォームの回答 '!AC29="ほとんどいつもあった"),4,"")))))))</f>
        <v>2</v>
      </c>
      <c r="AX29" s="1">
        <f>IF(('2回目フォームの回答 '!AD29="ほとんどなかった"),1,(IF(('2回目フォームの回答 '!AD29="ときどきあった"),2,(IF(('2回目フォームの回答 '!AD29="しばしばあった"),3,(IF(('2回目フォームの回答 '!AD29="ほとんどいつもあった"),4,"")))))))</f>
        <v>3</v>
      </c>
      <c r="AY29" s="1">
        <f>IF(('2回目フォームの回答 '!AE29="ほとんどなかった"),1,(IF(('2回目フォームの回答 '!AE29="ときどきあった"),2,(IF(('2回目フォームの回答 '!AE29="しばしばあった"),3,(IF(('2回目フォームの回答 '!AE29="ほとんどいつもあった"),4,"")))))))</f>
        <v>1</v>
      </c>
      <c r="AZ29" s="1">
        <f>IF(('2回目フォームの回答 '!AF29="ほとんどなかった"),1,(IF(('2回目フォームの回答 '!AF29="ときどきあった"),2,(IF(('2回目フォームの回答 '!AF29="しばしばあった"),3,(IF(('2回目フォームの回答 '!AF29="ほとんどいつもあった"),4,"")))))))</f>
        <v>2</v>
      </c>
      <c r="BA29" s="1">
        <f>IF(('2回目フォームの回答 '!AG29="ほとんどなかった"),1,(IF(('2回目フォームの回答 '!AG29="ときどきあった"),2,(IF(('2回目フォームの回答 '!AG29="しばしばあった"),3,(IF(('2回目フォームの回答 '!AG29="ほとんどいつもあった"),4,"")))))))</f>
        <v>3</v>
      </c>
      <c r="BB29" s="1">
        <f>IF(('2回目フォームの回答 '!AH29="ほとんどなかった"),1,(IF(('2回目フォームの回答 '!AH29="ときどきあった"),2,(IF(('2回目フォームの回答 '!AH29="しばしばあった"),3,(IF(('2回目フォームの回答 '!AH29="ほとんどいつもあった"),4,"")))))))</f>
        <v>3</v>
      </c>
      <c r="BC29" s="1">
        <f>IF(('2回目フォームの回答 '!AI29="ほとんどなかった"),1,(IF(('2回目フォームの回答 '!AI29="ときどきあった"),2,(IF(('2回目フォームの回答 '!AI29="しばしばあった"),3,(IF(('2回目フォームの回答 '!AI29="ほとんどいつもあった"),4,"")))))))</f>
        <v>2</v>
      </c>
      <c r="BD29" s="1">
        <f>IF(('2回目フォームの回答 '!AJ29="ほとんどなかった"),1,(IF(('2回目フォームの回答 '!AJ29="ときどきあった"),2,(IF(('2回目フォームの回答 '!AJ29="しばしばあった"),3,(IF(('2回目フォームの回答 '!AJ29="ほとんどいつもあった"),4,"")))))))</f>
        <v>3</v>
      </c>
      <c r="BE29" s="1">
        <f>IF(('2回目フォームの回答 '!AK29="ほとんどなかった"),1,(IF(('2回目フォームの回答 '!AK29="ときどきあった"),2,(IF(('2回目フォームの回答 '!AK29="しばしばあった"),3,(IF(('2回目フォームの回答 '!AK29="ほとんどいつもあった"),4,"")))))))</f>
        <v>1</v>
      </c>
      <c r="BF29" s="1">
        <f>IF(('2回目フォームの回答 '!AL29="ほとんどなかった"),1,(IF(('2回目フォームの回答 '!AL29="ときどきあった"),2,(IF(('2回目フォームの回答 '!AL29="しばしばあった"),3,(IF(('2回目フォームの回答 '!AL29="ほとんどいつもあった"),4,"")))))))</f>
        <v>1</v>
      </c>
      <c r="BG29" s="1">
        <f>IF(('2回目フォームの回答 '!AM29="ほとんどなかった"),1,(IF(('2回目フォームの回答 '!AM29="ときどきあった"),2,(IF(('2回目フォームの回答 '!AM29="しばしばあった"),3,(IF(('2回目フォームの回答 '!AM29="ほとんどいつもあった"),4,"")))))))</f>
        <v>3</v>
      </c>
      <c r="BH29" s="1">
        <f>IF(('2回目フォームの回答 '!AN29="ほとんどなかった"),1,(IF(('2回目フォームの回答 '!AN29="ときどきあった"),2,(IF(('2回目フォームの回答 '!AN29="しばしばあった"),3,(IF(('2回目フォームの回答 '!AN29="ほとんどいつもあった"),4,"")))))))</f>
        <v>2</v>
      </c>
      <c r="BI29" s="1">
        <f>IF(('2回目フォームの回答 '!AO29="ほとんどなかった"),1,(IF(('2回目フォームの回答 '!AO29="ときどきあった"),2,(IF(('2回目フォームの回答 '!AO29="しばしばあった"),3,(IF(('2回目フォームの回答 '!AO29="ほとんどいつもあった"),4,"")))))))</f>
        <v>1</v>
      </c>
      <c r="BJ29" s="1">
        <f>IF(('2回目フォームの回答 '!AP29="ほとんどなかった"),1,(IF(('2回目フォームの回答 '!AP29="ときどきあった"),2,(IF(('2回目フォームの回答 '!AP29="しばしばあった"),3,(IF(('2回目フォームの回答 '!AP29="ほとんどいつもあった"),4,"")))))))</f>
        <v>3</v>
      </c>
      <c r="BK29" s="1">
        <f>IF(('2回目フォームの回答 '!AQ29="ほとんどなかった"),1,(IF(('2回目フォームの回答 '!AQ29="ときどきあった"),2,(IF(('2回目フォームの回答 '!AQ29="しばしばあった"),3,(IF(('2回目フォームの回答 '!AQ29="ほとんどいつもあった"),4,"")))))))</f>
        <v>2</v>
      </c>
      <c r="BL29" s="1">
        <f>IF(('2回目フォームの回答 '!AR29="ほとんどなかった"),1,(IF(('2回目フォームの回答 '!AR29="ときどきあった"),2,(IF(('2回目フォームの回答 '!AR29="しばしばあった"),3,(IF(('2回目フォームの回答 '!AR29="ほとんどいつもあった"),4,"")))))))</f>
        <v>3</v>
      </c>
      <c r="BM29" s="1">
        <f>IF(('2回目フォームの回答 '!AS29="ほとんどなかった"),1,(IF(('2回目フォームの回答 '!AS29="ときどきあった"),2,(IF(('2回目フォームの回答 '!AS29="しばしばあった"),3,(IF(('2回目フォームの回答 '!AS29="ほとんどいつもあった"),4,"")))))))</f>
        <v>2</v>
      </c>
      <c r="BN29" s="1">
        <f>IF(('2回目フォームの回答 '!AT29="ほとんどなかった"),1,(IF(('2回目フォームの回答 '!AT29="ときどきあった"),2,(IF(('2回目フォームの回答 '!AT29="しばしばあった"),3,(IF(('2回目フォームの回答 '!AT29="ほとんどいつもあった"),4,"")))))))</f>
        <v>1</v>
      </c>
      <c r="BO29" s="1">
        <f>IF(('2回目フォームの回答 '!AU29="ほとんどなかった"),1,(IF(('2回目フォームの回答 '!AU29="ときどきあった"),2,(IF(('2回目フォームの回答 '!AU29="しばしばあった"),3,(IF(('2回目フォームの回答 '!AU29="ほとんどいつもあった"),4,"")))))))</f>
        <v>1</v>
      </c>
      <c r="BP29" s="1">
        <f>IF(('2回目フォームの回答 '!AV29="ほとんどなかった"),1,(IF(('2回目フォームの回答 '!AV29="ときどきあった"),2,(IF(('2回目フォームの回答 '!AV29="しばしばあった"),3,(IF(('2回目フォームの回答 '!AV29="ほとんどいつもあった"),4,"")))))))</f>
        <v>1</v>
      </c>
      <c r="BQ29" s="1">
        <f t="shared" si="26"/>
        <v>6</v>
      </c>
      <c r="BR29" s="1">
        <f t="shared" si="27"/>
        <v>3</v>
      </c>
      <c r="BS29" s="1">
        <f t="shared" si="28"/>
        <v>8</v>
      </c>
      <c r="BT29" s="1">
        <f t="shared" si="2"/>
        <v>4</v>
      </c>
      <c r="BU29" s="1">
        <f t="shared" si="3"/>
        <v>11</v>
      </c>
      <c r="BV29" s="1">
        <f t="shared" si="4"/>
        <v>5</v>
      </c>
      <c r="BW29" s="1">
        <f t="shared" si="29"/>
        <v>6</v>
      </c>
      <c r="BX29" s="1">
        <f t="shared" si="5"/>
        <v>3</v>
      </c>
      <c r="BY29" s="1">
        <f t="shared" si="30"/>
        <v>14</v>
      </c>
      <c r="BZ29" s="1">
        <f t="shared" si="6"/>
        <v>4</v>
      </c>
      <c r="CA29" s="1">
        <f t="shared" si="31"/>
        <v>20</v>
      </c>
      <c r="CB29" s="1">
        <f t="shared" si="32"/>
        <v>3</v>
      </c>
      <c r="CC29" s="1">
        <f>IF(('2回目フォームの回答 '!AW29="非常に"),1,(IF(('2回目フォームの回答 '!AW29="かなり"),2,(IF(('2回目フォームの回答 '!AW29="多少"),3,(IF(('2回目フォームの回答 '!AW29="全くない"),4,"")))))))</f>
        <v>3</v>
      </c>
      <c r="CD29" s="1">
        <f>IF(('2回目フォームの回答 '!AX29="非常に"),1,(IF(('2回目フォームの回答 '!AX29="かなり"),2,(IF(('2回目フォームの回答 '!AX29="多少"),3,(IF(('2回目フォームの回答 '!AX29="全くない"),4,"")))))))</f>
        <v>3</v>
      </c>
      <c r="CE29" s="1">
        <f>IF(('2回目フォームの回答 '!AY29="非常に"),1,(IF(('2回目フォームの回答 '!AY29="かなり"),2,(IF(('2回目フォームの回答 '!AY29="多少"),3,(IF(('2回目フォームの回答 '!AY29="全くない"),4,"")))))))</f>
        <v>3</v>
      </c>
      <c r="CF29" s="1">
        <f>IF(('2回目フォームの回答 '!AZ29="非常に"),1,(IF(('2回目フォームの回答 '!AZ29="かなり"),2,(IF(('2回目フォームの回答 '!AZ29="多少"),3,(IF(('2回目フォームの回答 '!AZ29="全くない"),4,"")))))))</f>
        <v>3</v>
      </c>
      <c r="CG29" s="1">
        <f>IF(('2回目フォームの回答 '!BA29="非常に"),1,(IF(('2回目フォームの回答 '!BA29="かなり"),2,(IF(('2回目フォームの回答 '!BA29="多少"),3,(IF(('2回目フォームの回答 '!BA29="全くない"),4,"")))))))</f>
        <v>3</v>
      </c>
      <c r="CH29" s="1">
        <f>IF(('2回目フォームの回答 '!BB29="非常に"),1,(IF(('2回目フォームの回答 '!BB29="かなり"),2,(IF(('2回目フォームの回答 '!BB29="多少"),3,(IF(('2回目フォームの回答 '!BB29="全くない"),4,"")))))))</f>
        <v>3</v>
      </c>
      <c r="CI29" s="1">
        <f>IF(('2回目フォームの回答 '!BC29="非常に"),1,(IF(('2回目フォームの回答 '!BC29="かなり"),2,(IF(('2回目フォームの回答 '!BC29="多少"),3,(IF(('2回目フォームの回答 '!BC29="全くない"),4,"")))))))</f>
        <v>3</v>
      </c>
      <c r="CJ29" s="1">
        <f>IF(('2回目フォームの回答 '!BD29="非常に"),1,(IF(('2回目フォームの回答 '!BD29="かなり"),2,(IF(('2回目フォームの回答 '!BD29="多少"),3,(IF(('2回目フォームの回答 '!BD29="全くない"),4,"")))))))</f>
        <v>3</v>
      </c>
      <c r="CK29" s="1">
        <f>IF(('2回目フォームの回答 '!BE29="非常に"),1,(IF(('2回目フォームの回答 '!BE29="かなり"),2,(IF(('2回目フォームの回答 '!BE29="多少"),3,(IF(('2回目フォームの回答 '!BE29="全くない"),4,"")))))))</f>
        <v>3</v>
      </c>
      <c r="CL29" s="1">
        <f>IF(('2回目フォームの回答 '!BF29="満足"),1,(IF(('2回目フォームの回答 '!BF29="まぁ満足"),2,(IF(('2回目フォームの回答 '!BF29="やや満足"),3,(IF(('2回目フォームの回答 '!BF29="不満足"),4,"")))))))</f>
        <v>2</v>
      </c>
      <c r="CM29" s="1">
        <f>IF(('2回目フォームの回答 '!BG29="満足"),1,(IF(('2回目フォームの回答 '!BG29="まぁ満足"),2,(IF(('2回目フォームの回答 '!BG29="やや満足"),3,(IF(('2回目フォームの回答 '!BG29="不満足"),4,"")))))))</f>
        <v>2</v>
      </c>
      <c r="CN29" s="1">
        <f t="shared" si="33"/>
        <v>6</v>
      </c>
      <c r="CO29" s="1">
        <f t="shared" si="7"/>
        <v>4</v>
      </c>
      <c r="CP29" s="1">
        <f t="shared" si="34"/>
        <v>6</v>
      </c>
      <c r="CQ29" s="1">
        <f t="shared" si="8"/>
        <v>4</v>
      </c>
      <c r="CR29" s="1">
        <f t="shared" si="35"/>
        <v>6</v>
      </c>
      <c r="CS29" s="1">
        <f t="shared" si="36"/>
        <v>5</v>
      </c>
      <c r="CT29" s="1">
        <f t="shared" si="37"/>
        <v>6</v>
      </c>
      <c r="CU29" s="1">
        <f t="shared" si="9"/>
        <v>3</v>
      </c>
      <c r="CV29" s="1">
        <f t="shared" si="38"/>
        <v>22</v>
      </c>
      <c r="CW29" s="1">
        <f t="shared" si="39"/>
        <v>25</v>
      </c>
      <c r="CX29" s="1">
        <f t="shared" si="10"/>
        <v>13</v>
      </c>
      <c r="CY29" s="29" t="str">
        <f t="shared" si="40"/>
        <v>中①</v>
      </c>
      <c r="CZ29" s="1">
        <f>'2回目フォームの回答 '!BH29</f>
        <v>0.7</v>
      </c>
      <c r="DA29" s="2">
        <f t="shared" si="41"/>
        <v>0.30000000000000004</v>
      </c>
      <c r="DB29" s="1">
        <f>IF(('2回目フォームの回答 '!BI29="いつもより寝つきは良い"),0,(IF(('2回目フォームの回答 '!BI29="いつもより少し時間がかかった"),1,(IF(('2回目フォームの回答 '!BI29="いつもよりかなり時間がかかった"),2,(IF(('2回目フォームの回答 '!BI29="いつもより非常に時間がかかった、あるいは全く眠れなかった"),3,"")))))))</f>
        <v>1</v>
      </c>
      <c r="DC29" s="1">
        <f>IF(('2回目フォームの回答 '!BJ29="問題になるほどのことはなかった"),0,(IF(('2回目フォームの回答 '!BJ29="少し困ることがある"),1,(IF(('2回目フォームの回答 '!BJ29="かなり困っている"),2,(IF(('2回目フォームの回答 '!BJ29="深刻な状態、あるいは全く眠れなかった"),3,"")))))))</f>
        <v>1</v>
      </c>
      <c r="DD29" s="1">
        <f>IF(('2回目フォームの回答 '!BK29="そのようなことはなかった"),0,(IF(('2回目フォームの回答 '!BK29="少し早かった"),1,(IF(('2回目フォームの回答 '!BK29="かなり早かった"),2,(IF(('2回目フォームの回答 '!BK29="非常に早かった、あるいは全く眠れなかった"),3,"")))))))</f>
        <v>1</v>
      </c>
      <c r="DE29" s="1">
        <f>IF(('2回目フォームの回答 '!BL29="十分である"),0,(IF(('2回目フォームの回答 '!BL29="少し足りない"),1,(IF(('2回目フォームの回答 '!BL29="かなり足りない"),2,(IF(('2回目フォームの回答 '!BL29="全く足りない、あるいは全く眠れなかった"),3,"")))))))</f>
        <v>1</v>
      </c>
      <c r="DF29" s="1">
        <f>IF(('2回目フォームの回答 '!BM29="満足している"),0,(IF(('2回目フォームの回答 '!BM29="少し不満である"),1,(IF(('2回目フォームの回答 '!BM29="かなり不満である"),2,(IF(('2回目フォームの回答 '!BM29="非常に不満である、あるいは全く眠れなかった"),3,"")))))))</f>
        <v>0</v>
      </c>
      <c r="DG29" s="1">
        <f>IF(('2回目フォームの回答 '!BN29="いつもどおり"),0,(IF(('2回目フォームの回答 '!BN29="少し滅入った"),1,(IF(('2回目フォームの回答 '!BN29="かなり滅入った"),2,(IF(('2回目フォームの回答 '!BN29="非常に滅入った"),3,"")))))))</f>
        <v>0</v>
      </c>
      <c r="DH29" s="1">
        <f>IF(('2回目フォームの回答 '!BO29="いつもどおり"),0,(IF(('2回目フォームの回答 '!BO29="少し低下した"),1,(IF(('2回目フォームの回答 '!BO29="かなり低下した"),2,(IF(('2回目フォームの回答 '!BO29="非常に低下した"),3,"")))))))</f>
        <v>0</v>
      </c>
      <c r="DI29" s="1">
        <f>IF(('2回目フォームの回答 '!BP29="全くなかった"),0,(IF(('2回目フォームの回答 '!BP29="少しあった"),1,(IF(('2回目フォームの回答 '!BP29="かなりあった"),2,(IF(('2回目フォームの回答 '!BP29="激しかった"),3,"")))))))</f>
        <v>1</v>
      </c>
      <c r="DJ29">
        <f t="shared" si="42"/>
        <v>5</v>
      </c>
      <c r="DK29" s="4" t="str">
        <f t="shared" si="43"/>
        <v>中</v>
      </c>
      <c r="DL29" s="5">
        <v>31.1</v>
      </c>
      <c r="DM29" s="5">
        <v>19.5</v>
      </c>
      <c r="DN29" s="5">
        <v>15.1</v>
      </c>
      <c r="DO29" s="5">
        <f t="shared" si="44"/>
        <v>65.7</v>
      </c>
      <c r="DP29" s="5" t="s">
        <v>200</v>
      </c>
      <c r="DQ29" s="5"/>
      <c r="DR29" s="5"/>
      <c r="DS29" s="71">
        <v>0.29166666666666669</v>
      </c>
      <c r="DT29" s="66">
        <v>301</v>
      </c>
      <c r="DU29" s="59">
        <f>INDEX('1回目結果'!DR:DR,MATCH($DT29,'1回目結果'!$A:$A,0))</f>
        <v>0.35599999999999998</v>
      </c>
      <c r="DV29" s="59">
        <f>INDEX('1回目結果'!DS:DS,MATCH($DT29,'1回目結果'!$A:$A,0))</f>
        <v>69.150000000000006</v>
      </c>
      <c r="DW29" s="59">
        <f>INDEX('1回目結果'!DT:DT,MATCH($DT29,'1回目結果'!$A:$A,0))</f>
        <v>0.51</v>
      </c>
      <c r="DX29" s="59">
        <f>INDEX('1回目結果'!DU:DU,MATCH($DT29,'1回目結果'!$A:$A,0))</f>
        <v>10</v>
      </c>
      <c r="DY29" s="59">
        <f>IFERROR(INDEX('1回目結果'!DL:DL,MATCH('2回目結果'!$DT29,'1回目結果'!$A:$A,0)),"")</f>
        <v>16.7</v>
      </c>
      <c r="DZ29" s="59">
        <f>IFERROR(INDEX('1回目結果'!DM:DM,MATCH('2回目結果'!$DT29,'1回目結果'!$A:$A,0)),"")</f>
        <v>22</v>
      </c>
      <c r="EA29" s="59">
        <f>IFERROR(INDEX('1回目結果'!DN:DN,MATCH('2回目結果'!$DT29,'1回目結果'!$A:$A,0)),"")</f>
        <v>43.7</v>
      </c>
      <c r="EB29" s="59">
        <f>IFERROR(INDEX('1回目結果'!DO:DO,MATCH('2回目結果'!$DT29,'1回目結果'!$A:$A,0)),"")</f>
        <v>82.4</v>
      </c>
      <c r="EC29" s="59">
        <f>IFERROR(INDEX('1回目結果'!DP:DP,MATCH('2回目結果'!$DT29,'1回目結果'!$A:$A,0)),"")</f>
        <v>0</v>
      </c>
      <c r="ED29" s="59" t="str">
        <f>IFERROR(INDEX('1回目結果'!DQ:DQ,MATCH('2回目結果'!$DT29,'1回目結果'!$A:$A,0)),"")</f>
        <v>〇</v>
      </c>
      <c r="EE29" s="54">
        <v>0.38400000000000001</v>
      </c>
      <c r="EF29" s="54">
        <v>12.49</v>
      </c>
      <c r="EG29" s="54">
        <v>3.07</v>
      </c>
      <c r="EH29" s="54">
        <v>10</v>
      </c>
      <c r="EI29" s="43" t="s">
        <v>115</v>
      </c>
      <c r="EJ29" s="44">
        <f t="shared" si="45"/>
        <v>1</v>
      </c>
      <c r="EK29" s="44"/>
      <c r="EL29">
        <f t="shared" si="46"/>
        <v>-16.700000000000003</v>
      </c>
      <c r="EM29">
        <f t="shared" si="47"/>
        <v>-28.6</v>
      </c>
    </row>
    <row r="30" spans="1:143">
      <c r="D30" s="33"/>
    </row>
    <row r="31" spans="1:143">
      <c r="D31" s="37"/>
    </row>
    <row r="33" spans="4:4" ht="14">
      <c r="D33" s="39"/>
    </row>
  </sheetData>
  <autoFilter ref="A1:EJ29" xr:uid="{ECD0ECC5-690B-4F8B-A784-0F1920FDFEF6}">
    <filterColumn colId="137">
      <filters>
        <filter val="27"/>
        <filter val="30"/>
        <filter val="34"/>
        <filter val="38"/>
        <filter val="40"/>
        <filter val="42"/>
        <filter val="43"/>
        <filter val="44"/>
        <filter val="47"/>
        <filter val="49"/>
        <filter val="50"/>
        <filter val="51"/>
        <filter val="52"/>
        <filter val="54"/>
        <filter val="55"/>
        <filter val="57"/>
        <filter val="61"/>
        <filter val="65"/>
        <filter val="68"/>
        <filter val="77"/>
        <filter val="78"/>
        <filter val="81"/>
      </filters>
    </filterColumn>
  </autoFilter>
  <phoneticPr fontId="8"/>
  <conditionalFormatting sqref="B2:B29">
    <cfRule type="containsText" dxfId="14" priority="5" operator="containsText" text="female">
      <formula>NOT(ISERROR(SEARCH("female",B2)))</formula>
    </cfRule>
  </conditionalFormatting>
  <conditionalFormatting sqref="CY2:CY29">
    <cfRule type="containsText" dxfId="13" priority="4" operator="containsText" text="高">
      <formula>NOT(ISERROR(SEARCH("高",CY2)))</formula>
    </cfRule>
  </conditionalFormatting>
  <conditionalFormatting sqref="DK2:DK29">
    <cfRule type="containsText" dxfId="12" priority="6" operator="containsText" text="中">
      <formula>NOT(ISERROR(SEARCH("中",DK2)))</formula>
    </cfRule>
    <cfRule type="containsText" dxfId="11" priority="7" operator="containsText" text="高">
      <formula>NOT(ISERROR(SEARCH("高",DK2)))</formula>
    </cfRule>
    <cfRule type="containsText" dxfId="10" priority="8" operator="containsText" text="低">
      <formula>NOT(ISERROR(SEARCH("低",DK2)))</formula>
    </cfRule>
  </conditionalFormatting>
  <conditionalFormatting sqref="EI1:EI1048576">
    <cfRule type="containsText" dxfId="9" priority="3" operator="containsText" text="メンタルアラートあり（+）">
      <formula>NOT(ISERROR(SEARCH("メンタルアラートあり（+）",EI1)))</formula>
    </cfRule>
  </conditionalFormatting>
  <conditionalFormatting sqref="EJ2:EK29">
    <cfRule type="cellIs" dxfId="8" priority="2" operator="greaterThan">
      <formula>1</formula>
    </cfRule>
  </conditionalFormatting>
  <conditionalFormatting sqref="EL2:EM29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5CB6-00DD-4752-A5A6-5CBDFB8F6F99}">
  <dimension ref="A1:AQ29"/>
  <sheetViews>
    <sheetView topLeftCell="A23" workbookViewId="0">
      <selection activeCell="B2" sqref="B2"/>
    </sheetView>
  </sheetViews>
  <sheetFormatPr baseColWidth="10" defaultColWidth="8.83203125" defaultRowHeight="13"/>
  <sheetData>
    <row r="1" spans="1:43" ht="14">
      <c r="A1" s="31" t="s">
        <v>228</v>
      </c>
    </row>
    <row r="2" spans="1:43" ht="14">
      <c r="B2" s="69" t="s">
        <v>332</v>
      </c>
      <c r="D2" s="31" t="s">
        <v>332</v>
      </c>
      <c r="F2" s="31" t="s">
        <v>333</v>
      </c>
      <c r="G2" s="31" t="s">
        <v>339</v>
      </c>
      <c r="I2" s="31" t="s">
        <v>334</v>
      </c>
      <c r="K2" s="31" t="s">
        <v>335</v>
      </c>
      <c r="M2" s="31" t="s">
        <v>121</v>
      </c>
      <c r="O2" s="31" t="s">
        <v>336</v>
      </c>
      <c r="Q2" s="33" t="s">
        <v>123</v>
      </c>
      <c r="S2" s="31" t="s">
        <v>124</v>
      </c>
      <c r="U2" s="31" t="s">
        <v>337</v>
      </c>
      <c r="W2" s="33" t="s">
        <v>126</v>
      </c>
      <c r="Y2" s="31" t="s">
        <v>127</v>
      </c>
      <c r="AA2" s="31" t="s">
        <v>128</v>
      </c>
      <c r="AC2" s="31" t="s">
        <v>129</v>
      </c>
      <c r="AE2" s="31" t="s">
        <v>130</v>
      </c>
      <c r="AF2" s="31" t="s">
        <v>338</v>
      </c>
      <c r="AH2" s="31" t="s">
        <v>136</v>
      </c>
      <c r="AJ2" s="31" t="s">
        <v>132</v>
      </c>
      <c r="AL2" s="31" t="s">
        <v>133</v>
      </c>
      <c r="AN2" s="84" t="s">
        <v>134</v>
      </c>
      <c r="AO2" s="31" t="s">
        <v>340</v>
      </c>
      <c r="AQ2" s="31" t="s">
        <v>135</v>
      </c>
    </row>
    <row r="3" spans="1:43">
      <c r="A3">
        <v>1.61</v>
      </c>
      <c r="B3">
        <v>4</v>
      </c>
      <c r="C3">
        <v>1.61</v>
      </c>
      <c r="D3">
        <v>10</v>
      </c>
      <c r="E3">
        <v>1.61</v>
      </c>
      <c r="F3">
        <v>3</v>
      </c>
      <c r="G3">
        <v>9</v>
      </c>
      <c r="H3">
        <v>1.61</v>
      </c>
      <c r="I3">
        <v>2</v>
      </c>
      <c r="J3">
        <v>1.61</v>
      </c>
      <c r="K3">
        <v>2</v>
      </c>
      <c r="L3">
        <v>1.61</v>
      </c>
      <c r="M3">
        <v>3</v>
      </c>
      <c r="N3">
        <v>1.61</v>
      </c>
      <c r="O3">
        <v>2</v>
      </c>
      <c r="P3">
        <v>1.61</v>
      </c>
      <c r="Q3">
        <v>4</v>
      </c>
      <c r="R3">
        <v>1.61</v>
      </c>
      <c r="S3">
        <v>4</v>
      </c>
      <c r="T3">
        <v>1.61</v>
      </c>
      <c r="U3">
        <v>4</v>
      </c>
      <c r="V3">
        <v>1.61</v>
      </c>
      <c r="W3">
        <v>4</v>
      </c>
      <c r="X3">
        <v>1.61</v>
      </c>
      <c r="Y3">
        <v>3</v>
      </c>
      <c r="Z3">
        <v>1.61</v>
      </c>
      <c r="AA3">
        <v>4</v>
      </c>
      <c r="AB3">
        <v>1.61</v>
      </c>
      <c r="AC3">
        <v>3</v>
      </c>
      <c r="AD3">
        <v>1.61</v>
      </c>
      <c r="AE3">
        <v>4</v>
      </c>
      <c r="AF3">
        <v>15</v>
      </c>
      <c r="AG3">
        <v>1.61</v>
      </c>
      <c r="AH3">
        <v>3</v>
      </c>
      <c r="AI3">
        <v>1.61</v>
      </c>
      <c r="AJ3">
        <v>2</v>
      </c>
      <c r="AK3">
        <v>1.61</v>
      </c>
      <c r="AL3">
        <v>4</v>
      </c>
      <c r="AM3">
        <v>1.61</v>
      </c>
      <c r="AN3">
        <v>4</v>
      </c>
      <c r="AO3">
        <v>7</v>
      </c>
      <c r="AP3">
        <v>1.61</v>
      </c>
      <c r="AQ3">
        <v>4</v>
      </c>
    </row>
    <row r="4" spans="1:43">
      <c r="A4">
        <v>0.59</v>
      </c>
      <c r="B4">
        <v>3</v>
      </c>
      <c r="C4">
        <v>0.59</v>
      </c>
      <c r="D4">
        <v>9</v>
      </c>
      <c r="E4">
        <v>0.59</v>
      </c>
      <c r="F4">
        <v>4</v>
      </c>
      <c r="G4">
        <v>10</v>
      </c>
      <c r="H4">
        <v>0.59</v>
      </c>
      <c r="I4">
        <v>2</v>
      </c>
      <c r="J4">
        <v>0.59</v>
      </c>
      <c r="K4">
        <v>3</v>
      </c>
      <c r="L4">
        <v>0.59</v>
      </c>
      <c r="M4">
        <v>4</v>
      </c>
      <c r="N4">
        <v>0.59</v>
      </c>
      <c r="O4">
        <v>3</v>
      </c>
      <c r="P4">
        <v>0.59</v>
      </c>
      <c r="Q4">
        <v>3</v>
      </c>
      <c r="R4">
        <v>0.59</v>
      </c>
      <c r="S4">
        <v>3</v>
      </c>
      <c r="T4">
        <v>0.59</v>
      </c>
      <c r="U4">
        <v>3</v>
      </c>
      <c r="V4">
        <v>0.59</v>
      </c>
      <c r="W4">
        <v>3</v>
      </c>
      <c r="X4">
        <v>0.59</v>
      </c>
      <c r="Y4">
        <v>3</v>
      </c>
      <c r="Z4">
        <v>0.59</v>
      </c>
      <c r="AA4">
        <v>4</v>
      </c>
      <c r="AB4">
        <v>0.59</v>
      </c>
      <c r="AC4">
        <v>3</v>
      </c>
      <c r="AD4">
        <v>0.59</v>
      </c>
      <c r="AE4">
        <v>3</v>
      </c>
      <c r="AF4">
        <v>12</v>
      </c>
      <c r="AG4">
        <v>0.59</v>
      </c>
      <c r="AH4">
        <v>4</v>
      </c>
      <c r="AI4">
        <v>0.59</v>
      </c>
      <c r="AJ4">
        <v>2</v>
      </c>
      <c r="AK4">
        <v>0.59</v>
      </c>
      <c r="AL4">
        <v>3</v>
      </c>
      <c r="AM4">
        <v>0.59</v>
      </c>
      <c r="AN4">
        <v>3</v>
      </c>
      <c r="AO4">
        <v>9</v>
      </c>
      <c r="AP4">
        <v>0.59</v>
      </c>
      <c r="AQ4">
        <v>3</v>
      </c>
    </row>
    <row r="5" spans="1:43">
      <c r="A5">
        <v>0.53</v>
      </c>
      <c r="B5">
        <v>3</v>
      </c>
      <c r="C5">
        <v>0.53</v>
      </c>
      <c r="D5">
        <v>7</v>
      </c>
      <c r="E5">
        <v>0.53</v>
      </c>
      <c r="F5">
        <v>3</v>
      </c>
      <c r="G5">
        <v>7</v>
      </c>
      <c r="H5">
        <v>0.53</v>
      </c>
      <c r="I5">
        <v>2</v>
      </c>
      <c r="J5">
        <v>0.53</v>
      </c>
      <c r="K5">
        <v>3</v>
      </c>
      <c r="L5">
        <v>0.53</v>
      </c>
      <c r="M5">
        <v>4</v>
      </c>
      <c r="N5">
        <v>0.53</v>
      </c>
      <c r="O5">
        <v>2</v>
      </c>
      <c r="P5">
        <v>0.53</v>
      </c>
      <c r="Q5">
        <v>3</v>
      </c>
      <c r="R5">
        <v>0.53</v>
      </c>
      <c r="S5">
        <v>4</v>
      </c>
      <c r="T5">
        <v>0.53</v>
      </c>
      <c r="U5">
        <v>4</v>
      </c>
      <c r="V5">
        <v>0.53</v>
      </c>
      <c r="W5">
        <v>3</v>
      </c>
      <c r="X5">
        <v>0.53</v>
      </c>
      <c r="Y5">
        <v>4</v>
      </c>
      <c r="Z5">
        <v>0.53</v>
      </c>
      <c r="AA5">
        <v>5</v>
      </c>
      <c r="AB5">
        <v>0.53</v>
      </c>
      <c r="AC5">
        <v>4</v>
      </c>
      <c r="AD5">
        <v>0.53</v>
      </c>
      <c r="AE5">
        <v>3</v>
      </c>
      <c r="AF5">
        <v>12</v>
      </c>
      <c r="AG5">
        <v>0.53</v>
      </c>
      <c r="AH5">
        <v>4</v>
      </c>
      <c r="AI5">
        <v>0.53</v>
      </c>
      <c r="AJ5">
        <v>3</v>
      </c>
      <c r="AK5">
        <v>0.53</v>
      </c>
      <c r="AL5">
        <v>2</v>
      </c>
      <c r="AM5">
        <v>0.53</v>
      </c>
      <c r="AN5">
        <v>1</v>
      </c>
      <c r="AO5">
        <v>12</v>
      </c>
      <c r="AP5">
        <v>0.53</v>
      </c>
      <c r="AQ5">
        <v>3</v>
      </c>
    </row>
    <row r="6" spans="1:43">
      <c r="A6">
        <v>0.99</v>
      </c>
      <c r="B6">
        <v>3</v>
      </c>
      <c r="C6">
        <v>0.99</v>
      </c>
      <c r="D6">
        <v>9</v>
      </c>
      <c r="E6">
        <v>0.99</v>
      </c>
      <c r="F6">
        <v>3</v>
      </c>
      <c r="G6">
        <v>9</v>
      </c>
      <c r="H6">
        <v>0.99</v>
      </c>
      <c r="I6">
        <v>3</v>
      </c>
      <c r="J6">
        <v>0.99</v>
      </c>
      <c r="K6">
        <v>3</v>
      </c>
      <c r="L6">
        <v>0.99</v>
      </c>
      <c r="M6">
        <v>2</v>
      </c>
      <c r="N6">
        <v>0.99</v>
      </c>
      <c r="O6">
        <v>1</v>
      </c>
      <c r="P6">
        <v>0.99</v>
      </c>
      <c r="Q6">
        <v>2</v>
      </c>
      <c r="R6">
        <v>0.99</v>
      </c>
      <c r="S6">
        <v>1</v>
      </c>
      <c r="T6">
        <v>0.99</v>
      </c>
      <c r="U6">
        <v>1</v>
      </c>
      <c r="V6">
        <v>0.99</v>
      </c>
      <c r="W6">
        <v>1</v>
      </c>
      <c r="X6">
        <v>0.99</v>
      </c>
      <c r="Y6">
        <v>3</v>
      </c>
      <c r="Z6">
        <v>0.99</v>
      </c>
      <c r="AA6">
        <v>2</v>
      </c>
      <c r="AB6">
        <v>0.99</v>
      </c>
      <c r="AC6">
        <v>3</v>
      </c>
      <c r="AD6">
        <v>0.99</v>
      </c>
      <c r="AE6">
        <v>3</v>
      </c>
      <c r="AF6">
        <v>9</v>
      </c>
      <c r="AG6">
        <v>0.99</v>
      </c>
      <c r="AH6">
        <v>2</v>
      </c>
      <c r="AI6">
        <v>0.99</v>
      </c>
      <c r="AJ6">
        <v>2</v>
      </c>
      <c r="AK6">
        <v>0.99</v>
      </c>
      <c r="AL6">
        <v>3</v>
      </c>
      <c r="AM6">
        <v>0.99</v>
      </c>
      <c r="AN6">
        <v>3</v>
      </c>
      <c r="AO6">
        <v>9</v>
      </c>
      <c r="AP6">
        <v>0.99</v>
      </c>
      <c r="AQ6">
        <v>3</v>
      </c>
    </row>
    <row r="7" spans="1:43">
      <c r="A7">
        <v>1.03</v>
      </c>
      <c r="B7">
        <v>4</v>
      </c>
      <c r="C7">
        <v>1.03</v>
      </c>
      <c r="D7">
        <v>10</v>
      </c>
      <c r="E7">
        <v>1.03</v>
      </c>
      <c r="F7">
        <v>3</v>
      </c>
      <c r="G7">
        <v>7</v>
      </c>
      <c r="H7">
        <v>1.03</v>
      </c>
      <c r="I7">
        <v>3</v>
      </c>
      <c r="J7">
        <v>1.03</v>
      </c>
      <c r="K7">
        <v>2</v>
      </c>
      <c r="L7">
        <v>1.03</v>
      </c>
      <c r="M7">
        <v>1</v>
      </c>
      <c r="N7">
        <v>1.03</v>
      </c>
      <c r="O7">
        <v>1</v>
      </c>
      <c r="P7">
        <v>1.03</v>
      </c>
      <c r="Q7">
        <v>2</v>
      </c>
      <c r="R7">
        <v>1.03</v>
      </c>
      <c r="S7">
        <v>3</v>
      </c>
      <c r="T7">
        <v>1.03</v>
      </c>
      <c r="U7">
        <v>3</v>
      </c>
      <c r="V7">
        <v>1.03</v>
      </c>
      <c r="W7">
        <v>3</v>
      </c>
      <c r="X7">
        <v>1.03</v>
      </c>
      <c r="Y7">
        <v>2</v>
      </c>
      <c r="Z7">
        <v>1.03</v>
      </c>
      <c r="AA7">
        <v>3</v>
      </c>
      <c r="AB7">
        <v>1.03</v>
      </c>
      <c r="AC7">
        <v>1</v>
      </c>
      <c r="AD7">
        <v>1.03</v>
      </c>
      <c r="AE7">
        <v>3</v>
      </c>
      <c r="AF7">
        <v>9</v>
      </c>
      <c r="AG7">
        <v>1.03</v>
      </c>
      <c r="AH7">
        <v>3</v>
      </c>
      <c r="AI7">
        <v>1.03</v>
      </c>
      <c r="AJ7">
        <v>2</v>
      </c>
      <c r="AK7">
        <v>1.03</v>
      </c>
      <c r="AL7">
        <v>2</v>
      </c>
      <c r="AM7">
        <v>1.03</v>
      </c>
      <c r="AN7">
        <v>1</v>
      </c>
      <c r="AO7">
        <v>12</v>
      </c>
      <c r="AP7">
        <v>1.03</v>
      </c>
      <c r="AQ7">
        <v>2</v>
      </c>
    </row>
    <row r="8" spans="1:43">
      <c r="A8">
        <v>1.22</v>
      </c>
      <c r="B8">
        <v>2</v>
      </c>
      <c r="C8">
        <v>1.22</v>
      </c>
      <c r="D8">
        <v>7</v>
      </c>
      <c r="E8">
        <v>1.22</v>
      </c>
      <c r="F8">
        <v>3</v>
      </c>
      <c r="G8">
        <v>9</v>
      </c>
      <c r="H8">
        <v>1.22</v>
      </c>
      <c r="I8">
        <v>3</v>
      </c>
      <c r="J8">
        <v>1.22</v>
      </c>
      <c r="K8">
        <v>3</v>
      </c>
      <c r="L8">
        <v>1.22</v>
      </c>
      <c r="M8">
        <v>3</v>
      </c>
      <c r="N8">
        <v>1.22</v>
      </c>
      <c r="O8">
        <v>2</v>
      </c>
      <c r="P8">
        <v>1.22</v>
      </c>
      <c r="Q8">
        <v>3</v>
      </c>
      <c r="R8">
        <v>1.22</v>
      </c>
      <c r="S8">
        <v>3</v>
      </c>
      <c r="T8">
        <v>1.22</v>
      </c>
      <c r="U8">
        <v>3</v>
      </c>
      <c r="V8">
        <v>1.22</v>
      </c>
      <c r="W8">
        <v>3</v>
      </c>
      <c r="X8">
        <v>1.22</v>
      </c>
      <c r="Y8">
        <v>4</v>
      </c>
      <c r="Z8">
        <v>1.22</v>
      </c>
      <c r="AA8">
        <v>3</v>
      </c>
      <c r="AB8">
        <v>1.22</v>
      </c>
      <c r="AC8">
        <v>4</v>
      </c>
      <c r="AD8">
        <v>1.22</v>
      </c>
      <c r="AE8">
        <v>4</v>
      </c>
      <c r="AF8">
        <v>15</v>
      </c>
      <c r="AG8">
        <v>1.22</v>
      </c>
      <c r="AH8">
        <v>4</v>
      </c>
      <c r="AI8">
        <v>1.22</v>
      </c>
      <c r="AJ8">
        <v>4</v>
      </c>
      <c r="AK8">
        <v>1.22</v>
      </c>
      <c r="AL8">
        <v>4</v>
      </c>
      <c r="AM8">
        <v>1.22</v>
      </c>
      <c r="AN8">
        <v>5</v>
      </c>
      <c r="AO8">
        <v>6</v>
      </c>
      <c r="AP8">
        <v>1.22</v>
      </c>
      <c r="AQ8">
        <v>3</v>
      </c>
    </row>
    <row r="9" spans="1:43">
      <c r="A9">
        <v>0.68</v>
      </c>
      <c r="B9">
        <v>4</v>
      </c>
      <c r="C9">
        <v>0.68</v>
      </c>
      <c r="D9">
        <v>11</v>
      </c>
      <c r="E9">
        <v>0.68</v>
      </c>
      <c r="F9">
        <v>3</v>
      </c>
      <c r="G9">
        <v>8</v>
      </c>
      <c r="H9">
        <v>0.68</v>
      </c>
      <c r="I9">
        <v>4</v>
      </c>
      <c r="J9">
        <v>0.68</v>
      </c>
      <c r="K9">
        <v>3</v>
      </c>
      <c r="L9">
        <v>0.68</v>
      </c>
      <c r="M9">
        <v>4</v>
      </c>
      <c r="N9">
        <v>0.68</v>
      </c>
      <c r="O9">
        <v>5</v>
      </c>
      <c r="P9">
        <v>0.68</v>
      </c>
      <c r="Q9">
        <v>5</v>
      </c>
      <c r="R9">
        <v>0.68</v>
      </c>
      <c r="S9">
        <v>4</v>
      </c>
      <c r="T9">
        <v>0.68</v>
      </c>
      <c r="U9">
        <v>5</v>
      </c>
      <c r="V9">
        <v>0.68</v>
      </c>
      <c r="W9">
        <v>5</v>
      </c>
      <c r="X9">
        <v>0.68</v>
      </c>
      <c r="Y9">
        <v>4</v>
      </c>
      <c r="Z9">
        <v>0.68</v>
      </c>
      <c r="AA9">
        <v>5</v>
      </c>
      <c r="AB9">
        <v>0.68</v>
      </c>
      <c r="AC9">
        <v>4</v>
      </c>
      <c r="AD9">
        <v>0.68</v>
      </c>
      <c r="AE9">
        <v>5</v>
      </c>
      <c r="AF9">
        <v>18</v>
      </c>
      <c r="AG9">
        <v>0.68</v>
      </c>
      <c r="AH9">
        <v>4</v>
      </c>
      <c r="AI9">
        <v>0.68</v>
      </c>
      <c r="AJ9">
        <v>5</v>
      </c>
      <c r="AK9">
        <v>0.68</v>
      </c>
      <c r="AL9">
        <v>4</v>
      </c>
      <c r="AM9">
        <v>0.68</v>
      </c>
      <c r="AN9">
        <v>2</v>
      </c>
      <c r="AO9">
        <v>10</v>
      </c>
      <c r="AP9">
        <v>0.68</v>
      </c>
      <c r="AQ9">
        <v>5</v>
      </c>
    </row>
    <row r="10" spans="1:43">
      <c r="A10">
        <v>1.74</v>
      </c>
      <c r="B10">
        <v>2</v>
      </c>
      <c r="C10">
        <v>1.74</v>
      </c>
      <c r="D10">
        <v>7</v>
      </c>
      <c r="E10">
        <v>1.74</v>
      </c>
      <c r="F10">
        <v>4</v>
      </c>
      <c r="G10">
        <v>10</v>
      </c>
      <c r="H10">
        <v>1.74</v>
      </c>
      <c r="I10">
        <v>2</v>
      </c>
      <c r="J10">
        <v>1.74</v>
      </c>
      <c r="K10">
        <v>2</v>
      </c>
      <c r="L10">
        <v>1.74</v>
      </c>
      <c r="M10">
        <v>2</v>
      </c>
      <c r="N10">
        <v>1.74</v>
      </c>
      <c r="O10">
        <v>2</v>
      </c>
      <c r="P10">
        <v>1.74</v>
      </c>
      <c r="Q10">
        <v>3</v>
      </c>
      <c r="R10">
        <v>1.74</v>
      </c>
      <c r="S10">
        <v>3</v>
      </c>
      <c r="T10">
        <v>1.74</v>
      </c>
      <c r="U10">
        <v>3</v>
      </c>
      <c r="V10">
        <v>1.74</v>
      </c>
      <c r="W10">
        <v>3</v>
      </c>
      <c r="X10">
        <v>1.74</v>
      </c>
      <c r="Y10">
        <v>2</v>
      </c>
      <c r="Z10">
        <v>1.74</v>
      </c>
      <c r="AA10">
        <v>4</v>
      </c>
      <c r="AB10">
        <v>1.74</v>
      </c>
      <c r="AC10">
        <v>3</v>
      </c>
      <c r="AD10">
        <v>1.74</v>
      </c>
      <c r="AE10">
        <v>3</v>
      </c>
      <c r="AF10">
        <v>11</v>
      </c>
      <c r="AG10">
        <v>1.74</v>
      </c>
      <c r="AH10">
        <v>3</v>
      </c>
      <c r="AI10">
        <v>1.74</v>
      </c>
      <c r="AJ10">
        <v>3</v>
      </c>
      <c r="AK10">
        <v>1.74</v>
      </c>
      <c r="AL10">
        <v>3</v>
      </c>
      <c r="AM10">
        <v>1.74</v>
      </c>
      <c r="AN10">
        <v>5</v>
      </c>
      <c r="AO10">
        <v>5</v>
      </c>
      <c r="AP10">
        <v>1.74</v>
      </c>
      <c r="AQ10">
        <v>3</v>
      </c>
    </row>
    <row r="11" spans="1:43">
      <c r="A11">
        <v>0.85</v>
      </c>
      <c r="B11">
        <v>1</v>
      </c>
      <c r="C11">
        <v>0.85</v>
      </c>
      <c r="D11">
        <v>4</v>
      </c>
      <c r="E11">
        <v>0.85</v>
      </c>
      <c r="F11">
        <v>2</v>
      </c>
      <c r="G11">
        <v>7</v>
      </c>
      <c r="H11">
        <v>0.85</v>
      </c>
      <c r="I11">
        <v>2</v>
      </c>
      <c r="J11">
        <v>0.85</v>
      </c>
      <c r="K11">
        <v>2</v>
      </c>
      <c r="L11">
        <v>0.85</v>
      </c>
      <c r="M11">
        <v>2</v>
      </c>
      <c r="N11">
        <v>0.85</v>
      </c>
      <c r="O11">
        <v>1</v>
      </c>
      <c r="P11">
        <v>0.85</v>
      </c>
      <c r="Q11">
        <v>3</v>
      </c>
      <c r="R11">
        <v>0.85</v>
      </c>
      <c r="S11">
        <v>1</v>
      </c>
      <c r="T11">
        <v>0.85</v>
      </c>
      <c r="U11">
        <v>3</v>
      </c>
      <c r="V11">
        <v>0.85</v>
      </c>
      <c r="W11">
        <v>2</v>
      </c>
      <c r="X11">
        <v>0.85</v>
      </c>
      <c r="Y11">
        <v>3</v>
      </c>
      <c r="Z11">
        <v>0.85</v>
      </c>
      <c r="AA11">
        <v>4</v>
      </c>
      <c r="AB11">
        <v>0.85</v>
      </c>
      <c r="AC11">
        <v>2</v>
      </c>
      <c r="AD11">
        <v>0.85</v>
      </c>
      <c r="AE11">
        <v>4</v>
      </c>
      <c r="AF11">
        <v>13</v>
      </c>
      <c r="AG11">
        <v>0.85</v>
      </c>
      <c r="AH11">
        <v>3</v>
      </c>
      <c r="AI11">
        <v>0.85</v>
      </c>
      <c r="AJ11">
        <v>2</v>
      </c>
      <c r="AK11">
        <v>0.85</v>
      </c>
      <c r="AL11">
        <v>4</v>
      </c>
      <c r="AM11">
        <v>0.85</v>
      </c>
      <c r="AN11">
        <v>1</v>
      </c>
      <c r="AO11">
        <v>12</v>
      </c>
      <c r="AP11">
        <v>0.85</v>
      </c>
      <c r="AQ11">
        <v>2</v>
      </c>
    </row>
    <row r="12" spans="1:43">
      <c r="A12">
        <v>0.88</v>
      </c>
      <c r="B12">
        <v>3</v>
      </c>
      <c r="C12">
        <v>0.88</v>
      </c>
      <c r="D12">
        <v>8</v>
      </c>
      <c r="E12">
        <v>0.88</v>
      </c>
      <c r="F12">
        <v>3</v>
      </c>
      <c r="G12">
        <v>9</v>
      </c>
      <c r="H12">
        <v>0.88</v>
      </c>
      <c r="I12">
        <v>3</v>
      </c>
      <c r="J12">
        <v>0.88</v>
      </c>
      <c r="K12">
        <v>3</v>
      </c>
      <c r="L12">
        <v>0.88</v>
      </c>
      <c r="M12">
        <v>2</v>
      </c>
      <c r="N12">
        <v>0.88</v>
      </c>
      <c r="O12">
        <v>2</v>
      </c>
      <c r="P12">
        <v>0.88</v>
      </c>
      <c r="Q12">
        <v>3</v>
      </c>
      <c r="R12">
        <v>0.88</v>
      </c>
      <c r="S12">
        <v>3</v>
      </c>
      <c r="T12">
        <v>0.88</v>
      </c>
      <c r="U12">
        <v>3</v>
      </c>
      <c r="V12">
        <v>0.88</v>
      </c>
      <c r="W12">
        <v>2</v>
      </c>
      <c r="X12">
        <v>0.88</v>
      </c>
      <c r="Y12">
        <v>2</v>
      </c>
      <c r="Z12">
        <v>0.88</v>
      </c>
      <c r="AA12">
        <v>3</v>
      </c>
      <c r="AB12">
        <v>0.88</v>
      </c>
      <c r="AC12">
        <v>2</v>
      </c>
      <c r="AD12">
        <v>0.88</v>
      </c>
      <c r="AE12">
        <v>3</v>
      </c>
      <c r="AF12">
        <v>9</v>
      </c>
      <c r="AG12">
        <v>0.88</v>
      </c>
      <c r="AH12">
        <v>3</v>
      </c>
      <c r="AI12">
        <v>0.88</v>
      </c>
      <c r="AJ12">
        <v>2</v>
      </c>
      <c r="AK12">
        <v>0.88</v>
      </c>
      <c r="AL12">
        <v>3</v>
      </c>
      <c r="AM12">
        <v>0.88</v>
      </c>
      <c r="AN12">
        <v>3</v>
      </c>
      <c r="AO12">
        <v>9</v>
      </c>
      <c r="AP12">
        <v>0.88</v>
      </c>
      <c r="AQ12">
        <v>3</v>
      </c>
    </row>
    <row r="13" spans="1:43">
      <c r="A13">
        <v>1.0900000000000001</v>
      </c>
      <c r="B13">
        <v>3</v>
      </c>
      <c r="C13">
        <v>1.0900000000000001</v>
      </c>
      <c r="D13">
        <v>9</v>
      </c>
      <c r="E13">
        <v>1.0900000000000001</v>
      </c>
      <c r="F13">
        <v>3</v>
      </c>
      <c r="G13">
        <v>8</v>
      </c>
      <c r="H13">
        <v>1.0900000000000001</v>
      </c>
      <c r="I13">
        <v>2</v>
      </c>
      <c r="J13">
        <v>1.0900000000000001</v>
      </c>
      <c r="K13">
        <v>2</v>
      </c>
      <c r="L13">
        <v>1.0900000000000001</v>
      </c>
      <c r="M13">
        <v>3</v>
      </c>
      <c r="N13">
        <v>1.0900000000000001</v>
      </c>
      <c r="O13">
        <v>3</v>
      </c>
      <c r="P13">
        <v>1.0900000000000001</v>
      </c>
      <c r="Q13">
        <v>3</v>
      </c>
      <c r="R13">
        <v>1.0900000000000001</v>
      </c>
      <c r="S13">
        <v>4</v>
      </c>
      <c r="T13">
        <v>1.0900000000000001</v>
      </c>
      <c r="U13">
        <v>5</v>
      </c>
      <c r="V13">
        <v>1.0900000000000001</v>
      </c>
      <c r="W13">
        <v>5</v>
      </c>
      <c r="X13">
        <v>1.0900000000000001</v>
      </c>
      <c r="Y13">
        <v>3</v>
      </c>
      <c r="Z13">
        <v>1.0900000000000001</v>
      </c>
      <c r="AA13">
        <v>4</v>
      </c>
      <c r="AB13">
        <v>1.0900000000000001</v>
      </c>
      <c r="AC13">
        <v>3</v>
      </c>
      <c r="AD13">
        <v>1.0900000000000001</v>
      </c>
      <c r="AE13">
        <v>4</v>
      </c>
      <c r="AF13">
        <v>15</v>
      </c>
      <c r="AG13">
        <v>1.0900000000000001</v>
      </c>
      <c r="AH13">
        <v>4</v>
      </c>
      <c r="AI13">
        <v>1.0900000000000001</v>
      </c>
      <c r="AJ13">
        <v>3</v>
      </c>
      <c r="AK13">
        <v>1.0900000000000001</v>
      </c>
      <c r="AL13">
        <v>3</v>
      </c>
      <c r="AM13">
        <v>1.0900000000000001</v>
      </c>
      <c r="AN13">
        <v>4</v>
      </c>
      <c r="AO13">
        <v>8</v>
      </c>
      <c r="AP13">
        <v>1.0900000000000001</v>
      </c>
      <c r="AQ13">
        <v>4</v>
      </c>
    </row>
    <row r="14" spans="1:43">
      <c r="A14">
        <v>0.75</v>
      </c>
      <c r="B14">
        <v>1</v>
      </c>
      <c r="C14">
        <v>0.75</v>
      </c>
      <c r="D14">
        <v>5</v>
      </c>
      <c r="E14">
        <v>0.75</v>
      </c>
      <c r="F14">
        <v>3</v>
      </c>
      <c r="G14">
        <v>9</v>
      </c>
      <c r="H14">
        <v>0.75</v>
      </c>
      <c r="I14">
        <v>2</v>
      </c>
      <c r="J14">
        <v>0.75</v>
      </c>
      <c r="K14">
        <v>1</v>
      </c>
      <c r="L14">
        <v>0.75</v>
      </c>
      <c r="M14">
        <v>2</v>
      </c>
      <c r="N14">
        <v>0.75</v>
      </c>
      <c r="O14">
        <v>1</v>
      </c>
      <c r="P14">
        <v>0.75</v>
      </c>
      <c r="Q14">
        <v>2</v>
      </c>
      <c r="R14">
        <v>0.75</v>
      </c>
      <c r="S14">
        <v>1</v>
      </c>
      <c r="T14">
        <v>0.75</v>
      </c>
      <c r="U14">
        <v>1</v>
      </c>
      <c r="V14">
        <v>0.75</v>
      </c>
      <c r="W14">
        <v>3</v>
      </c>
      <c r="X14">
        <v>0.75</v>
      </c>
      <c r="Y14">
        <v>1</v>
      </c>
      <c r="Z14">
        <v>0.75</v>
      </c>
      <c r="AA14">
        <v>1</v>
      </c>
      <c r="AB14">
        <v>0.75</v>
      </c>
      <c r="AC14">
        <v>1</v>
      </c>
      <c r="AD14">
        <v>0.75</v>
      </c>
      <c r="AE14">
        <v>1</v>
      </c>
      <c r="AF14">
        <v>6</v>
      </c>
      <c r="AG14">
        <v>0.75</v>
      </c>
      <c r="AH14">
        <v>5</v>
      </c>
      <c r="AI14">
        <v>0.75</v>
      </c>
      <c r="AJ14">
        <v>1</v>
      </c>
      <c r="AK14">
        <v>0.75</v>
      </c>
      <c r="AL14">
        <v>1</v>
      </c>
      <c r="AM14">
        <v>0.75</v>
      </c>
      <c r="AN14">
        <v>1</v>
      </c>
      <c r="AO14">
        <v>12</v>
      </c>
      <c r="AP14">
        <v>0.75</v>
      </c>
      <c r="AQ14">
        <v>2</v>
      </c>
    </row>
    <row r="15" spans="1:43">
      <c r="A15">
        <v>0.83</v>
      </c>
      <c r="B15">
        <v>4</v>
      </c>
      <c r="C15">
        <v>0.83</v>
      </c>
      <c r="D15">
        <v>10</v>
      </c>
      <c r="E15">
        <v>0.83</v>
      </c>
      <c r="F15">
        <v>3</v>
      </c>
      <c r="G15">
        <v>9</v>
      </c>
      <c r="H15">
        <v>0.83</v>
      </c>
      <c r="I15">
        <v>2</v>
      </c>
      <c r="J15">
        <v>0.83</v>
      </c>
      <c r="K15">
        <v>4</v>
      </c>
      <c r="L15">
        <v>0.83</v>
      </c>
      <c r="M15">
        <v>3</v>
      </c>
      <c r="N15">
        <v>0.83</v>
      </c>
      <c r="O15">
        <v>4</v>
      </c>
      <c r="P15">
        <v>0.83</v>
      </c>
      <c r="Q15">
        <v>3</v>
      </c>
      <c r="R15">
        <v>0.83</v>
      </c>
      <c r="S15">
        <v>3</v>
      </c>
      <c r="T15">
        <v>0.83</v>
      </c>
      <c r="U15">
        <v>1</v>
      </c>
      <c r="V15">
        <v>0.83</v>
      </c>
      <c r="W15">
        <v>4</v>
      </c>
      <c r="X15">
        <v>0.83</v>
      </c>
      <c r="Y15">
        <v>2</v>
      </c>
      <c r="Z15">
        <v>0.83</v>
      </c>
      <c r="AA15">
        <v>4</v>
      </c>
      <c r="AB15">
        <v>0.83</v>
      </c>
      <c r="AC15">
        <v>5</v>
      </c>
      <c r="AD15">
        <v>0.83</v>
      </c>
      <c r="AE15">
        <v>5</v>
      </c>
      <c r="AF15">
        <v>17</v>
      </c>
      <c r="AG15">
        <v>0.83</v>
      </c>
      <c r="AH15">
        <v>4</v>
      </c>
      <c r="AI15">
        <v>0.83</v>
      </c>
      <c r="AJ15">
        <v>2</v>
      </c>
      <c r="AK15">
        <v>0.83</v>
      </c>
      <c r="AL15">
        <v>3</v>
      </c>
      <c r="AM15">
        <v>0.83</v>
      </c>
      <c r="AN15">
        <v>2</v>
      </c>
      <c r="AO15">
        <v>10</v>
      </c>
      <c r="AP15">
        <v>0.83</v>
      </c>
      <c r="AQ15">
        <v>3</v>
      </c>
    </row>
    <row r="16" spans="1:43">
      <c r="A16">
        <v>2.0699999999999998</v>
      </c>
      <c r="B16">
        <v>3</v>
      </c>
      <c r="C16">
        <v>2.0699999999999998</v>
      </c>
      <c r="D16">
        <v>8</v>
      </c>
      <c r="E16">
        <v>2.0699999999999998</v>
      </c>
      <c r="F16">
        <v>4</v>
      </c>
      <c r="G16">
        <v>9</v>
      </c>
      <c r="H16">
        <v>2.0699999999999998</v>
      </c>
      <c r="I16">
        <v>2</v>
      </c>
      <c r="J16">
        <v>2.0699999999999998</v>
      </c>
      <c r="K16">
        <v>3</v>
      </c>
      <c r="L16">
        <v>2.0699999999999998</v>
      </c>
      <c r="M16">
        <v>5</v>
      </c>
      <c r="N16">
        <v>2.0699999999999998</v>
      </c>
      <c r="O16">
        <v>2</v>
      </c>
      <c r="P16">
        <v>2.0699999999999998</v>
      </c>
      <c r="Q16">
        <v>2</v>
      </c>
      <c r="R16">
        <v>2.0699999999999998</v>
      </c>
      <c r="S16">
        <v>3</v>
      </c>
      <c r="T16">
        <v>2.0699999999999998</v>
      </c>
      <c r="U16">
        <v>3</v>
      </c>
      <c r="V16">
        <v>2.0699999999999998</v>
      </c>
      <c r="W16">
        <v>2</v>
      </c>
      <c r="X16">
        <v>2.0699999999999998</v>
      </c>
      <c r="Y16">
        <v>3</v>
      </c>
      <c r="Z16">
        <v>2.0699999999999998</v>
      </c>
      <c r="AA16">
        <v>3</v>
      </c>
      <c r="AB16">
        <v>2.0699999999999998</v>
      </c>
      <c r="AC16">
        <v>3</v>
      </c>
      <c r="AD16">
        <v>2.0699999999999998</v>
      </c>
      <c r="AE16">
        <v>4</v>
      </c>
      <c r="AF16">
        <v>13</v>
      </c>
      <c r="AG16">
        <v>2.0699999999999998</v>
      </c>
      <c r="AH16">
        <v>3</v>
      </c>
      <c r="AI16">
        <v>2.0699999999999998</v>
      </c>
      <c r="AJ16">
        <v>3</v>
      </c>
      <c r="AK16">
        <v>2.0699999999999998</v>
      </c>
      <c r="AL16">
        <v>2</v>
      </c>
      <c r="AM16">
        <v>2.0699999999999998</v>
      </c>
      <c r="AN16">
        <v>1</v>
      </c>
      <c r="AO16">
        <v>12</v>
      </c>
      <c r="AP16">
        <v>2.0699999999999998</v>
      </c>
      <c r="AQ16">
        <v>2</v>
      </c>
    </row>
    <row r="17" spans="1:43">
      <c r="A17">
        <v>0.8</v>
      </c>
      <c r="B17">
        <v>5</v>
      </c>
      <c r="C17">
        <v>0.8</v>
      </c>
      <c r="D17">
        <v>12</v>
      </c>
      <c r="E17">
        <v>0.8</v>
      </c>
      <c r="F17">
        <v>4</v>
      </c>
      <c r="G17">
        <v>10</v>
      </c>
      <c r="H17">
        <v>0.8</v>
      </c>
      <c r="I17">
        <v>2</v>
      </c>
      <c r="J17">
        <v>0.8</v>
      </c>
      <c r="K17">
        <v>2</v>
      </c>
      <c r="L17">
        <v>0.8</v>
      </c>
      <c r="M17">
        <v>3</v>
      </c>
      <c r="N17">
        <v>0.8</v>
      </c>
      <c r="O17">
        <v>2</v>
      </c>
      <c r="P17">
        <v>0.8</v>
      </c>
      <c r="Q17">
        <v>3</v>
      </c>
      <c r="R17">
        <v>0.8</v>
      </c>
      <c r="S17">
        <v>4</v>
      </c>
      <c r="T17">
        <v>0.8</v>
      </c>
      <c r="U17">
        <v>3</v>
      </c>
      <c r="V17">
        <v>0.8</v>
      </c>
      <c r="W17">
        <v>1</v>
      </c>
      <c r="X17">
        <v>0.8</v>
      </c>
      <c r="Y17">
        <v>2</v>
      </c>
      <c r="Z17">
        <v>0.8</v>
      </c>
      <c r="AA17">
        <v>1</v>
      </c>
      <c r="AB17">
        <v>0.8</v>
      </c>
      <c r="AC17">
        <v>1</v>
      </c>
      <c r="AD17">
        <v>0.8</v>
      </c>
      <c r="AE17">
        <v>1</v>
      </c>
      <c r="AF17">
        <v>6</v>
      </c>
      <c r="AG17">
        <v>0.8</v>
      </c>
      <c r="AH17">
        <v>2</v>
      </c>
      <c r="AI17">
        <v>0.8</v>
      </c>
      <c r="AJ17">
        <v>1</v>
      </c>
      <c r="AK17">
        <v>0.8</v>
      </c>
      <c r="AL17">
        <v>2</v>
      </c>
      <c r="AM17">
        <v>0.8</v>
      </c>
      <c r="AN17">
        <v>2</v>
      </c>
      <c r="AO17">
        <v>10</v>
      </c>
      <c r="AP17">
        <v>0.8</v>
      </c>
      <c r="AQ17">
        <v>3</v>
      </c>
    </row>
    <row r="18" spans="1:43">
      <c r="A18">
        <v>1.07</v>
      </c>
      <c r="B18">
        <v>4</v>
      </c>
      <c r="C18">
        <v>1.07</v>
      </c>
      <c r="D18">
        <v>11</v>
      </c>
      <c r="E18">
        <v>1.07</v>
      </c>
      <c r="F18">
        <v>4</v>
      </c>
      <c r="G18">
        <v>10</v>
      </c>
      <c r="H18">
        <v>1.07</v>
      </c>
      <c r="I18">
        <v>2</v>
      </c>
      <c r="J18">
        <v>1.07</v>
      </c>
      <c r="K18">
        <v>3</v>
      </c>
      <c r="L18">
        <v>1.07</v>
      </c>
      <c r="M18">
        <v>4</v>
      </c>
      <c r="N18">
        <v>1.07</v>
      </c>
      <c r="O18">
        <v>1</v>
      </c>
      <c r="P18">
        <v>1.07</v>
      </c>
      <c r="Q18">
        <v>2</v>
      </c>
      <c r="R18">
        <v>1.07</v>
      </c>
      <c r="S18">
        <v>1</v>
      </c>
      <c r="T18">
        <v>1.07</v>
      </c>
      <c r="U18">
        <v>3</v>
      </c>
      <c r="V18">
        <v>1.07</v>
      </c>
      <c r="W18">
        <v>3</v>
      </c>
      <c r="X18">
        <v>1.07</v>
      </c>
      <c r="Y18">
        <v>3</v>
      </c>
      <c r="Z18">
        <v>1.07</v>
      </c>
      <c r="AA18">
        <v>3</v>
      </c>
      <c r="AB18">
        <v>1.07</v>
      </c>
      <c r="AC18">
        <v>3</v>
      </c>
      <c r="AD18">
        <v>1.07</v>
      </c>
      <c r="AE18">
        <v>3</v>
      </c>
      <c r="AF18">
        <v>11</v>
      </c>
      <c r="AG18">
        <v>1.07</v>
      </c>
      <c r="AH18">
        <v>4</v>
      </c>
      <c r="AI18">
        <v>1.07</v>
      </c>
      <c r="AJ18">
        <v>3</v>
      </c>
      <c r="AK18">
        <v>1.07</v>
      </c>
      <c r="AL18">
        <v>3</v>
      </c>
      <c r="AM18">
        <v>1.07</v>
      </c>
      <c r="AN18">
        <v>3</v>
      </c>
      <c r="AO18">
        <v>9</v>
      </c>
      <c r="AP18">
        <v>1.07</v>
      </c>
      <c r="AQ18">
        <v>3</v>
      </c>
    </row>
    <row r="19" spans="1:43">
      <c r="A19">
        <v>1.1299999999999999</v>
      </c>
      <c r="B19">
        <v>3</v>
      </c>
      <c r="C19">
        <v>1.1299999999999999</v>
      </c>
      <c r="D19">
        <v>8</v>
      </c>
      <c r="E19">
        <v>1.1299999999999999</v>
      </c>
      <c r="F19">
        <v>4</v>
      </c>
      <c r="G19">
        <v>10</v>
      </c>
      <c r="H19">
        <v>1.1299999999999999</v>
      </c>
      <c r="I19">
        <v>2</v>
      </c>
      <c r="J19">
        <v>1.1299999999999999</v>
      </c>
      <c r="K19">
        <v>2</v>
      </c>
      <c r="L19">
        <v>1.1299999999999999</v>
      </c>
      <c r="M19">
        <v>3</v>
      </c>
      <c r="N19">
        <v>1.1299999999999999</v>
      </c>
      <c r="O19">
        <v>2</v>
      </c>
      <c r="P19">
        <v>1.1299999999999999</v>
      </c>
      <c r="Q19">
        <v>2</v>
      </c>
      <c r="R19">
        <v>1.1299999999999999</v>
      </c>
      <c r="S19">
        <v>3</v>
      </c>
      <c r="T19">
        <v>1.1299999999999999</v>
      </c>
      <c r="U19">
        <v>3</v>
      </c>
      <c r="V19">
        <v>1.1299999999999999</v>
      </c>
      <c r="W19">
        <v>5</v>
      </c>
      <c r="X19">
        <v>1.1299999999999999</v>
      </c>
      <c r="Y19">
        <v>2</v>
      </c>
      <c r="Z19">
        <v>1.1299999999999999</v>
      </c>
      <c r="AA19">
        <v>2</v>
      </c>
      <c r="AB19">
        <v>1.1299999999999999</v>
      </c>
      <c r="AC19">
        <v>3</v>
      </c>
      <c r="AD19">
        <v>1.1299999999999999</v>
      </c>
      <c r="AE19">
        <v>4</v>
      </c>
      <c r="AF19">
        <v>13</v>
      </c>
      <c r="AG19">
        <v>1.1299999999999999</v>
      </c>
      <c r="AH19">
        <v>3</v>
      </c>
      <c r="AI19">
        <v>1.1299999999999999</v>
      </c>
      <c r="AJ19">
        <v>4</v>
      </c>
      <c r="AK19">
        <v>1.1299999999999999</v>
      </c>
      <c r="AL19">
        <v>4</v>
      </c>
      <c r="AM19">
        <v>1.1299999999999999</v>
      </c>
      <c r="AN19">
        <v>5</v>
      </c>
      <c r="AO19">
        <v>6</v>
      </c>
      <c r="AP19">
        <v>1.1299999999999999</v>
      </c>
      <c r="AQ19">
        <v>4</v>
      </c>
    </row>
    <row r="20" spans="1:43">
      <c r="A20">
        <v>1.01</v>
      </c>
      <c r="B20">
        <v>2</v>
      </c>
      <c r="C20">
        <v>1.01</v>
      </c>
      <c r="D20">
        <v>6</v>
      </c>
      <c r="E20">
        <v>1.01</v>
      </c>
      <c r="F20">
        <v>3</v>
      </c>
      <c r="G20">
        <v>9</v>
      </c>
      <c r="H20">
        <v>1.01</v>
      </c>
      <c r="I20">
        <v>2</v>
      </c>
      <c r="J20">
        <v>1.01</v>
      </c>
      <c r="K20">
        <v>4</v>
      </c>
      <c r="L20">
        <v>1.01</v>
      </c>
      <c r="M20">
        <v>3</v>
      </c>
      <c r="N20">
        <v>1.01</v>
      </c>
      <c r="O20">
        <v>4</v>
      </c>
      <c r="P20">
        <v>1.01</v>
      </c>
      <c r="Q20">
        <v>5</v>
      </c>
      <c r="R20">
        <v>1.01</v>
      </c>
      <c r="S20">
        <v>5</v>
      </c>
      <c r="T20">
        <v>1.01</v>
      </c>
      <c r="U20">
        <v>5</v>
      </c>
      <c r="V20">
        <v>1.01</v>
      </c>
      <c r="W20">
        <v>5</v>
      </c>
      <c r="X20">
        <v>1.01</v>
      </c>
      <c r="Y20">
        <v>5</v>
      </c>
      <c r="Z20">
        <v>1.01</v>
      </c>
      <c r="AA20">
        <v>4</v>
      </c>
      <c r="AB20">
        <v>1.01</v>
      </c>
      <c r="AC20">
        <v>5</v>
      </c>
      <c r="AD20">
        <v>1.01</v>
      </c>
      <c r="AE20">
        <v>5</v>
      </c>
      <c r="AF20">
        <v>22</v>
      </c>
      <c r="AG20">
        <v>1.01</v>
      </c>
      <c r="AH20">
        <v>3</v>
      </c>
      <c r="AI20">
        <v>1.01</v>
      </c>
      <c r="AJ20">
        <v>5</v>
      </c>
      <c r="AK20">
        <v>1.01</v>
      </c>
      <c r="AL20">
        <v>5</v>
      </c>
      <c r="AM20">
        <v>1.01</v>
      </c>
      <c r="AN20">
        <v>5</v>
      </c>
      <c r="AO20">
        <v>3</v>
      </c>
      <c r="AP20">
        <v>1.01</v>
      </c>
      <c r="AQ20">
        <v>5</v>
      </c>
    </row>
    <row r="21" spans="1:43">
      <c r="A21">
        <v>0.76</v>
      </c>
      <c r="B21">
        <v>2</v>
      </c>
      <c r="C21">
        <v>0.76</v>
      </c>
      <c r="D21">
        <v>7</v>
      </c>
      <c r="E21">
        <v>0.76</v>
      </c>
      <c r="F21">
        <v>1</v>
      </c>
      <c r="G21">
        <v>5</v>
      </c>
      <c r="H21">
        <v>0.76</v>
      </c>
      <c r="I21">
        <v>2</v>
      </c>
      <c r="J21">
        <v>0.76</v>
      </c>
      <c r="K21">
        <v>2</v>
      </c>
      <c r="L21">
        <v>0.76</v>
      </c>
      <c r="M21">
        <v>2</v>
      </c>
      <c r="N21">
        <v>0.76</v>
      </c>
      <c r="O21">
        <v>2</v>
      </c>
      <c r="P21">
        <v>0.76</v>
      </c>
      <c r="Q21">
        <v>3</v>
      </c>
      <c r="R21">
        <v>0.76</v>
      </c>
      <c r="S21">
        <v>4</v>
      </c>
      <c r="T21">
        <v>0.76</v>
      </c>
      <c r="U21">
        <v>3</v>
      </c>
      <c r="V21">
        <v>0.76</v>
      </c>
      <c r="W21">
        <v>2</v>
      </c>
      <c r="X21">
        <v>0.76</v>
      </c>
      <c r="Y21">
        <v>1</v>
      </c>
      <c r="Z21">
        <v>0.76</v>
      </c>
      <c r="AA21">
        <v>3</v>
      </c>
      <c r="AB21">
        <v>0.76</v>
      </c>
      <c r="AC21">
        <v>3</v>
      </c>
      <c r="AD21">
        <v>0.76</v>
      </c>
      <c r="AE21">
        <v>3</v>
      </c>
      <c r="AF21">
        <v>9</v>
      </c>
      <c r="AG21">
        <v>0.76</v>
      </c>
      <c r="AH21">
        <v>3</v>
      </c>
      <c r="AI21">
        <v>0.76</v>
      </c>
      <c r="AJ21">
        <v>2</v>
      </c>
      <c r="AK21">
        <v>0.76</v>
      </c>
      <c r="AL21">
        <v>2</v>
      </c>
      <c r="AM21">
        <v>0.76</v>
      </c>
      <c r="AN21">
        <v>1</v>
      </c>
      <c r="AO21">
        <v>12</v>
      </c>
      <c r="AP21">
        <v>0.76</v>
      </c>
      <c r="AQ21">
        <v>2</v>
      </c>
    </row>
    <row r="22" spans="1:43">
      <c r="A22">
        <v>0.94</v>
      </c>
      <c r="B22">
        <v>3</v>
      </c>
      <c r="C22">
        <v>0.94</v>
      </c>
      <c r="D22">
        <v>9</v>
      </c>
      <c r="E22">
        <v>0.94</v>
      </c>
      <c r="F22">
        <v>4</v>
      </c>
      <c r="G22">
        <v>9</v>
      </c>
      <c r="H22">
        <v>0.94</v>
      </c>
      <c r="I22">
        <v>2</v>
      </c>
      <c r="J22">
        <v>0.94</v>
      </c>
      <c r="K22">
        <v>3</v>
      </c>
      <c r="L22">
        <v>0.94</v>
      </c>
      <c r="M22">
        <v>3</v>
      </c>
      <c r="N22">
        <v>0.94</v>
      </c>
      <c r="O22">
        <v>3</v>
      </c>
      <c r="P22">
        <v>0.94</v>
      </c>
      <c r="Q22">
        <v>3</v>
      </c>
      <c r="R22">
        <v>0.94</v>
      </c>
      <c r="S22">
        <v>3</v>
      </c>
      <c r="T22">
        <v>0.94</v>
      </c>
      <c r="U22">
        <v>3</v>
      </c>
      <c r="V22">
        <v>0.94</v>
      </c>
      <c r="W22">
        <v>2</v>
      </c>
      <c r="X22">
        <v>0.94</v>
      </c>
      <c r="Y22">
        <v>4</v>
      </c>
      <c r="Z22">
        <v>0.94</v>
      </c>
      <c r="AA22">
        <v>4</v>
      </c>
      <c r="AB22">
        <v>0.94</v>
      </c>
      <c r="AC22">
        <v>3</v>
      </c>
      <c r="AD22">
        <v>0.94</v>
      </c>
      <c r="AE22">
        <v>3</v>
      </c>
      <c r="AF22">
        <v>12</v>
      </c>
      <c r="AG22">
        <v>0.94</v>
      </c>
      <c r="AH22">
        <v>3</v>
      </c>
      <c r="AI22">
        <v>0.94</v>
      </c>
      <c r="AJ22">
        <v>3</v>
      </c>
      <c r="AK22">
        <v>0.94</v>
      </c>
      <c r="AL22">
        <v>4</v>
      </c>
      <c r="AM22">
        <v>0.94</v>
      </c>
      <c r="AN22">
        <v>2</v>
      </c>
      <c r="AO22">
        <v>11</v>
      </c>
      <c r="AP22">
        <v>0.94</v>
      </c>
      <c r="AQ22">
        <v>3</v>
      </c>
    </row>
    <row r="23" spans="1:43">
      <c r="A23">
        <v>1.35</v>
      </c>
      <c r="B23">
        <v>3</v>
      </c>
      <c r="C23">
        <v>1.35</v>
      </c>
      <c r="D23">
        <v>8</v>
      </c>
      <c r="E23">
        <v>1.35</v>
      </c>
      <c r="F23">
        <v>3</v>
      </c>
      <c r="G23">
        <v>8</v>
      </c>
      <c r="H23">
        <v>1.35</v>
      </c>
      <c r="I23">
        <v>3</v>
      </c>
      <c r="J23">
        <v>1.35</v>
      </c>
      <c r="K23">
        <v>1</v>
      </c>
      <c r="L23">
        <v>1.35</v>
      </c>
      <c r="M23">
        <v>2</v>
      </c>
      <c r="N23">
        <v>1.35</v>
      </c>
      <c r="O23">
        <v>4</v>
      </c>
      <c r="P23">
        <v>1.35</v>
      </c>
      <c r="Q23">
        <v>2</v>
      </c>
      <c r="R23">
        <v>1.35</v>
      </c>
      <c r="S23">
        <v>4</v>
      </c>
      <c r="T23">
        <v>1.35</v>
      </c>
      <c r="U23">
        <v>4</v>
      </c>
      <c r="V23">
        <v>1.35</v>
      </c>
      <c r="W23">
        <v>2</v>
      </c>
      <c r="X23">
        <v>1.35</v>
      </c>
      <c r="Y23">
        <v>3</v>
      </c>
      <c r="Z23">
        <v>1.35</v>
      </c>
      <c r="AA23">
        <v>4</v>
      </c>
      <c r="AB23">
        <v>1.35</v>
      </c>
      <c r="AC23">
        <v>3</v>
      </c>
      <c r="AD23">
        <v>1.35</v>
      </c>
      <c r="AE23">
        <v>4</v>
      </c>
      <c r="AF23">
        <v>16</v>
      </c>
      <c r="AG23">
        <v>1.35</v>
      </c>
      <c r="AH23">
        <v>3</v>
      </c>
      <c r="AI23">
        <v>1.35</v>
      </c>
      <c r="AJ23">
        <v>4</v>
      </c>
      <c r="AK23">
        <v>1.35</v>
      </c>
      <c r="AL23">
        <v>4</v>
      </c>
      <c r="AM23">
        <v>1.35</v>
      </c>
      <c r="AN23">
        <v>5</v>
      </c>
      <c r="AO23">
        <v>6</v>
      </c>
      <c r="AP23">
        <v>1.35</v>
      </c>
      <c r="AQ23">
        <v>5</v>
      </c>
    </row>
    <row r="24" spans="1:43">
      <c r="A24">
        <v>1.08</v>
      </c>
      <c r="B24">
        <v>2</v>
      </c>
      <c r="C24">
        <v>1.08</v>
      </c>
      <c r="D24">
        <v>7</v>
      </c>
      <c r="E24">
        <v>1.08</v>
      </c>
      <c r="F24">
        <v>3</v>
      </c>
      <c r="G24">
        <v>9</v>
      </c>
      <c r="H24">
        <v>1.08</v>
      </c>
      <c r="I24">
        <v>2</v>
      </c>
      <c r="J24">
        <v>1.08</v>
      </c>
      <c r="K24">
        <v>3</v>
      </c>
      <c r="L24">
        <v>1.08</v>
      </c>
      <c r="M24">
        <v>2</v>
      </c>
      <c r="N24">
        <v>1.08</v>
      </c>
      <c r="O24">
        <v>3</v>
      </c>
      <c r="P24">
        <v>1.08</v>
      </c>
      <c r="Q24">
        <v>4</v>
      </c>
      <c r="R24">
        <v>1.08</v>
      </c>
      <c r="S24">
        <v>1</v>
      </c>
      <c r="T24">
        <v>1.08</v>
      </c>
      <c r="U24">
        <v>1</v>
      </c>
      <c r="V24">
        <v>1.08</v>
      </c>
      <c r="W24">
        <v>2</v>
      </c>
      <c r="X24">
        <v>1.08</v>
      </c>
      <c r="Y24">
        <v>1</v>
      </c>
      <c r="Z24">
        <v>1.08</v>
      </c>
      <c r="AA24">
        <v>2</v>
      </c>
      <c r="AB24">
        <v>1.08</v>
      </c>
      <c r="AC24">
        <v>2</v>
      </c>
      <c r="AD24">
        <v>1.08</v>
      </c>
      <c r="AE24">
        <v>3</v>
      </c>
      <c r="AF24">
        <v>9</v>
      </c>
      <c r="AG24">
        <v>1.08</v>
      </c>
      <c r="AH24">
        <v>3</v>
      </c>
      <c r="AI24">
        <v>1.08</v>
      </c>
      <c r="AJ24">
        <v>1</v>
      </c>
      <c r="AK24">
        <v>1.08</v>
      </c>
      <c r="AL24">
        <v>3</v>
      </c>
      <c r="AM24">
        <v>1.08</v>
      </c>
      <c r="AN24">
        <v>2</v>
      </c>
      <c r="AO24">
        <v>11</v>
      </c>
      <c r="AP24">
        <v>1.08</v>
      </c>
      <c r="AQ24">
        <v>3</v>
      </c>
    </row>
    <row r="25" spans="1:43">
      <c r="A25">
        <v>1.3</v>
      </c>
      <c r="B25">
        <v>3</v>
      </c>
      <c r="C25">
        <v>1.3</v>
      </c>
      <c r="D25">
        <v>7</v>
      </c>
      <c r="E25">
        <v>1.3</v>
      </c>
      <c r="F25">
        <v>3</v>
      </c>
      <c r="G25">
        <v>7</v>
      </c>
      <c r="H25">
        <v>1.3</v>
      </c>
      <c r="I25">
        <v>3</v>
      </c>
      <c r="J25">
        <v>1.3</v>
      </c>
      <c r="K25">
        <v>2</v>
      </c>
      <c r="L25">
        <v>1.3</v>
      </c>
      <c r="M25">
        <v>1</v>
      </c>
      <c r="N25">
        <v>1.3</v>
      </c>
      <c r="O25">
        <v>2</v>
      </c>
      <c r="P25">
        <v>1.3</v>
      </c>
      <c r="Q25">
        <v>3</v>
      </c>
      <c r="R25">
        <v>1.3</v>
      </c>
      <c r="S25">
        <v>5</v>
      </c>
      <c r="T25">
        <v>1.3</v>
      </c>
      <c r="U25">
        <v>3</v>
      </c>
      <c r="V25">
        <v>1.3</v>
      </c>
      <c r="W25">
        <v>3</v>
      </c>
      <c r="X25">
        <v>1.3</v>
      </c>
      <c r="Y25">
        <v>3</v>
      </c>
      <c r="Z25">
        <v>1.3</v>
      </c>
      <c r="AA25">
        <v>4</v>
      </c>
      <c r="AB25">
        <v>1.3</v>
      </c>
      <c r="AC25">
        <v>3</v>
      </c>
      <c r="AD25">
        <v>1.3</v>
      </c>
      <c r="AE25">
        <v>5</v>
      </c>
      <c r="AF25">
        <v>18</v>
      </c>
      <c r="AG25">
        <v>1.3</v>
      </c>
      <c r="AH25">
        <v>3</v>
      </c>
      <c r="AI25">
        <v>1.3</v>
      </c>
      <c r="AJ25">
        <v>3</v>
      </c>
      <c r="AK25">
        <v>1.3</v>
      </c>
      <c r="AL25">
        <v>4</v>
      </c>
      <c r="AM25">
        <v>1.3</v>
      </c>
      <c r="AN25">
        <v>3</v>
      </c>
      <c r="AO25">
        <v>9</v>
      </c>
      <c r="AP25">
        <v>1.3</v>
      </c>
      <c r="AQ25">
        <v>3</v>
      </c>
    </row>
    <row r="26" spans="1:43">
      <c r="A26">
        <v>0.97</v>
      </c>
      <c r="B26">
        <v>4</v>
      </c>
      <c r="C26">
        <v>0.97</v>
      </c>
      <c r="D26">
        <v>10</v>
      </c>
      <c r="E26">
        <v>0.97</v>
      </c>
      <c r="F26">
        <v>3</v>
      </c>
      <c r="G26">
        <v>9</v>
      </c>
      <c r="H26">
        <v>0.97</v>
      </c>
      <c r="I26">
        <v>2</v>
      </c>
      <c r="J26">
        <v>0.97</v>
      </c>
      <c r="K26">
        <v>4</v>
      </c>
      <c r="L26">
        <v>0.97</v>
      </c>
      <c r="M26">
        <v>4</v>
      </c>
      <c r="N26">
        <v>0.97</v>
      </c>
      <c r="O26">
        <v>2</v>
      </c>
      <c r="P26">
        <v>0.97</v>
      </c>
      <c r="Q26">
        <v>4</v>
      </c>
      <c r="R26">
        <v>0.97</v>
      </c>
      <c r="S26">
        <v>4</v>
      </c>
      <c r="T26">
        <v>0.97</v>
      </c>
      <c r="U26">
        <v>3</v>
      </c>
      <c r="V26">
        <v>0.97</v>
      </c>
      <c r="W26">
        <v>3</v>
      </c>
      <c r="X26">
        <v>0.97</v>
      </c>
      <c r="Y26">
        <v>3</v>
      </c>
      <c r="Z26">
        <v>0.97</v>
      </c>
      <c r="AA26">
        <v>4</v>
      </c>
      <c r="AB26">
        <v>0.97</v>
      </c>
      <c r="AC26">
        <v>4</v>
      </c>
      <c r="AD26">
        <v>0.97</v>
      </c>
      <c r="AE26">
        <v>5</v>
      </c>
      <c r="AF26">
        <v>20</v>
      </c>
      <c r="AG26">
        <v>0.97</v>
      </c>
      <c r="AH26">
        <v>5</v>
      </c>
      <c r="AI26">
        <v>0.97</v>
      </c>
      <c r="AJ26">
        <v>3</v>
      </c>
      <c r="AK26">
        <v>0.97</v>
      </c>
      <c r="AL26">
        <v>3</v>
      </c>
      <c r="AM26">
        <v>0.97</v>
      </c>
      <c r="AN26">
        <v>3</v>
      </c>
      <c r="AO26">
        <v>9</v>
      </c>
      <c r="AP26">
        <v>0.97</v>
      </c>
      <c r="AQ26">
        <v>4</v>
      </c>
    </row>
    <row r="27" spans="1:43">
      <c r="A27">
        <v>1.04</v>
      </c>
      <c r="B27">
        <v>4</v>
      </c>
      <c r="C27">
        <v>1.04</v>
      </c>
      <c r="D27">
        <v>11</v>
      </c>
      <c r="E27">
        <v>1.04</v>
      </c>
      <c r="F27">
        <v>5</v>
      </c>
      <c r="G27">
        <v>12</v>
      </c>
      <c r="H27">
        <v>1.04</v>
      </c>
      <c r="I27">
        <v>2</v>
      </c>
      <c r="J27">
        <v>1.04</v>
      </c>
      <c r="K27">
        <v>4</v>
      </c>
      <c r="L27">
        <v>1.04</v>
      </c>
      <c r="M27">
        <v>3</v>
      </c>
      <c r="N27">
        <v>1.04</v>
      </c>
      <c r="O27">
        <v>5</v>
      </c>
      <c r="P27">
        <v>1.04</v>
      </c>
      <c r="Q27">
        <v>2</v>
      </c>
      <c r="R27">
        <v>1.04</v>
      </c>
      <c r="S27">
        <v>5</v>
      </c>
      <c r="T27">
        <v>1.04</v>
      </c>
      <c r="U27">
        <v>4</v>
      </c>
      <c r="V27">
        <v>1.04</v>
      </c>
      <c r="W27">
        <v>5</v>
      </c>
      <c r="X27">
        <v>1.04</v>
      </c>
      <c r="Y27">
        <v>4</v>
      </c>
      <c r="Z27">
        <v>1.04</v>
      </c>
      <c r="AA27">
        <v>4</v>
      </c>
      <c r="AB27">
        <v>1.04</v>
      </c>
      <c r="AC27">
        <v>5</v>
      </c>
      <c r="AD27">
        <v>1.04</v>
      </c>
      <c r="AE27">
        <v>5</v>
      </c>
      <c r="AF27">
        <v>18</v>
      </c>
      <c r="AG27">
        <v>1.04</v>
      </c>
      <c r="AH27">
        <v>5</v>
      </c>
      <c r="AI27">
        <v>1.04</v>
      </c>
      <c r="AJ27">
        <v>5</v>
      </c>
      <c r="AK27">
        <v>1.04</v>
      </c>
      <c r="AL27">
        <v>4</v>
      </c>
      <c r="AM27">
        <v>1.04</v>
      </c>
      <c r="AN27">
        <v>3</v>
      </c>
      <c r="AO27">
        <v>9</v>
      </c>
      <c r="AP27">
        <v>1.04</v>
      </c>
      <c r="AQ27">
        <v>4</v>
      </c>
    </row>
    <row r="29" spans="1:43">
      <c r="A29" s="33" t="s">
        <v>267</v>
      </c>
      <c r="B29">
        <f>CORREL(A3:A27,B3:B27)</f>
        <v>-2.1151054241349186E-2</v>
      </c>
      <c r="D29">
        <f>CORREL(C3:C27,D3:D27)</f>
        <v>-4.5362247783059549E-2</v>
      </c>
      <c r="F29">
        <f>CORREL(E3:E27,F3:F27)</f>
        <v>0.26183885230738052</v>
      </c>
      <c r="G29">
        <f>CORREL(E3:E27,G3:G27)</f>
        <v>0.18774078621845205</v>
      </c>
      <c r="I29">
        <f>CORREL(H3:H27,I3:I27)</f>
        <v>-6.1034719862248996E-2</v>
      </c>
      <c r="K29">
        <f>CORREL(J3:J27,K3:K27)</f>
        <v>-0.1623328065385643</v>
      </c>
      <c r="M29">
        <f>CORREL(L3:L27,M3:M27)</f>
        <v>2.1386065955141954E-2</v>
      </c>
      <c r="O29">
        <f>CORREL(N3:N27,O3:O27)</f>
        <v>-0.10109341024130186</v>
      </c>
      <c r="Q29">
        <f>CORREL(P3:P27,Q3:Q27)</f>
        <v>-0.17683662935905278</v>
      </c>
      <c r="S29">
        <f>CORREL(R3:R27,S3:S27)</f>
        <v>7.3442029525241259E-2</v>
      </c>
      <c r="U29">
        <f>CORREL(T3:T27,U3:U27)</f>
        <v>6.9903023323042268E-2</v>
      </c>
      <c r="W29">
        <f>CORREL(V3:V27,W3:W27)</f>
        <v>-2.10588153397561E-2</v>
      </c>
      <c r="Y29">
        <f>CORREL(X3:X27,Y3:Y27)</f>
        <v>1.1515389506774968E-2</v>
      </c>
      <c r="AA29">
        <f>CORREL(Z3:Z27,AA3:AA27)</f>
        <v>-3.4525699515788009E-3</v>
      </c>
      <c r="AC29">
        <f>CORREL(AB3:AB27,AC3:AC27)</f>
        <v>1.4235839816731523E-2</v>
      </c>
      <c r="AE29">
        <f>CORREL(AD3:AD27,AE3:AE27)</f>
        <v>0.22008030776967047</v>
      </c>
      <c r="AF29">
        <f>CORREL(AD3:AD27,AF3:AF27)</f>
        <v>0.15375780114573148</v>
      </c>
      <c r="AH29">
        <f>CORREL(AG3:AG27,AH3:AH27)</f>
        <v>-0.26297335106348491</v>
      </c>
      <c r="AJ29">
        <f>CORREL(AI3:AI27,AJ3:AJ27)</f>
        <v>0.16013140938933276</v>
      </c>
      <c r="AL29">
        <f>CORREL(AK3:AK27,AL3:AL27)</f>
        <v>0.15449921178981735</v>
      </c>
      <c r="AN29" s="68">
        <f>CORREL(AM3:AM27,AN3:AN27)</f>
        <v>0.37058034897471476</v>
      </c>
      <c r="AO29">
        <f>CORREL(AM3:AM27,AO3:AO27)</f>
        <v>-0.34313451038164178</v>
      </c>
      <c r="AQ29">
        <f>CORREL(AP3:AP27,AQ3:AQ27)</f>
        <v>1.8484808450937289E-2</v>
      </c>
    </row>
  </sheetData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E6FF-61FA-4CE3-80F3-E3136D241239}">
  <dimension ref="A1:AE57"/>
  <sheetViews>
    <sheetView topLeftCell="M1" workbookViewId="0">
      <selection activeCell="Z46" sqref="Z46"/>
    </sheetView>
  </sheetViews>
  <sheetFormatPr baseColWidth="10" defaultColWidth="8.83203125" defaultRowHeight="13"/>
  <cols>
    <col min="26" max="26" width="22.1640625" customWidth="1"/>
    <col min="27" max="27" width="15.5" customWidth="1"/>
    <col min="28" max="28" width="15.83203125" style="92" customWidth="1"/>
    <col min="30" max="30" width="15.6640625" customWidth="1"/>
    <col min="31" max="31" width="8.83203125" style="92"/>
  </cols>
  <sheetData>
    <row r="1" spans="1:31" ht="14">
      <c r="B1" s="33" t="s">
        <v>143</v>
      </c>
      <c r="C1" s="33" t="s">
        <v>143</v>
      </c>
      <c r="D1" s="33" t="s">
        <v>143</v>
      </c>
      <c r="E1" s="33" t="s">
        <v>143</v>
      </c>
      <c r="F1" s="33" t="s">
        <v>143</v>
      </c>
      <c r="G1" s="33" t="s">
        <v>143</v>
      </c>
      <c r="H1" s="33" t="s">
        <v>143</v>
      </c>
      <c r="I1" s="33" t="s">
        <v>143</v>
      </c>
      <c r="J1" s="33" t="s">
        <v>143</v>
      </c>
      <c r="K1" s="31" t="s">
        <v>342</v>
      </c>
      <c r="L1" s="31" t="s">
        <v>342</v>
      </c>
      <c r="M1" s="31" t="s">
        <v>342</v>
      </c>
      <c r="N1" s="31" t="s">
        <v>342</v>
      </c>
      <c r="O1" s="31" t="s">
        <v>342</v>
      </c>
      <c r="P1" s="31" t="s">
        <v>342</v>
      </c>
      <c r="Q1" s="86" t="s">
        <v>341</v>
      </c>
      <c r="R1" s="86" t="s">
        <v>341</v>
      </c>
      <c r="S1" s="86" t="s">
        <v>341</v>
      </c>
      <c r="T1" s="86" t="s">
        <v>341</v>
      </c>
      <c r="Z1" s="88" t="s">
        <v>343</v>
      </c>
      <c r="AA1" s="88" t="s">
        <v>344</v>
      </c>
      <c r="AB1" s="90" t="s">
        <v>345</v>
      </c>
      <c r="AD1" s="88" t="s">
        <v>343</v>
      </c>
      <c r="AE1" s="90" t="s">
        <v>345</v>
      </c>
    </row>
    <row r="2" spans="1:31" ht="14">
      <c r="A2" s="33" t="s">
        <v>346</v>
      </c>
      <c r="B2" t="s">
        <v>118</v>
      </c>
      <c r="C2" t="s">
        <v>117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136</v>
      </c>
      <c r="Q2" t="s">
        <v>132</v>
      </c>
      <c r="R2" t="s">
        <v>133</v>
      </c>
      <c r="S2" t="s">
        <v>134</v>
      </c>
      <c r="T2" t="s">
        <v>135</v>
      </c>
      <c r="U2" t="s">
        <v>142</v>
      </c>
      <c r="V2" t="s">
        <v>143</v>
      </c>
      <c r="W2" t="s">
        <v>144</v>
      </c>
      <c r="Z2" s="87" t="s">
        <v>341</v>
      </c>
      <c r="AA2" s="89" t="s">
        <v>134</v>
      </c>
      <c r="AB2" s="91">
        <v>0.37058034897471476</v>
      </c>
      <c r="AD2" s="87" t="s">
        <v>144</v>
      </c>
      <c r="AE2" s="91">
        <v>0.28482292821541388</v>
      </c>
    </row>
    <row r="3" spans="1:31">
      <c r="A3">
        <v>1.61</v>
      </c>
      <c r="B3">
        <v>4</v>
      </c>
      <c r="C3">
        <v>3</v>
      </c>
      <c r="D3">
        <v>2</v>
      </c>
      <c r="E3">
        <v>2</v>
      </c>
      <c r="F3">
        <v>3</v>
      </c>
      <c r="G3">
        <v>2</v>
      </c>
      <c r="H3">
        <v>4</v>
      </c>
      <c r="I3">
        <v>4</v>
      </c>
      <c r="J3">
        <v>4</v>
      </c>
      <c r="K3">
        <v>4</v>
      </c>
      <c r="L3">
        <v>3</v>
      </c>
      <c r="M3">
        <v>4</v>
      </c>
      <c r="N3">
        <v>3</v>
      </c>
      <c r="O3">
        <v>4</v>
      </c>
      <c r="P3">
        <v>3</v>
      </c>
      <c r="Q3">
        <v>2</v>
      </c>
      <c r="R3">
        <v>4</v>
      </c>
      <c r="S3">
        <v>4</v>
      </c>
      <c r="T3">
        <v>4</v>
      </c>
      <c r="U3">
        <v>21</v>
      </c>
      <c r="V3">
        <v>28</v>
      </c>
      <c r="W3">
        <v>10</v>
      </c>
      <c r="Z3" s="87" t="s">
        <v>143</v>
      </c>
      <c r="AA3" s="87" t="s">
        <v>117</v>
      </c>
      <c r="AB3" s="91">
        <v>0.26183885230738052</v>
      </c>
      <c r="AD3" s="87" t="s">
        <v>142</v>
      </c>
      <c r="AE3" s="91">
        <v>5.7684125308039083E-3</v>
      </c>
    </row>
    <row r="4" spans="1:31">
      <c r="A4">
        <v>0.59</v>
      </c>
      <c r="B4">
        <v>3</v>
      </c>
      <c r="C4">
        <v>4</v>
      </c>
      <c r="D4">
        <v>2</v>
      </c>
      <c r="E4">
        <v>3</v>
      </c>
      <c r="F4">
        <v>4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4</v>
      </c>
      <c r="N4">
        <v>3</v>
      </c>
      <c r="O4">
        <v>3</v>
      </c>
      <c r="P4">
        <v>4</v>
      </c>
      <c r="Q4">
        <v>2</v>
      </c>
      <c r="R4">
        <v>3</v>
      </c>
      <c r="S4">
        <v>3</v>
      </c>
      <c r="T4">
        <v>3</v>
      </c>
      <c r="U4">
        <v>20</v>
      </c>
      <c r="V4">
        <v>28</v>
      </c>
      <c r="W4">
        <v>8</v>
      </c>
      <c r="Z4" s="87" t="s">
        <v>342</v>
      </c>
      <c r="AA4" s="87" t="s">
        <v>130</v>
      </c>
      <c r="AB4" s="91">
        <v>0.22008030776967047</v>
      </c>
      <c r="AD4" s="87" t="s">
        <v>143</v>
      </c>
      <c r="AE4" s="91">
        <v>-1.4185579416044843E-2</v>
      </c>
    </row>
    <row r="5" spans="1:31">
      <c r="A5">
        <v>0.53</v>
      </c>
      <c r="B5">
        <v>3</v>
      </c>
      <c r="C5">
        <v>3</v>
      </c>
      <c r="D5">
        <v>2</v>
      </c>
      <c r="E5">
        <v>3</v>
      </c>
      <c r="F5">
        <v>4</v>
      </c>
      <c r="G5">
        <v>2</v>
      </c>
      <c r="H5">
        <v>3</v>
      </c>
      <c r="I5">
        <v>4</v>
      </c>
      <c r="J5">
        <v>4</v>
      </c>
      <c r="K5">
        <v>3</v>
      </c>
      <c r="L5">
        <v>4</v>
      </c>
      <c r="M5">
        <v>5</v>
      </c>
      <c r="N5">
        <v>4</v>
      </c>
      <c r="O5">
        <v>3</v>
      </c>
      <c r="P5">
        <v>4</v>
      </c>
      <c r="Q5">
        <v>3</v>
      </c>
      <c r="R5">
        <v>2</v>
      </c>
      <c r="S5">
        <v>1</v>
      </c>
      <c r="T5">
        <v>3</v>
      </c>
      <c r="U5">
        <v>23</v>
      </c>
      <c r="V5">
        <v>28</v>
      </c>
      <c r="W5">
        <v>6</v>
      </c>
      <c r="Z5" s="87" t="s">
        <v>341</v>
      </c>
      <c r="AA5" s="87" t="s">
        <v>132</v>
      </c>
      <c r="AB5" s="91">
        <v>0.16013140938933276</v>
      </c>
    </row>
    <row r="6" spans="1:31">
      <c r="A6">
        <v>0.99</v>
      </c>
      <c r="B6">
        <v>3</v>
      </c>
      <c r="C6">
        <v>3</v>
      </c>
      <c r="D6">
        <v>3</v>
      </c>
      <c r="E6">
        <v>3</v>
      </c>
      <c r="F6">
        <v>2</v>
      </c>
      <c r="G6">
        <v>1</v>
      </c>
      <c r="H6">
        <v>2</v>
      </c>
      <c r="I6">
        <v>1</v>
      </c>
      <c r="J6">
        <v>1</v>
      </c>
      <c r="K6">
        <v>1</v>
      </c>
      <c r="L6">
        <v>3</v>
      </c>
      <c r="M6">
        <v>2</v>
      </c>
      <c r="N6">
        <v>3</v>
      </c>
      <c r="O6">
        <v>3</v>
      </c>
      <c r="P6">
        <v>2</v>
      </c>
      <c r="Q6">
        <v>2</v>
      </c>
      <c r="R6">
        <v>3</v>
      </c>
      <c r="S6">
        <v>3</v>
      </c>
      <c r="T6">
        <v>3</v>
      </c>
      <c r="U6">
        <v>14</v>
      </c>
      <c r="V6">
        <v>19</v>
      </c>
      <c r="W6">
        <v>8</v>
      </c>
      <c r="Z6" s="87" t="s">
        <v>341</v>
      </c>
      <c r="AA6" s="87" t="s">
        <v>133</v>
      </c>
      <c r="AB6" s="91">
        <v>0.15449921178981735</v>
      </c>
    </row>
    <row r="7" spans="1:31">
      <c r="A7">
        <v>1.03</v>
      </c>
      <c r="B7">
        <v>4</v>
      </c>
      <c r="C7">
        <v>3</v>
      </c>
      <c r="D7">
        <v>3</v>
      </c>
      <c r="E7">
        <v>2</v>
      </c>
      <c r="F7">
        <v>1</v>
      </c>
      <c r="G7">
        <v>1</v>
      </c>
      <c r="H7">
        <v>2</v>
      </c>
      <c r="I7">
        <v>3</v>
      </c>
      <c r="J7">
        <v>3</v>
      </c>
      <c r="K7">
        <v>3</v>
      </c>
      <c r="L7">
        <v>2</v>
      </c>
      <c r="M7">
        <v>3</v>
      </c>
      <c r="N7">
        <v>1</v>
      </c>
      <c r="O7">
        <v>3</v>
      </c>
      <c r="P7">
        <v>3</v>
      </c>
      <c r="Q7">
        <v>2</v>
      </c>
      <c r="R7">
        <v>2</v>
      </c>
      <c r="S7">
        <v>1</v>
      </c>
      <c r="T7">
        <v>2</v>
      </c>
      <c r="U7">
        <v>15</v>
      </c>
      <c r="V7">
        <v>22</v>
      </c>
      <c r="W7">
        <v>5</v>
      </c>
      <c r="Z7" s="87" t="s">
        <v>143</v>
      </c>
      <c r="AA7" s="87" t="s">
        <v>124</v>
      </c>
      <c r="AB7" s="91">
        <v>7.3442029525241259E-2</v>
      </c>
    </row>
    <row r="8" spans="1:31">
      <c r="A8">
        <v>1.22</v>
      </c>
      <c r="B8">
        <v>2</v>
      </c>
      <c r="C8">
        <v>3</v>
      </c>
      <c r="D8">
        <v>3</v>
      </c>
      <c r="E8">
        <v>3</v>
      </c>
      <c r="F8">
        <v>3</v>
      </c>
      <c r="G8">
        <v>2</v>
      </c>
      <c r="H8">
        <v>3</v>
      </c>
      <c r="I8">
        <v>3</v>
      </c>
      <c r="J8">
        <v>3</v>
      </c>
      <c r="K8">
        <v>3</v>
      </c>
      <c r="L8">
        <v>4</v>
      </c>
      <c r="M8">
        <v>3</v>
      </c>
      <c r="N8">
        <v>4</v>
      </c>
      <c r="O8">
        <v>4</v>
      </c>
      <c r="P8">
        <v>4</v>
      </c>
      <c r="Q8">
        <v>4</v>
      </c>
      <c r="R8">
        <v>4</v>
      </c>
      <c r="S8">
        <v>5</v>
      </c>
      <c r="T8">
        <v>3</v>
      </c>
      <c r="U8">
        <v>22</v>
      </c>
      <c r="V8">
        <v>25</v>
      </c>
      <c r="W8">
        <v>13</v>
      </c>
      <c r="Z8" s="87" t="s">
        <v>143</v>
      </c>
      <c r="AA8" s="87" t="s">
        <v>125</v>
      </c>
      <c r="AB8" s="91">
        <v>6.9903023323042268E-2</v>
      </c>
    </row>
    <row r="9" spans="1:31">
      <c r="A9">
        <v>0.68</v>
      </c>
      <c r="B9">
        <v>4</v>
      </c>
      <c r="C9">
        <v>3</v>
      </c>
      <c r="D9">
        <v>4</v>
      </c>
      <c r="E9">
        <v>3</v>
      </c>
      <c r="F9">
        <v>4</v>
      </c>
      <c r="G9">
        <v>5</v>
      </c>
      <c r="H9">
        <v>5</v>
      </c>
      <c r="I9">
        <v>4</v>
      </c>
      <c r="J9">
        <v>5</v>
      </c>
      <c r="K9">
        <v>5</v>
      </c>
      <c r="L9">
        <v>4</v>
      </c>
      <c r="M9">
        <v>5</v>
      </c>
      <c r="N9">
        <v>4</v>
      </c>
      <c r="O9">
        <v>5</v>
      </c>
      <c r="P9">
        <v>4</v>
      </c>
      <c r="Q9">
        <v>5</v>
      </c>
      <c r="R9">
        <v>4</v>
      </c>
      <c r="S9">
        <v>2</v>
      </c>
      <c r="T9">
        <v>5</v>
      </c>
      <c r="U9">
        <v>27</v>
      </c>
      <c r="V9">
        <v>37</v>
      </c>
      <c r="W9">
        <v>11</v>
      </c>
      <c r="Z9" s="87" t="s">
        <v>143</v>
      </c>
      <c r="AA9" s="87" t="s">
        <v>121</v>
      </c>
      <c r="AB9" s="91">
        <v>2.1386065955141954E-2</v>
      </c>
    </row>
    <row r="10" spans="1:31">
      <c r="A10">
        <v>1.74</v>
      </c>
      <c r="B10">
        <v>2</v>
      </c>
      <c r="C10">
        <v>4</v>
      </c>
      <c r="D10">
        <v>2</v>
      </c>
      <c r="E10">
        <v>2</v>
      </c>
      <c r="F10">
        <v>2</v>
      </c>
      <c r="G10">
        <v>2</v>
      </c>
      <c r="H10">
        <v>3</v>
      </c>
      <c r="I10">
        <v>3</v>
      </c>
      <c r="J10">
        <v>3</v>
      </c>
      <c r="K10">
        <v>3</v>
      </c>
      <c r="L10">
        <v>2</v>
      </c>
      <c r="M10">
        <v>4</v>
      </c>
      <c r="N10">
        <v>3</v>
      </c>
      <c r="O10">
        <v>3</v>
      </c>
      <c r="P10">
        <v>3</v>
      </c>
      <c r="Q10">
        <v>3</v>
      </c>
      <c r="R10">
        <v>3</v>
      </c>
      <c r="S10">
        <v>5</v>
      </c>
      <c r="T10">
        <v>3</v>
      </c>
      <c r="U10">
        <v>18</v>
      </c>
      <c r="V10">
        <v>23</v>
      </c>
      <c r="W10">
        <v>11</v>
      </c>
      <c r="Z10" s="87" t="s">
        <v>341</v>
      </c>
      <c r="AA10" s="87" t="s">
        <v>135</v>
      </c>
      <c r="AB10" s="91">
        <v>1.8484808450937289E-2</v>
      </c>
    </row>
    <row r="11" spans="1:31">
      <c r="A11">
        <v>0.85</v>
      </c>
      <c r="B11">
        <v>1</v>
      </c>
      <c r="C11">
        <v>2</v>
      </c>
      <c r="D11">
        <v>2</v>
      </c>
      <c r="E11">
        <v>2</v>
      </c>
      <c r="F11">
        <v>2</v>
      </c>
      <c r="G11">
        <v>1</v>
      </c>
      <c r="H11">
        <v>3</v>
      </c>
      <c r="I11">
        <v>1</v>
      </c>
      <c r="J11">
        <v>3</v>
      </c>
      <c r="K11">
        <v>2</v>
      </c>
      <c r="L11">
        <v>3</v>
      </c>
      <c r="M11">
        <v>4</v>
      </c>
      <c r="N11">
        <v>2</v>
      </c>
      <c r="O11">
        <v>4</v>
      </c>
      <c r="P11">
        <v>3</v>
      </c>
      <c r="Q11">
        <v>2</v>
      </c>
      <c r="R11">
        <v>4</v>
      </c>
      <c r="S11">
        <v>1</v>
      </c>
      <c r="T11">
        <v>2</v>
      </c>
      <c r="U11">
        <v>18</v>
      </c>
      <c r="V11">
        <v>17</v>
      </c>
      <c r="W11">
        <v>7</v>
      </c>
      <c r="Z11" s="87" t="s">
        <v>342</v>
      </c>
      <c r="AA11" s="87" t="s">
        <v>129</v>
      </c>
      <c r="AB11" s="91">
        <v>1.4235839816731523E-2</v>
      </c>
    </row>
    <row r="12" spans="1:31">
      <c r="A12">
        <v>0.88</v>
      </c>
      <c r="B12">
        <v>3</v>
      </c>
      <c r="C12">
        <v>3</v>
      </c>
      <c r="D12">
        <v>3</v>
      </c>
      <c r="E12">
        <v>3</v>
      </c>
      <c r="F12">
        <v>2</v>
      </c>
      <c r="G12">
        <v>2</v>
      </c>
      <c r="H12">
        <v>3</v>
      </c>
      <c r="I12">
        <v>3</v>
      </c>
      <c r="J12">
        <v>3</v>
      </c>
      <c r="K12">
        <v>2</v>
      </c>
      <c r="L12">
        <v>2</v>
      </c>
      <c r="M12">
        <v>3</v>
      </c>
      <c r="N12">
        <v>2</v>
      </c>
      <c r="O12">
        <v>3</v>
      </c>
      <c r="P12">
        <v>3</v>
      </c>
      <c r="Q12">
        <v>2</v>
      </c>
      <c r="R12">
        <v>3</v>
      </c>
      <c r="S12">
        <v>3</v>
      </c>
      <c r="T12">
        <v>3</v>
      </c>
      <c r="U12">
        <v>15</v>
      </c>
      <c r="V12">
        <v>25</v>
      </c>
      <c r="W12">
        <v>8</v>
      </c>
      <c r="Z12" s="87" t="s">
        <v>342</v>
      </c>
      <c r="AA12" s="87" t="s">
        <v>127</v>
      </c>
      <c r="AB12" s="91">
        <v>1.1515389506774968E-2</v>
      </c>
    </row>
    <row r="13" spans="1:31">
      <c r="A13">
        <v>1.0900000000000001</v>
      </c>
      <c r="B13">
        <v>3</v>
      </c>
      <c r="C13">
        <v>3</v>
      </c>
      <c r="D13">
        <v>2</v>
      </c>
      <c r="E13">
        <v>2</v>
      </c>
      <c r="F13">
        <v>3</v>
      </c>
      <c r="G13">
        <v>3</v>
      </c>
      <c r="H13">
        <v>3</v>
      </c>
      <c r="I13">
        <v>4</v>
      </c>
      <c r="J13">
        <v>5</v>
      </c>
      <c r="K13">
        <v>5</v>
      </c>
      <c r="L13">
        <v>3</v>
      </c>
      <c r="M13">
        <v>4</v>
      </c>
      <c r="N13">
        <v>3</v>
      </c>
      <c r="O13">
        <v>4</v>
      </c>
      <c r="P13">
        <v>4</v>
      </c>
      <c r="Q13">
        <v>3</v>
      </c>
      <c r="R13">
        <v>3</v>
      </c>
      <c r="S13">
        <v>4</v>
      </c>
      <c r="T13">
        <v>4</v>
      </c>
      <c r="U13">
        <v>23</v>
      </c>
      <c r="V13">
        <v>28</v>
      </c>
      <c r="W13">
        <v>10</v>
      </c>
      <c r="Z13" s="87" t="s">
        <v>342</v>
      </c>
      <c r="AA13" s="87" t="s">
        <v>128</v>
      </c>
      <c r="AB13" s="91">
        <v>-3.4525699515788009E-3</v>
      </c>
    </row>
    <row r="14" spans="1:31">
      <c r="A14">
        <v>0.75</v>
      </c>
      <c r="B14">
        <v>1</v>
      </c>
      <c r="C14">
        <v>3</v>
      </c>
      <c r="D14">
        <v>2</v>
      </c>
      <c r="E14">
        <v>1</v>
      </c>
      <c r="F14">
        <v>2</v>
      </c>
      <c r="G14">
        <v>1</v>
      </c>
      <c r="H14">
        <v>2</v>
      </c>
      <c r="I14">
        <v>1</v>
      </c>
      <c r="J14">
        <v>1</v>
      </c>
      <c r="K14">
        <v>3</v>
      </c>
      <c r="L14">
        <v>1</v>
      </c>
      <c r="M14">
        <v>1</v>
      </c>
      <c r="N14">
        <v>1</v>
      </c>
      <c r="O14">
        <v>1</v>
      </c>
      <c r="P14">
        <v>5</v>
      </c>
      <c r="Q14">
        <v>1</v>
      </c>
      <c r="R14">
        <v>1</v>
      </c>
      <c r="S14">
        <v>1</v>
      </c>
      <c r="T14">
        <v>2</v>
      </c>
      <c r="U14">
        <v>12</v>
      </c>
      <c r="V14">
        <v>14</v>
      </c>
      <c r="W14">
        <v>3</v>
      </c>
      <c r="Z14" s="87" t="s">
        <v>342</v>
      </c>
      <c r="AA14" s="87" t="s">
        <v>126</v>
      </c>
      <c r="AB14" s="91">
        <v>-2.10588153397561E-2</v>
      </c>
    </row>
    <row r="15" spans="1:31">
      <c r="A15">
        <v>0.83</v>
      </c>
      <c r="B15">
        <v>4</v>
      </c>
      <c r="C15">
        <v>3</v>
      </c>
      <c r="D15">
        <v>2</v>
      </c>
      <c r="E15">
        <v>4</v>
      </c>
      <c r="F15">
        <v>3</v>
      </c>
      <c r="G15">
        <v>4</v>
      </c>
      <c r="H15">
        <v>3</v>
      </c>
      <c r="I15">
        <v>3</v>
      </c>
      <c r="J15">
        <v>1</v>
      </c>
      <c r="K15">
        <v>4</v>
      </c>
      <c r="L15">
        <v>2</v>
      </c>
      <c r="M15">
        <v>4</v>
      </c>
      <c r="N15">
        <v>5</v>
      </c>
      <c r="O15">
        <v>5</v>
      </c>
      <c r="P15">
        <v>4</v>
      </c>
      <c r="Q15">
        <v>2</v>
      </c>
      <c r="R15">
        <v>3</v>
      </c>
      <c r="S15">
        <v>2</v>
      </c>
      <c r="T15">
        <v>3</v>
      </c>
      <c r="U15">
        <v>24</v>
      </c>
      <c r="V15">
        <v>27</v>
      </c>
      <c r="W15">
        <v>7</v>
      </c>
      <c r="Z15" s="87" t="s">
        <v>143</v>
      </c>
      <c r="AA15" s="87" t="s">
        <v>118</v>
      </c>
      <c r="AB15" s="91">
        <v>-2.1151054241349186E-2</v>
      </c>
    </row>
    <row r="16" spans="1:31">
      <c r="A16">
        <v>2.0699999999999998</v>
      </c>
      <c r="B16">
        <v>3</v>
      </c>
      <c r="C16">
        <v>4</v>
      </c>
      <c r="D16">
        <v>2</v>
      </c>
      <c r="E16">
        <v>3</v>
      </c>
      <c r="F16">
        <v>5</v>
      </c>
      <c r="G16">
        <v>2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N16">
        <v>3</v>
      </c>
      <c r="O16">
        <v>4</v>
      </c>
      <c r="P16">
        <v>3</v>
      </c>
      <c r="Q16">
        <v>3</v>
      </c>
      <c r="R16">
        <v>2</v>
      </c>
      <c r="S16">
        <v>1</v>
      </c>
      <c r="T16">
        <v>2</v>
      </c>
      <c r="U16">
        <v>18</v>
      </c>
      <c r="V16">
        <v>27</v>
      </c>
      <c r="W16">
        <v>6</v>
      </c>
      <c r="Z16" s="87" t="s">
        <v>143</v>
      </c>
      <c r="AA16" s="87" t="s">
        <v>119</v>
      </c>
      <c r="AB16" s="91">
        <v>-6.1034719862248996E-2</v>
      </c>
    </row>
    <row r="17" spans="1:28">
      <c r="A17">
        <v>0.8</v>
      </c>
      <c r="B17">
        <v>5</v>
      </c>
      <c r="C17">
        <v>4</v>
      </c>
      <c r="D17">
        <v>2</v>
      </c>
      <c r="E17">
        <v>2</v>
      </c>
      <c r="F17">
        <v>3</v>
      </c>
      <c r="G17">
        <v>2</v>
      </c>
      <c r="H17">
        <v>3</v>
      </c>
      <c r="I17">
        <v>4</v>
      </c>
      <c r="J17">
        <v>3</v>
      </c>
      <c r="K17">
        <v>1</v>
      </c>
      <c r="L17">
        <v>2</v>
      </c>
      <c r="M17">
        <v>1</v>
      </c>
      <c r="N17">
        <v>1</v>
      </c>
      <c r="O17">
        <v>1</v>
      </c>
      <c r="P17">
        <v>2</v>
      </c>
      <c r="Q17">
        <v>1</v>
      </c>
      <c r="R17">
        <v>2</v>
      </c>
      <c r="S17">
        <v>2</v>
      </c>
      <c r="T17">
        <v>3</v>
      </c>
      <c r="U17">
        <v>8</v>
      </c>
      <c r="V17">
        <v>28</v>
      </c>
      <c r="W17">
        <v>5</v>
      </c>
      <c r="Z17" s="87" t="s">
        <v>143</v>
      </c>
      <c r="AA17" s="87" t="s">
        <v>122</v>
      </c>
      <c r="AB17" s="91">
        <v>-0.10109341024130186</v>
      </c>
    </row>
    <row r="18" spans="1:28">
      <c r="A18">
        <v>1.07</v>
      </c>
      <c r="B18">
        <v>4</v>
      </c>
      <c r="C18">
        <v>4</v>
      </c>
      <c r="D18">
        <v>2</v>
      </c>
      <c r="E18">
        <v>3</v>
      </c>
      <c r="F18">
        <v>4</v>
      </c>
      <c r="G18">
        <v>1</v>
      </c>
      <c r="H18">
        <v>2</v>
      </c>
      <c r="I18">
        <v>1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4</v>
      </c>
      <c r="Q18">
        <v>3</v>
      </c>
      <c r="R18">
        <v>3</v>
      </c>
      <c r="S18">
        <v>3</v>
      </c>
      <c r="T18">
        <v>3</v>
      </c>
      <c r="U18">
        <v>19</v>
      </c>
      <c r="V18">
        <v>24</v>
      </c>
      <c r="W18">
        <v>9</v>
      </c>
      <c r="Z18" s="87" t="s">
        <v>143</v>
      </c>
      <c r="AA18" s="87" t="s">
        <v>120</v>
      </c>
      <c r="AB18" s="91">
        <v>-0.1623328065385643</v>
      </c>
    </row>
    <row r="19" spans="1:28">
      <c r="A19">
        <v>1.1299999999999999</v>
      </c>
      <c r="B19">
        <v>3</v>
      </c>
      <c r="C19">
        <v>4</v>
      </c>
      <c r="D19">
        <v>2</v>
      </c>
      <c r="E19">
        <v>2</v>
      </c>
      <c r="F19">
        <v>3</v>
      </c>
      <c r="G19">
        <v>2</v>
      </c>
      <c r="H19">
        <v>2</v>
      </c>
      <c r="I19">
        <v>3</v>
      </c>
      <c r="J19">
        <v>3</v>
      </c>
      <c r="K19">
        <v>5</v>
      </c>
      <c r="L19">
        <v>2</v>
      </c>
      <c r="M19">
        <v>2</v>
      </c>
      <c r="N19">
        <v>3</v>
      </c>
      <c r="O19">
        <v>4</v>
      </c>
      <c r="P19">
        <v>3</v>
      </c>
      <c r="Q19">
        <v>4</v>
      </c>
      <c r="R19">
        <v>4</v>
      </c>
      <c r="S19">
        <v>5</v>
      </c>
      <c r="T19">
        <v>4</v>
      </c>
      <c r="U19">
        <v>19</v>
      </c>
      <c r="V19">
        <v>24</v>
      </c>
      <c r="W19">
        <v>13</v>
      </c>
      <c r="Z19" s="87" t="s">
        <v>143</v>
      </c>
      <c r="AA19" s="87" t="s">
        <v>123</v>
      </c>
      <c r="AB19" s="91">
        <v>-0.17683662935905278</v>
      </c>
    </row>
    <row r="20" spans="1:28">
      <c r="A20">
        <v>1.01</v>
      </c>
      <c r="B20">
        <v>2</v>
      </c>
      <c r="C20">
        <v>3</v>
      </c>
      <c r="D20">
        <v>2</v>
      </c>
      <c r="E20">
        <v>4</v>
      </c>
      <c r="F20">
        <v>3</v>
      </c>
      <c r="G20">
        <v>4</v>
      </c>
      <c r="H20">
        <v>5</v>
      </c>
      <c r="I20">
        <v>5</v>
      </c>
      <c r="J20">
        <v>5</v>
      </c>
      <c r="K20">
        <v>5</v>
      </c>
      <c r="L20">
        <v>5</v>
      </c>
      <c r="M20">
        <v>4</v>
      </c>
      <c r="N20">
        <v>5</v>
      </c>
      <c r="O20">
        <v>5</v>
      </c>
      <c r="P20">
        <v>3</v>
      </c>
      <c r="Q20">
        <v>5</v>
      </c>
      <c r="R20">
        <v>5</v>
      </c>
      <c r="S20">
        <v>5</v>
      </c>
      <c r="T20">
        <v>5</v>
      </c>
      <c r="U20">
        <v>27</v>
      </c>
      <c r="V20">
        <v>33</v>
      </c>
      <c r="W20">
        <v>15</v>
      </c>
      <c r="Z20" s="87" t="s">
        <v>342</v>
      </c>
      <c r="AA20" s="87" t="s">
        <v>136</v>
      </c>
      <c r="AB20" s="91">
        <v>-0.26297335106348491</v>
      </c>
    </row>
    <row r="21" spans="1:28">
      <c r="A21">
        <v>0.76</v>
      </c>
      <c r="B21">
        <v>2</v>
      </c>
      <c r="C21">
        <v>1</v>
      </c>
      <c r="D21">
        <v>2</v>
      </c>
      <c r="E21">
        <v>2</v>
      </c>
      <c r="F21">
        <v>2</v>
      </c>
      <c r="G21">
        <v>2</v>
      </c>
      <c r="H21">
        <v>3</v>
      </c>
      <c r="I21">
        <v>4</v>
      </c>
      <c r="J21">
        <v>3</v>
      </c>
      <c r="K21">
        <v>2</v>
      </c>
      <c r="L21">
        <v>1</v>
      </c>
      <c r="M21">
        <v>3</v>
      </c>
      <c r="N21">
        <v>3</v>
      </c>
      <c r="O21">
        <v>3</v>
      </c>
      <c r="P21">
        <v>3</v>
      </c>
      <c r="Q21">
        <v>2</v>
      </c>
      <c r="R21">
        <v>2</v>
      </c>
      <c r="S21">
        <v>1</v>
      </c>
      <c r="T21">
        <v>2</v>
      </c>
      <c r="U21">
        <v>15</v>
      </c>
      <c r="V21">
        <v>21</v>
      </c>
      <c r="W21">
        <v>5</v>
      </c>
    </row>
    <row r="22" spans="1:28">
      <c r="A22">
        <v>0.94</v>
      </c>
      <c r="B22">
        <v>3</v>
      </c>
      <c r="C22">
        <v>4</v>
      </c>
      <c r="D22">
        <v>2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2</v>
      </c>
      <c r="L22">
        <v>4</v>
      </c>
      <c r="M22">
        <v>4</v>
      </c>
      <c r="N22">
        <v>3</v>
      </c>
      <c r="O22">
        <v>3</v>
      </c>
      <c r="P22">
        <v>3</v>
      </c>
      <c r="Q22">
        <v>3</v>
      </c>
      <c r="R22">
        <v>4</v>
      </c>
      <c r="S22">
        <v>2</v>
      </c>
      <c r="T22">
        <v>3</v>
      </c>
      <c r="U22">
        <v>19</v>
      </c>
      <c r="V22">
        <v>27</v>
      </c>
      <c r="W22">
        <v>9</v>
      </c>
    </row>
    <row r="23" spans="1:28">
      <c r="A23">
        <v>1.35</v>
      </c>
      <c r="B23">
        <v>3</v>
      </c>
      <c r="C23">
        <v>3</v>
      </c>
      <c r="D23">
        <v>3</v>
      </c>
      <c r="E23">
        <v>1</v>
      </c>
      <c r="F23">
        <v>2</v>
      </c>
      <c r="G23">
        <v>4</v>
      </c>
      <c r="H23">
        <v>2</v>
      </c>
      <c r="I23">
        <v>4</v>
      </c>
      <c r="J23">
        <v>4</v>
      </c>
      <c r="K23">
        <v>2</v>
      </c>
      <c r="L23">
        <v>3</v>
      </c>
      <c r="M23">
        <v>4</v>
      </c>
      <c r="N23">
        <v>3</v>
      </c>
      <c r="O23">
        <v>4</v>
      </c>
      <c r="P23">
        <v>3</v>
      </c>
      <c r="Q23">
        <v>4</v>
      </c>
      <c r="R23">
        <v>4</v>
      </c>
      <c r="S23">
        <v>5</v>
      </c>
      <c r="T23">
        <v>5</v>
      </c>
      <c r="U23">
        <v>19</v>
      </c>
      <c r="V23">
        <v>26</v>
      </c>
      <c r="W23">
        <v>13</v>
      </c>
    </row>
    <row r="24" spans="1:28">
      <c r="A24">
        <v>1.08</v>
      </c>
      <c r="B24">
        <v>2</v>
      </c>
      <c r="C24">
        <v>3</v>
      </c>
      <c r="D24">
        <v>2</v>
      </c>
      <c r="E24">
        <v>3</v>
      </c>
      <c r="F24">
        <v>2</v>
      </c>
      <c r="G24">
        <v>3</v>
      </c>
      <c r="H24">
        <v>4</v>
      </c>
      <c r="I24">
        <v>1</v>
      </c>
      <c r="J24">
        <v>1</v>
      </c>
      <c r="K24">
        <v>2</v>
      </c>
      <c r="L24">
        <v>1</v>
      </c>
      <c r="M24">
        <v>2</v>
      </c>
      <c r="N24">
        <v>2</v>
      </c>
      <c r="O24">
        <v>3</v>
      </c>
      <c r="P24">
        <v>3</v>
      </c>
      <c r="Q24">
        <v>1</v>
      </c>
      <c r="R24">
        <v>3</v>
      </c>
      <c r="S24">
        <v>2</v>
      </c>
      <c r="T24">
        <v>3</v>
      </c>
      <c r="U24">
        <v>13</v>
      </c>
      <c r="V24">
        <v>21</v>
      </c>
      <c r="W24">
        <v>6</v>
      </c>
    </row>
    <row r="25" spans="1:28">
      <c r="A25">
        <v>1.3</v>
      </c>
      <c r="B25">
        <v>3</v>
      </c>
      <c r="C25">
        <v>3</v>
      </c>
      <c r="D25">
        <v>3</v>
      </c>
      <c r="E25">
        <v>2</v>
      </c>
      <c r="F25">
        <v>1</v>
      </c>
      <c r="G25">
        <v>2</v>
      </c>
      <c r="H25">
        <v>3</v>
      </c>
      <c r="I25">
        <v>5</v>
      </c>
      <c r="J25">
        <v>3</v>
      </c>
      <c r="K25">
        <v>3</v>
      </c>
      <c r="L25">
        <v>3</v>
      </c>
      <c r="M25">
        <v>4</v>
      </c>
      <c r="N25">
        <v>3</v>
      </c>
      <c r="O25">
        <v>5</v>
      </c>
      <c r="P25">
        <v>3</v>
      </c>
      <c r="Q25">
        <v>3</v>
      </c>
      <c r="R25">
        <v>4</v>
      </c>
      <c r="S25">
        <v>3</v>
      </c>
      <c r="T25">
        <v>3</v>
      </c>
      <c r="U25">
        <v>21</v>
      </c>
      <c r="V25">
        <v>25</v>
      </c>
      <c r="W25">
        <v>10</v>
      </c>
    </row>
    <row r="26" spans="1:28">
      <c r="A26">
        <v>0.97</v>
      </c>
      <c r="B26">
        <v>4</v>
      </c>
      <c r="C26">
        <v>3</v>
      </c>
      <c r="D26">
        <v>2</v>
      </c>
      <c r="E26">
        <v>4</v>
      </c>
      <c r="F26">
        <v>4</v>
      </c>
      <c r="G26">
        <v>2</v>
      </c>
      <c r="H26">
        <v>4</v>
      </c>
      <c r="I26">
        <v>4</v>
      </c>
      <c r="J26">
        <v>3</v>
      </c>
      <c r="K26">
        <v>3</v>
      </c>
      <c r="L26">
        <v>3</v>
      </c>
      <c r="M26">
        <v>4</v>
      </c>
      <c r="N26">
        <v>4</v>
      </c>
      <c r="O26">
        <v>5</v>
      </c>
      <c r="P26">
        <v>5</v>
      </c>
      <c r="Q26">
        <v>3</v>
      </c>
      <c r="R26">
        <v>3</v>
      </c>
      <c r="S26">
        <v>3</v>
      </c>
      <c r="T26">
        <v>4</v>
      </c>
      <c r="U26">
        <v>24</v>
      </c>
      <c r="V26">
        <v>30</v>
      </c>
      <c r="W26">
        <v>9</v>
      </c>
    </row>
    <row r="27" spans="1:28">
      <c r="A27">
        <v>1.04</v>
      </c>
      <c r="B27">
        <v>4</v>
      </c>
      <c r="C27">
        <v>5</v>
      </c>
      <c r="D27">
        <v>2</v>
      </c>
      <c r="E27">
        <v>4</v>
      </c>
      <c r="F27">
        <v>3</v>
      </c>
      <c r="G27">
        <v>5</v>
      </c>
      <c r="H27">
        <v>2</v>
      </c>
      <c r="I27">
        <v>5</v>
      </c>
      <c r="J27">
        <v>4</v>
      </c>
      <c r="K27">
        <v>5</v>
      </c>
      <c r="L27">
        <v>4</v>
      </c>
      <c r="M27">
        <v>4</v>
      </c>
      <c r="N27">
        <v>5</v>
      </c>
      <c r="O27">
        <v>5</v>
      </c>
      <c r="P27">
        <v>5</v>
      </c>
      <c r="Q27">
        <v>5</v>
      </c>
      <c r="R27">
        <v>4</v>
      </c>
      <c r="S27">
        <v>3</v>
      </c>
      <c r="T27">
        <v>4</v>
      </c>
      <c r="U27">
        <v>28</v>
      </c>
      <c r="V27">
        <v>34</v>
      </c>
      <c r="W27">
        <v>12</v>
      </c>
    </row>
    <row r="28" spans="1:28">
      <c r="B28">
        <f t="shared" ref="B28:W28" si="0">CORREL($A$3:$A$27,B3:B27)</f>
        <v>-2.1151054241349186E-2</v>
      </c>
      <c r="C28" s="85">
        <f t="shared" si="0"/>
        <v>0.26183885230738052</v>
      </c>
      <c r="D28">
        <f t="shared" si="0"/>
        <v>-6.1034719862248996E-2</v>
      </c>
      <c r="E28">
        <f t="shared" si="0"/>
        <v>-0.1623328065385643</v>
      </c>
      <c r="F28">
        <f t="shared" si="0"/>
        <v>2.1386065955141954E-2</v>
      </c>
      <c r="G28">
        <f t="shared" si="0"/>
        <v>-0.10109341024130186</v>
      </c>
      <c r="H28">
        <f t="shared" si="0"/>
        <v>-0.17683662935905278</v>
      </c>
      <c r="I28">
        <f t="shared" si="0"/>
        <v>7.3442029525241259E-2</v>
      </c>
      <c r="J28">
        <f t="shared" si="0"/>
        <v>6.9903023323042268E-2</v>
      </c>
      <c r="K28">
        <f t="shared" si="0"/>
        <v>-2.10588153397561E-2</v>
      </c>
      <c r="L28">
        <f t="shared" si="0"/>
        <v>1.1515389506774968E-2</v>
      </c>
      <c r="M28">
        <f t="shared" si="0"/>
        <v>-3.4525699515788009E-3</v>
      </c>
      <c r="N28">
        <f t="shared" si="0"/>
        <v>1.4235839816731523E-2</v>
      </c>
      <c r="O28" s="85">
        <f t="shared" si="0"/>
        <v>0.22008030776967047</v>
      </c>
      <c r="P28">
        <f t="shared" si="0"/>
        <v>-0.26297335106348491</v>
      </c>
      <c r="Q28">
        <f t="shared" si="0"/>
        <v>0.16013140938933276</v>
      </c>
      <c r="R28">
        <f t="shared" si="0"/>
        <v>0.15449921178981735</v>
      </c>
      <c r="S28" s="85">
        <f t="shared" si="0"/>
        <v>0.37058034897471476</v>
      </c>
      <c r="T28">
        <f t="shared" si="0"/>
        <v>1.8484808450937289E-2</v>
      </c>
      <c r="U28">
        <f t="shared" si="0"/>
        <v>5.7684125308039083E-3</v>
      </c>
      <c r="V28">
        <f t="shared" si="0"/>
        <v>-1.4185579416044843E-2</v>
      </c>
      <c r="W28" s="85">
        <f t="shared" si="0"/>
        <v>0.28482292821541388</v>
      </c>
    </row>
    <row r="31" spans="1:28">
      <c r="B31" t="s">
        <v>134</v>
      </c>
    </row>
    <row r="32" spans="1:28">
      <c r="A32">
        <v>1.61</v>
      </c>
      <c r="B32">
        <v>4</v>
      </c>
    </row>
    <row r="33" spans="1:2">
      <c r="A33">
        <v>0.59</v>
      </c>
      <c r="B33">
        <v>3</v>
      </c>
    </row>
    <row r="34" spans="1:2">
      <c r="A34">
        <v>0.53</v>
      </c>
      <c r="B34">
        <v>1</v>
      </c>
    </row>
    <row r="35" spans="1:2">
      <c r="A35">
        <v>0.99</v>
      </c>
      <c r="B35">
        <v>3</v>
      </c>
    </row>
    <row r="36" spans="1:2">
      <c r="A36">
        <v>1.03</v>
      </c>
      <c r="B36">
        <v>1</v>
      </c>
    </row>
    <row r="37" spans="1:2">
      <c r="A37">
        <v>1.22</v>
      </c>
      <c r="B37">
        <v>5</v>
      </c>
    </row>
    <row r="38" spans="1:2">
      <c r="A38">
        <v>0.68</v>
      </c>
      <c r="B38">
        <v>2</v>
      </c>
    </row>
    <row r="39" spans="1:2">
      <c r="A39">
        <v>1.74</v>
      </c>
      <c r="B39">
        <v>5</v>
      </c>
    </row>
    <row r="40" spans="1:2">
      <c r="A40">
        <v>0.85</v>
      </c>
      <c r="B40">
        <v>1</v>
      </c>
    </row>
    <row r="41" spans="1:2">
      <c r="A41">
        <v>0.88</v>
      </c>
      <c r="B41">
        <v>3</v>
      </c>
    </row>
    <row r="42" spans="1:2">
      <c r="A42">
        <v>1.0900000000000001</v>
      </c>
      <c r="B42">
        <v>4</v>
      </c>
    </row>
    <row r="43" spans="1:2">
      <c r="A43">
        <v>0.75</v>
      </c>
      <c r="B43">
        <v>1</v>
      </c>
    </row>
    <row r="44" spans="1:2">
      <c r="A44">
        <v>0.83</v>
      </c>
      <c r="B44">
        <v>2</v>
      </c>
    </row>
    <row r="45" spans="1:2">
      <c r="A45">
        <v>2.0699999999999998</v>
      </c>
      <c r="B45">
        <v>1</v>
      </c>
    </row>
    <row r="46" spans="1:2">
      <c r="A46">
        <v>0.8</v>
      </c>
      <c r="B46">
        <v>2</v>
      </c>
    </row>
    <row r="47" spans="1:2">
      <c r="A47">
        <v>1.07</v>
      </c>
      <c r="B47">
        <v>3</v>
      </c>
    </row>
    <row r="48" spans="1:2">
      <c r="A48">
        <v>1.1299999999999999</v>
      </c>
      <c r="B48">
        <v>5</v>
      </c>
    </row>
    <row r="49" spans="1:2">
      <c r="A49">
        <v>1.01</v>
      </c>
      <c r="B49">
        <v>5</v>
      </c>
    </row>
    <row r="50" spans="1:2">
      <c r="A50">
        <v>0.76</v>
      </c>
      <c r="B50">
        <v>1</v>
      </c>
    </row>
    <row r="51" spans="1:2">
      <c r="A51">
        <v>0.94</v>
      </c>
      <c r="B51">
        <v>2</v>
      </c>
    </row>
    <row r="52" spans="1:2">
      <c r="A52">
        <v>1.35</v>
      </c>
      <c r="B52">
        <v>5</v>
      </c>
    </row>
    <row r="53" spans="1:2">
      <c r="A53">
        <v>1.08</v>
      </c>
      <c r="B53">
        <v>2</v>
      </c>
    </row>
    <row r="54" spans="1:2">
      <c r="A54">
        <v>1.3</v>
      </c>
      <c r="B54">
        <v>3</v>
      </c>
    </row>
    <row r="55" spans="1:2">
      <c r="A55">
        <v>0.97</v>
      </c>
      <c r="B55">
        <v>3</v>
      </c>
    </row>
    <row r="56" spans="1:2">
      <c r="A56">
        <v>1.04</v>
      </c>
      <c r="B56">
        <v>3</v>
      </c>
    </row>
    <row r="57" spans="1:2">
      <c r="B57">
        <v>0.37058034897471476</v>
      </c>
    </row>
  </sheetData>
  <autoFilter ref="AD1:AE1" xr:uid="{7B78E6FF-61FA-4CE3-80F3-E3136D241239}">
    <sortState xmlns:xlrd2="http://schemas.microsoft.com/office/spreadsheetml/2017/richdata2" ref="AD2:AE4">
      <sortCondition descending="1" ref="AE1"/>
    </sortState>
  </autoFilter>
  <phoneticPr fontId="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EC08-0FA1-45EA-94C6-FAFF60493885}">
  <dimension ref="A1:J30"/>
  <sheetViews>
    <sheetView workbookViewId="0">
      <selection activeCell="N19" sqref="N19"/>
    </sheetView>
  </sheetViews>
  <sheetFormatPr baseColWidth="10" defaultColWidth="8.83203125" defaultRowHeight="13"/>
  <sheetData>
    <row r="1" spans="1:10" ht="14">
      <c r="A1" s="97" t="s">
        <v>187</v>
      </c>
      <c r="B1" s="96" t="s">
        <v>188</v>
      </c>
      <c r="C1" s="97" t="s">
        <v>189</v>
      </c>
      <c r="D1" s="97"/>
      <c r="E1" s="97"/>
      <c r="F1" s="97" t="s">
        <v>190</v>
      </c>
      <c r="G1" s="96" t="s">
        <v>191</v>
      </c>
      <c r="H1" s="97" t="s">
        <v>192</v>
      </c>
      <c r="I1" s="96" t="s">
        <v>193</v>
      </c>
      <c r="J1" s="97" t="s">
        <v>194</v>
      </c>
    </row>
    <row r="2" spans="1:10" ht="14">
      <c r="A2" s="97"/>
      <c r="B2" s="96"/>
      <c r="C2" s="76" t="s">
        <v>274</v>
      </c>
      <c r="D2" s="76" t="s">
        <v>275</v>
      </c>
      <c r="E2" s="76" t="s">
        <v>276</v>
      </c>
      <c r="F2" s="97"/>
      <c r="G2" s="96"/>
      <c r="H2" s="97"/>
      <c r="I2" s="96"/>
      <c r="J2" s="97"/>
    </row>
    <row r="3" spans="1:10" ht="14">
      <c r="A3" s="77">
        <v>300</v>
      </c>
      <c r="B3" s="77">
        <v>77</v>
      </c>
      <c r="C3" s="77">
        <v>21.1</v>
      </c>
      <c r="D3" s="77">
        <v>17.7</v>
      </c>
      <c r="E3" s="77">
        <v>31.7</v>
      </c>
      <c r="F3" s="77"/>
      <c r="G3" s="77"/>
      <c r="H3" s="77" t="s">
        <v>200</v>
      </c>
      <c r="I3" s="77"/>
      <c r="J3" s="71">
        <v>0.2986111111111111</v>
      </c>
    </row>
    <row r="4" spans="1:10" ht="14">
      <c r="A4" s="77">
        <v>321</v>
      </c>
      <c r="B4" s="77">
        <v>30</v>
      </c>
      <c r="C4" s="77">
        <v>1.4</v>
      </c>
      <c r="D4" s="77">
        <v>20.399999999999999</v>
      </c>
      <c r="E4" s="77">
        <v>19.399999999999999</v>
      </c>
      <c r="F4" s="77"/>
      <c r="G4" s="77" t="s">
        <v>200</v>
      </c>
      <c r="H4" s="77"/>
      <c r="I4" s="77" t="s">
        <v>200</v>
      </c>
      <c r="J4" s="71">
        <v>0.29166666666666669</v>
      </c>
    </row>
    <row r="5" spans="1:10" ht="14">
      <c r="A5" s="77">
        <v>323</v>
      </c>
      <c r="B5" s="77">
        <v>27</v>
      </c>
      <c r="C5" s="77">
        <v>0.4</v>
      </c>
      <c r="D5" s="77">
        <v>0.2</v>
      </c>
      <c r="E5" s="77">
        <v>1.5</v>
      </c>
      <c r="F5" s="77"/>
      <c r="G5" s="77"/>
      <c r="H5" s="77"/>
      <c r="I5" s="77"/>
      <c r="J5" s="71">
        <v>0.36944444444444446</v>
      </c>
    </row>
    <row r="6" spans="1:10" ht="14">
      <c r="A6" s="77">
        <v>324</v>
      </c>
      <c r="B6" s="77">
        <v>50</v>
      </c>
      <c r="C6" s="77">
        <v>9.5</v>
      </c>
      <c r="D6" s="77">
        <v>9.1999999999999993</v>
      </c>
      <c r="E6" s="77">
        <v>9.6</v>
      </c>
      <c r="F6" s="77"/>
      <c r="G6" s="77"/>
      <c r="H6" s="77" t="s">
        <v>200</v>
      </c>
      <c r="I6" s="77"/>
      <c r="J6" s="71"/>
    </row>
    <row r="7" spans="1:10" ht="14">
      <c r="A7" s="77">
        <v>325</v>
      </c>
      <c r="B7" s="77">
        <v>52</v>
      </c>
      <c r="C7" s="77">
        <v>6</v>
      </c>
      <c r="D7" s="77">
        <v>14.6</v>
      </c>
      <c r="E7" s="77">
        <v>40.200000000000003</v>
      </c>
      <c r="F7" s="77"/>
      <c r="G7" s="77"/>
      <c r="H7" s="77" t="s">
        <v>200</v>
      </c>
      <c r="I7" s="77"/>
      <c r="J7" s="71"/>
    </row>
    <row r="8" spans="1:10" ht="14">
      <c r="A8" s="77">
        <v>326</v>
      </c>
      <c r="B8" s="77">
        <v>10</v>
      </c>
      <c r="C8" s="77">
        <v>18.2</v>
      </c>
      <c r="D8" s="77">
        <v>17</v>
      </c>
      <c r="E8" s="77">
        <v>11.2</v>
      </c>
      <c r="F8" s="77"/>
      <c r="G8" s="77"/>
      <c r="H8" s="77"/>
      <c r="I8" s="77"/>
      <c r="J8" s="71"/>
    </row>
    <row r="9" spans="1:10" ht="14">
      <c r="A9" s="77">
        <v>327</v>
      </c>
      <c r="B9" s="77">
        <v>61</v>
      </c>
      <c r="C9" s="77">
        <v>3.2</v>
      </c>
      <c r="D9" s="77">
        <v>3.6</v>
      </c>
      <c r="E9" s="77">
        <v>4.9000000000000004</v>
      </c>
      <c r="F9" s="77"/>
      <c r="G9" s="77"/>
      <c r="H9" s="77" t="s">
        <v>200</v>
      </c>
      <c r="I9" s="77" t="s">
        <v>200</v>
      </c>
      <c r="J9" s="71">
        <v>0.27083333333333331</v>
      </c>
    </row>
    <row r="10" spans="1:10" ht="14">
      <c r="A10" s="77">
        <v>328</v>
      </c>
      <c r="B10" s="77">
        <v>34</v>
      </c>
      <c r="C10" s="77">
        <v>13.7</v>
      </c>
      <c r="D10" s="77">
        <v>8.6999999999999993</v>
      </c>
      <c r="E10" s="77">
        <v>15.6</v>
      </c>
      <c r="F10" s="77"/>
      <c r="G10" s="77"/>
      <c r="H10" s="77"/>
      <c r="I10" s="77"/>
      <c r="J10" s="71">
        <v>0.19097222222222221</v>
      </c>
    </row>
    <row r="11" spans="1:10" ht="14">
      <c r="A11" s="77">
        <v>329</v>
      </c>
      <c r="B11" s="77">
        <v>78</v>
      </c>
      <c r="C11" s="77">
        <v>0.1</v>
      </c>
      <c r="D11" s="77">
        <v>0</v>
      </c>
      <c r="E11" s="77">
        <v>0.1</v>
      </c>
      <c r="F11" s="77"/>
      <c r="G11" s="77"/>
      <c r="H11" s="77" t="s">
        <v>200</v>
      </c>
      <c r="I11" s="77"/>
      <c r="J11" s="71">
        <v>0.27083333333333331</v>
      </c>
    </row>
    <row r="12" spans="1:10" ht="14">
      <c r="A12" s="77">
        <v>330</v>
      </c>
      <c r="B12" s="77">
        <v>43</v>
      </c>
      <c r="C12" s="77">
        <v>2.7</v>
      </c>
      <c r="D12" s="77">
        <v>1.8</v>
      </c>
      <c r="E12" s="77">
        <v>1.4</v>
      </c>
      <c r="F12" s="77"/>
      <c r="G12" s="77"/>
      <c r="H12" s="77"/>
      <c r="I12" s="77"/>
      <c r="J12" s="71">
        <v>0.3527777777777778</v>
      </c>
    </row>
    <row r="13" spans="1:10" ht="14">
      <c r="A13" s="77">
        <v>331</v>
      </c>
      <c r="B13" s="77">
        <v>44</v>
      </c>
      <c r="C13" s="77">
        <v>31.8</v>
      </c>
      <c r="D13" s="77">
        <v>28.4</v>
      </c>
      <c r="E13" s="77">
        <v>35.4</v>
      </c>
      <c r="F13" s="77"/>
      <c r="G13" s="77"/>
      <c r="H13" s="77"/>
      <c r="I13" s="77"/>
      <c r="J13" s="71">
        <v>0.31666666666666665</v>
      </c>
    </row>
    <row r="14" spans="1:10" ht="14">
      <c r="A14" s="77">
        <v>332</v>
      </c>
      <c r="B14" s="77">
        <v>10</v>
      </c>
      <c r="C14" s="77">
        <v>12.1</v>
      </c>
      <c r="D14" s="77">
        <v>10.1</v>
      </c>
      <c r="E14" s="77">
        <v>7.7</v>
      </c>
      <c r="F14" s="77"/>
      <c r="G14" s="77"/>
      <c r="H14" s="77" t="s">
        <v>200</v>
      </c>
      <c r="I14" s="77"/>
      <c r="J14" s="71">
        <v>0.31388888888888888</v>
      </c>
    </row>
    <row r="15" spans="1:10" ht="14">
      <c r="A15" s="77">
        <v>333</v>
      </c>
      <c r="B15" s="77">
        <v>55</v>
      </c>
      <c r="C15" s="77">
        <v>14</v>
      </c>
      <c r="D15" s="77">
        <v>13.4</v>
      </c>
      <c r="E15" s="77">
        <v>9.3000000000000007</v>
      </c>
      <c r="F15" s="77"/>
      <c r="G15" s="77"/>
      <c r="H15" s="77" t="s">
        <v>200</v>
      </c>
      <c r="I15" s="77"/>
      <c r="J15" s="71">
        <v>0.36458333333333331</v>
      </c>
    </row>
    <row r="16" spans="1:10" ht="14">
      <c r="A16" s="77">
        <v>334</v>
      </c>
      <c r="B16" s="77">
        <v>38</v>
      </c>
      <c r="C16" s="77">
        <v>0.1</v>
      </c>
      <c r="D16" s="77">
        <v>0</v>
      </c>
      <c r="E16" s="77">
        <v>0</v>
      </c>
      <c r="F16" s="77"/>
      <c r="G16" s="77"/>
      <c r="H16" s="77"/>
      <c r="I16" s="77"/>
      <c r="J16" s="71">
        <v>0.3125</v>
      </c>
    </row>
    <row r="17" spans="1:10" ht="14">
      <c r="A17" s="77">
        <v>335</v>
      </c>
      <c r="B17" s="77">
        <v>42</v>
      </c>
      <c r="C17" s="77">
        <v>3.7</v>
      </c>
      <c r="D17" s="77">
        <v>6.3</v>
      </c>
      <c r="E17" s="77">
        <v>4</v>
      </c>
      <c r="F17" s="77"/>
      <c r="G17" s="77" t="s">
        <v>200</v>
      </c>
      <c r="H17" s="77"/>
      <c r="I17" s="77" t="s">
        <v>200</v>
      </c>
      <c r="J17" s="71"/>
    </row>
    <row r="18" spans="1:10" ht="14">
      <c r="A18" s="77">
        <v>336</v>
      </c>
      <c r="B18" s="77">
        <v>81</v>
      </c>
      <c r="C18" s="77">
        <v>10.8</v>
      </c>
      <c r="D18" s="77">
        <v>11.7</v>
      </c>
      <c r="E18" s="77">
        <v>3</v>
      </c>
      <c r="F18" s="77"/>
      <c r="G18" s="77"/>
      <c r="H18" s="77"/>
      <c r="I18" s="77"/>
      <c r="J18" s="71">
        <v>0.30138888888888887</v>
      </c>
    </row>
    <row r="19" spans="1:10" ht="14">
      <c r="A19" s="77">
        <v>337</v>
      </c>
      <c r="B19" s="77">
        <v>40</v>
      </c>
      <c r="C19" s="77">
        <v>14.8</v>
      </c>
      <c r="D19" s="77">
        <v>12.7</v>
      </c>
      <c r="E19" s="77">
        <v>24.4</v>
      </c>
      <c r="F19" s="77"/>
      <c r="G19" s="77"/>
      <c r="H19" s="77" t="s">
        <v>200</v>
      </c>
      <c r="I19" s="77"/>
      <c r="J19" s="71">
        <v>0.20833333333333334</v>
      </c>
    </row>
    <row r="20" spans="1:10" ht="14">
      <c r="A20" s="77">
        <v>338</v>
      </c>
      <c r="B20" s="77">
        <v>54</v>
      </c>
      <c r="C20" s="77">
        <v>15.5</v>
      </c>
      <c r="D20" s="77">
        <v>3.1</v>
      </c>
      <c r="E20" s="77">
        <v>0</v>
      </c>
      <c r="F20" s="77"/>
      <c r="G20" s="77"/>
      <c r="H20" s="77"/>
      <c r="I20" s="77"/>
      <c r="J20" s="71"/>
    </row>
    <row r="21" spans="1:10" ht="14">
      <c r="A21" s="77">
        <v>339</v>
      </c>
      <c r="B21" s="77">
        <v>57</v>
      </c>
      <c r="C21" s="77">
        <v>17.399999999999999</v>
      </c>
      <c r="D21" s="77">
        <v>7.8</v>
      </c>
      <c r="E21" s="77">
        <v>15</v>
      </c>
      <c r="F21" s="77"/>
      <c r="G21" s="77" t="s">
        <v>200</v>
      </c>
      <c r="H21" s="77" t="s">
        <v>200</v>
      </c>
      <c r="I21" s="77"/>
      <c r="J21" s="71">
        <v>0.34583333333333333</v>
      </c>
    </row>
    <row r="22" spans="1:10" ht="14">
      <c r="A22" s="77">
        <v>340</v>
      </c>
      <c r="B22" s="77">
        <v>51</v>
      </c>
      <c r="C22" s="77">
        <v>12.4</v>
      </c>
      <c r="D22" s="77">
        <v>5.5</v>
      </c>
      <c r="E22" s="77">
        <v>8.3000000000000007</v>
      </c>
      <c r="F22" s="77"/>
      <c r="G22" s="77"/>
      <c r="H22" s="77"/>
      <c r="I22" s="77"/>
      <c r="J22" s="71"/>
    </row>
    <row r="23" spans="1:10" ht="14">
      <c r="A23" s="77">
        <v>341</v>
      </c>
      <c r="B23" s="77">
        <v>38</v>
      </c>
      <c r="C23" s="77">
        <v>12.6</v>
      </c>
      <c r="D23" s="77">
        <v>16.100000000000001</v>
      </c>
      <c r="E23" s="77">
        <v>22.3</v>
      </c>
      <c r="F23" s="77"/>
      <c r="G23" s="77"/>
      <c r="H23" s="77"/>
      <c r="I23" s="77" t="s">
        <v>200</v>
      </c>
      <c r="J23" s="71">
        <v>0.3125</v>
      </c>
    </row>
    <row r="24" spans="1:10" ht="14">
      <c r="A24" s="77">
        <v>342</v>
      </c>
      <c r="B24" s="77">
        <v>47</v>
      </c>
      <c r="C24" s="77">
        <v>4.7</v>
      </c>
      <c r="D24" s="77">
        <v>0.5</v>
      </c>
      <c r="E24" s="77">
        <v>6.2</v>
      </c>
      <c r="F24" s="77"/>
      <c r="G24" s="77"/>
      <c r="H24" s="77" t="s">
        <v>200</v>
      </c>
      <c r="I24" s="77"/>
      <c r="J24" s="71">
        <v>0.40138888888888891</v>
      </c>
    </row>
    <row r="25" spans="1:10" ht="14">
      <c r="A25" s="77">
        <v>343</v>
      </c>
      <c r="B25" s="77">
        <v>68</v>
      </c>
      <c r="C25" s="77">
        <v>0.2</v>
      </c>
      <c r="D25" s="77">
        <v>0.5</v>
      </c>
      <c r="E25" s="77">
        <v>0.3</v>
      </c>
      <c r="F25" s="77"/>
      <c r="G25" s="77"/>
      <c r="H25" s="77" t="s">
        <v>200</v>
      </c>
      <c r="I25" s="77"/>
      <c r="J25" s="71"/>
    </row>
    <row r="26" spans="1:10" ht="14">
      <c r="A26" s="77">
        <v>344</v>
      </c>
      <c r="B26" s="77">
        <v>54</v>
      </c>
      <c r="C26" s="77">
        <v>0</v>
      </c>
      <c r="D26" s="77">
        <v>0</v>
      </c>
      <c r="E26" s="77">
        <v>11.6</v>
      </c>
      <c r="F26" s="77"/>
      <c r="G26" s="77" t="s">
        <v>200</v>
      </c>
      <c r="H26" s="77"/>
      <c r="I26" s="77"/>
      <c r="J26" s="71"/>
    </row>
    <row r="27" spans="1:10" ht="14">
      <c r="A27" s="77">
        <v>346</v>
      </c>
      <c r="B27" s="77">
        <v>65</v>
      </c>
      <c r="C27" s="77">
        <v>0</v>
      </c>
      <c r="D27" s="77">
        <v>4.8</v>
      </c>
      <c r="E27" s="77">
        <v>3.5</v>
      </c>
      <c r="F27" s="77"/>
      <c r="G27" s="77"/>
      <c r="H27" s="77"/>
      <c r="I27" s="77" t="s">
        <v>200</v>
      </c>
      <c r="J27" s="71">
        <v>0.29166666666666669</v>
      </c>
    </row>
    <row r="28" spans="1:10" ht="14">
      <c r="A28" s="77">
        <v>347</v>
      </c>
      <c r="B28" s="77">
        <v>49</v>
      </c>
      <c r="C28" s="77">
        <v>19.3</v>
      </c>
      <c r="D28" s="77">
        <v>16.8</v>
      </c>
      <c r="E28" s="77">
        <v>12.1</v>
      </c>
      <c r="F28" s="77"/>
      <c r="G28" s="77"/>
      <c r="H28" s="77" t="s">
        <v>200</v>
      </c>
      <c r="I28" s="77"/>
      <c r="J28" s="71">
        <v>0.28958333333333336</v>
      </c>
    </row>
    <row r="29" spans="1:10" ht="14">
      <c r="A29" s="77">
        <v>349</v>
      </c>
      <c r="B29" s="77">
        <v>52</v>
      </c>
      <c r="C29" s="77">
        <v>12.9</v>
      </c>
      <c r="D29" s="77">
        <v>36.299999999999997</v>
      </c>
      <c r="E29" s="77">
        <v>27.1</v>
      </c>
      <c r="F29" s="77"/>
      <c r="G29" s="77" t="s">
        <v>200</v>
      </c>
      <c r="H29" s="77"/>
      <c r="I29" s="77" t="s">
        <v>200</v>
      </c>
      <c r="J29" s="71">
        <v>0.29166666666666669</v>
      </c>
    </row>
    <row r="30" spans="1:10" ht="14">
      <c r="A30" s="77">
        <v>350</v>
      </c>
      <c r="B30" s="77">
        <v>10</v>
      </c>
      <c r="C30" s="77">
        <v>31.1</v>
      </c>
      <c r="D30" s="77">
        <v>19.5</v>
      </c>
      <c r="E30" s="77">
        <v>15.1</v>
      </c>
      <c r="F30" s="77"/>
      <c r="G30" s="77" t="s">
        <v>200</v>
      </c>
      <c r="H30" s="77"/>
      <c r="I30" s="77"/>
      <c r="J30" s="71">
        <v>0.29166666666666669</v>
      </c>
    </row>
  </sheetData>
  <mergeCells count="8">
    <mergeCell ref="I1:I2"/>
    <mergeCell ref="J1:J2"/>
    <mergeCell ref="A1:A2"/>
    <mergeCell ref="B1:B2"/>
    <mergeCell ref="C1:E1"/>
    <mergeCell ref="F1:F2"/>
    <mergeCell ref="G1:G2"/>
    <mergeCell ref="H1:H2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BP33"/>
  <sheetViews>
    <sheetView zoomScale="115" zoomScaleNormal="119" workbookViewId="0">
      <pane xSplit="2" ySplit="1" topLeftCell="AW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baseColWidth="10" defaultColWidth="12.6640625" defaultRowHeight="15.75" customHeight="1"/>
  <cols>
    <col min="2" max="74" width="18.83203125" customWidth="1"/>
  </cols>
  <sheetData>
    <row r="1" spans="2:68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2:68" ht="15.75" customHeight="1">
      <c r="B2" s="1">
        <v>300</v>
      </c>
      <c r="C2" s="1" t="s">
        <v>80</v>
      </c>
      <c r="D2" s="1" t="s">
        <v>80</v>
      </c>
      <c r="E2" s="1" t="s">
        <v>67</v>
      </c>
      <c r="F2" s="1" t="s">
        <v>80</v>
      </c>
      <c r="G2" s="1" t="s">
        <v>80</v>
      </c>
      <c r="H2" s="1" t="s">
        <v>80</v>
      </c>
      <c r="I2" s="1" t="s">
        <v>81</v>
      </c>
      <c r="J2" s="1" t="s">
        <v>80</v>
      </c>
      <c r="K2" s="1" t="s">
        <v>80</v>
      </c>
      <c r="L2" s="1" t="s">
        <v>80</v>
      </c>
      <c r="M2" s="1" t="s">
        <v>80</v>
      </c>
      <c r="N2" s="1" t="s">
        <v>82</v>
      </c>
      <c r="O2" s="1" t="s">
        <v>81</v>
      </c>
      <c r="P2" s="1" t="s">
        <v>80</v>
      </c>
      <c r="Q2" s="1" t="s">
        <v>82</v>
      </c>
      <c r="R2" s="1" t="s">
        <v>82</v>
      </c>
      <c r="S2" s="1" t="s">
        <v>82</v>
      </c>
      <c r="T2" s="1" t="s">
        <v>69</v>
      </c>
      <c r="U2" s="1" t="s">
        <v>84</v>
      </c>
      <c r="V2" s="1" t="s">
        <v>69</v>
      </c>
      <c r="W2" s="1" t="s">
        <v>84</v>
      </c>
      <c r="X2" s="1" t="s">
        <v>84</v>
      </c>
      <c r="Y2" s="1" t="s">
        <v>84</v>
      </c>
      <c r="Z2" s="1" t="s">
        <v>83</v>
      </c>
      <c r="AA2" s="1" t="s">
        <v>83</v>
      </c>
      <c r="AB2" s="1" t="s">
        <v>83</v>
      </c>
      <c r="AC2" s="1" t="s">
        <v>84</v>
      </c>
      <c r="AD2" s="1" t="s">
        <v>83</v>
      </c>
      <c r="AE2" s="1" t="s">
        <v>84</v>
      </c>
      <c r="AF2" s="1" t="s">
        <v>68</v>
      </c>
      <c r="AG2" s="1" t="s">
        <v>84</v>
      </c>
      <c r="AH2" s="1" t="s">
        <v>83</v>
      </c>
      <c r="AI2" s="1" t="s">
        <v>84</v>
      </c>
      <c r="AJ2" s="1" t="s">
        <v>84</v>
      </c>
      <c r="AK2" s="1" t="s">
        <v>84</v>
      </c>
      <c r="AL2" s="1" t="s">
        <v>83</v>
      </c>
      <c r="AM2" s="1" t="s">
        <v>69</v>
      </c>
      <c r="AN2" s="1" t="s">
        <v>69</v>
      </c>
      <c r="AO2" s="1" t="s">
        <v>83</v>
      </c>
      <c r="AP2" s="1" t="s">
        <v>83</v>
      </c>
      <c r="AQ2" s="1" t="s">
        <v>69</v>
      </c>
      <c r="AR2" s="1" t="s">
        <v>69</v>
      </c>
      <c r="AS2" s="1" t="s">
        <v>84</v>
      </c>
      <c r="AT2" s="1" t="s">
        <v>84</v>
      </c>
      <c r="AU2" s="1" t="s">
        <v>84</v>
      </c>
      <c r="AV2" s="1" t="s">
        <v>84</v>
      </c>
      <c r="AW2" s="1" t="s">
        <v>93</v>
      </c>
      <c r="AX2" s="1" t="s">
        <v>93</v>
      </c>
      <c r="AY2" s="1" t="s">
        <v>86</v>
      </c>
      <c r="AZ2" s="1" t="s">
        <v>93</v>
      </c>
      <c r="BA2" s="1" t="s">
        <v>86</v>
      </c>
      <c r="BB2" s="1" t="s">
        <v>86</v>
      </c>
      <c r="BC2" s="1" t="s">
        <v>93</v>
      </c>
      <c r="BD2" s="1" t="s">
        <v>86</v>
      </c>
      <c r="BE2" s="1" t="s">
        <v>93</v>
      </c>
      <c r="BF2" s="1" t="s">
        <v>87</v>
      </c>
      <c r="BG2" s="1" t="s">
        <v>87</v>
      </c>
      <c r="BH2" s="49">
        <v>0.75</v>
      </c>
      <c r="BI2" s="1" t="s">
        <v>95</v>
      </c>
      <c r="BJ2" s="1" t="s">
        <v>74</v>
      </c>
      <c r="BK2" s="1" t="s">
        <v>75</v>
      </c>
      <c r="BL2" s="1" t="s">
        <v>99</v>
      </c>
      <c r="BM2" s="1" t="s">
        <v>97</v>
      </c>
      <c r="BN2" s="1" t="s">
        <v>107</v>
      </c>
      <c r="BO2" s="1" t="s">
        <v>92</v>
      </c>
      <c r="BP2" s="1" t="s">
        <v>98</v>
      </c>
    </row>
    <row r="3" spans="2:68" ht="15.75" customHeight="1">
      <c r="B3" s="1">
        <v>321</v>
      </c>
      <c r="C3" s="1" t="s">
        <v>80</v>
      </c>
      <c r="D3" s="1" t="s">
        <v>80</v>
      </c>
      <c r="E3" s="1" t="s">
        <v>80</v>
      </c>
      <c r="F3" s="1" t="s">
        <v>80</v>
      </c>
      <c r="G3" s="1" t="s">
        <v>80</v>
      </c>
      <c r="H3" s="1" t="s">
        <v>67</v>
      </c>
      <c r="I3" s="1" t="s">
        <v>81</v>
      </c>
      <c r="J3" s="1" t="s">
        <v>82</v>
      </c>
      <c r="K3" s="1" t="s">
        <v>82</v>
      </c>
      <c r="L3" s="1" t="s">
        <v>80</v>
      </c>
      <c r="M3" s="1" t="s">
        <v>82</v>
      </c>
      <c r="N3" s="1" t="s">
        <v>82</v>
      </c>
      <c r="O3" s="1" t="s">
        <v>82</v>
      </c>
      <c r="P3" s="1" t="s">
        <v>80</v>
      </c>
      <c r="Q3" s="1" t="s">
        <v>80</v>
      </c>
      <c r="R3" s="1" t="s">
        <v>80</v>
      </c>
      <c r="S3" s="1" t="s">
        <v>80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84</v>
      </c>
      <c r="AE3" s="1" t="s">
        <v>69</v>
      </c>
      <c r="AF3" s="1" t="s">
        <v>84</v>
      </c>
      <c r="AG3" s="1" t="s">
        <v>83</v>
      </c>
      <c r="AH3" s="1" t="s">
        <v>83</v>
      </c>
      <c r="AI3" s="1" t="s">
        <v>84</v>
      </c>
      <c r="AJ3" s="1" t="s">
        <v>69</v>
      </c>
      <c r="AK3" s="1" t="s">
        <v>69</v>
      </c>
      <c r="AL3" s="1" t="s">
        <v>83</v>
      </c>
      <c r="AM3" s="1" t="s">
        <v>69</v>
      </c>
      <c r="AN3" s="1" t="s">
        <v>68</v>
      </c>
      <c r="AO3" s="1" t="s">
        <v>68</v>
      </c>
      <c r="AP3" s="1" t="s">
        <v>84</v>
      </c>
      <c r="AQ3" s="1" t="s">
        <v>83</v>
      </c>
      <c r="AR3" s="1" t="s">
        <v>83</v>
      </c>
      <c r="AS3" s="1" t="s">
        <v>69</v>
      </c>
      <c r="AT3" s="1" t="s">
        <v>84</v>
      </c>
      <c r="AU3" s="1" t="s">
        <v>84</v>
      </c>
      <c r="AV3" s="1" t="s">
        <v>83</v>
      </c>
      <c r="AW3" s="1" t="s">
        <v>86</v>
      </c>
      <c r="AX3" s="1" t="s">
        <v>93</v>
      </c>
      <c r="AY3" s="1" t="s">
        <v>93</v>
      </c>
      <c r="AZ3" s="1" t="s">
        <v>93</v>
      </c>
      <c r="BA3" s="1" t="s">
        <v>93</v>
      </c>
      <c r="BB3" s="1" t="s">
        <v>93</v>
      </c>
      <c r="BC3" s="1" t="s">
        <v>93</v>
      </c>
      <c r="BD3" s="1" t="s">
        <v>93</v>
      </c>
      <c r="BE3" s="1" t="s">
        <v>93</v>
      </c>
      <c r="BF3" s="1" t="s">
        <v>94</v>
      </c>
      <c r="BG3" s="1" t="s">
        <v>94</v>
      </c>
      <c r="BH3" s="49">
        <v>0.7</v>
      </c>
      <c r="BI3" s="1" t="s">
        <v>108</v>
      </c>
      <c r="BJ3" s="1" t="s">
        <v>106</v>
      </c>
      <c r="BK3" s="1" t="s">
        <v>75</v>
      </c>
      <c r="BL3" s="1" t="s">
        <v>96</v>
      </c>
      <c r="BM3" s="1" t="s">
        <v>97</v>
      </c>
      <c r="BN3" s="1" t="s">
        <v>91</v>
      </c>
      <c r="BO3" s="1" t="s">
        <v>92</v>
      </c>
      <c r="BP3" s="1" t="s">
        <v>98</v>
      </c>
    </row>
    <row r="4" spans="2:68" ht="15.75" customHeight="1">
      <c r="B4" s="1">
        <v>323</v>
      </c>
      <c r="C4" s="1" t="s">
        <v>82</v>
      </c>
      <c r="D4" s="1" t="s">
        <v>82</v>
      </c>
      <c r="E4" s="1" t="s">
        <v>80</v>
      </c>
      <c r="F4" s="1" t="s">
        <v>82</v>
      </c>
      <c r="G4" s="1" t="s">
        <v>82</v>
      </c>
      <c r="H4" s="1" t="s">
        <v>80</v>
      </c>
      <c r="I4" s="1" t="s">
        <v>81</v>
      </c>
      <c r="J4" s="1" t="s">
        <v>80</v>
      </c>
      <c r="K4" s="1" t="s">
        <v>80</v>
      </c>
      <c r="L4" s="1" t="s">
        <v>80</v>
      </c>
      <c r="M4" s="1" t="s">
        <v>82</v>
      </c>
      <c r="N4" s="1" t="s">
        <v>82</v>
      </c>
      <c r="O4" s="1" t="s">
        <v>82</v>
      </c>
      <c r="P4" s="1" t="s">
        <v>80</v>
      </c>
      <c r="Q4" s="1" t="s">
        <v>80</v>
      </c>
      <c r="R4" s="1" t="s">
        <v>82</v>
      </c>
      <c r="S4" s="1" t="s">
        <v>82</v>
      </c>
      <c r="T4" s="1" t="s">
        <v>84</v>
      </c>
      <c r="U4" s="1" t="s">
        <v>84</v>
      </c>
      <c r="V4" s="1" t="s">
        <v>84</v>
      </c>
      <c r="W4" s="1" t="s">
        <v>83</v>
      </c>
      <c r="X4" s="1" t="s">
        <v>83</v>
      </c>
      <c r="Y4" s="1" t="s">
        <v>68</v>
      </c>
      <c r="Z4" s="1" t="s">
        <v>68</v>
      </c>
      <c r="AA4" s="1" t="s">
        <v>68</v>
      </c>
      <c r="AB4" s="1" t="s">
        <v>68</v>
      </c>
      <c r="AC4" s="1" t="s">
        <v>68</v>
      </c>
      <c r="AD4" s="1" t="s">
        <v>83</v>
      </c>
      <c r="AE4" s="1" t="s">
        <v>84</v>
      </c>
      <c r="AF4" s="1" t="s">
        <v>84</v>
      </c>
      <c r="AG4" s="1" t="s">
        <v>84</v>
      </c>
      <c r="AH4" s="1" t="s">
        <v>84</v>
      </c>
      <c r="AI4" s="1" t="s">
        <v>83</v>
      </c>
      <c r="AJ4" s="1" t="s">
        <v>84</v>
      </c>
      <c r="AK4" s="1" t="s">
        <v>69</v>
      </c>
      <c r="AL4" s="1" t="s">
        <v>83</v>
      </c>
      <c r="AM4" s="1" t="s">
        <v>69</v>
      </c>
      <c r="AN4" s="1" t="s">
        <v>84</v>
      </c>
      <c r="AO4" s="1" t="s">
        <v>68</v>
      </c>
      <c r="AP4" s="1" t="s">
        <v>69</v>
      </c>
      <c r="AQ4" s="1" t="s">
        <v>84</v>
      </c>
      <c r="AR4" s="1" t="s">
        <v>84</v>
      </c>
      <c r="AS4" s="1" t="s">
        <v>83</v>
      </c>
      <c r="AT4" s="1" t="s">
        <v>69</v>
      </c>
      <c r="AU4" s="1" t="s">
        <v>68</v>
      </c>
      <c r="AV4" s="1" t="s">
        <v>68</v>
      </c>
      <c r="AW4" s="1" t="s">
        <v>86</v>
      </c>
      <c r="AX4" s="1" t="s">
        <v>93</v>
      </c>
      <c r="AY4" s="1" t="s">
        <v>71</v>
      </c>
      <c r="AZ4" s="1" t="s">
        <v>93</v>
      </c>
      <c r="BA4" s="1" t="s">
        <v>71</v>
      </c>
      <c r="BB4" s="1" t="s">
        <v>71</v>
      </c>
      <c r="BC4" s="1" t="s">
        <v>86</v>
      </c>
      <c r="BD4" s="1" t="s">
        <v>93</v>
      </c>
      <c r="BE4" s="1" t="s">
        <v>71</v>
      </c>
      <c r="BF4" s="1" t="s">
        <v>87</v>
      </c>
      <c r="BG4" s="1" t="s">
        <v>72</v>
      </c>
      <c r="BH4" s="49">
        <v>0.7</v>
      </c>
      <c r="BI4" s="1" t="s">
        <v>95</v>
      </c>
      <c r="BJ4" s="1" t="s">
        <v>106</v>
      </c>
      <c r="BK4" s="1" t="s">
        <v>89</v>
      </c>
      <c r="BL4" s="1" t="s">
        <v>96</v>
      </c>
      <c r="BM4" s="1" t="s">
        <v>97</v>
      </c>
      <c r="BN4" s="1" t="s">
        <v>107</v>
      </c>
      <c r="BO4" s="1" t="s">
        <v>78</v>
      </c>
      <c r="BP4" s="1" t="s">
        <v>103</v>
      </c>
    </row>
    <row r="5" spans="2:68" ht="15.75" customHeight="1">
      <c r="B5" s="1">
        <v>324</v>
      </c>
      <c r="C5" s="1" t="s">
        <v>80</v>
      </c>
      <c r="D5" s="1" t="s">
        <v>82</v>
      </c>
      <c r="E5" s="1" t="s">
        <v>67</v>
      </c>
      <c r="F5" s="1" t="s">
        <v>80</v>
      </c>
      <c r="G5" s="1" t="s">
        <v>80</v>
      </c>
      <c r="H5" s="1" t="s">
        <v>80</v>
      </c>
      <c r="I5" s="1" t="s">
        <v>82</v>
      </c>
      <c r="J5" s="1" t="s">
        <v>67</v>
      </c>
      <c r="K5" s="1" t="s">
        <v>67</v>
      </c>
      <c r="L5" s="1" t="s">
        <v>67</v>
      </c>
      <c r="M5" s="1" t="s">
        <v>81</v>
      </c>
      <c r="N5" s="1" t="s">
        <v>82</v>
      </c>
      <c r="O5" s="1" t="s">
        <v>82</v>
      </c>
      <c r="P5" s="1" t="s">
        <v>80</v>
      </c>
      <c r="Q5" s="1" t="s">
        <v>81</v>
      </c>
      <c r="R5" s="1" t="s">
        <v>67</v>
      </c>
      <c r="S5" s="1" t="s">
        <v>67</v>
      </c>
      <c r="T5" s="1" t="s">
        <v>83</v>
      </c>
      <c r="U5" s="1" t="s">
        <v>68</v>
      </c>
      <c r="V5" s="1" t="s">
        <v>68</v>
      </c>
      <c r="W5" s="1" t="s">
        <v>84</v>
      </c>
      <c r="X5" s="1" t="s">
        <v>84</v>
      </c>
      <c r="Y5" s="1" t="s">
        <v>84</v>
      </c>
      <c r="Z5" s="1" t="s">
        <v>84</v>
      </c>
      <c r="AA5" s="1" t="s">
        <v>69</v>
      </c>
      <c r="AB5" s="1" t="s">
        <v>69</v>
      </c>
      <c r="AC5" s="1" t="s">
        <v>84</v>
      </c>
      <c r="AD5" s="1" t="s">
        <v>84</v>
      </c>
      <c r="AE5" s="1" t="s">
        <v>69</v>
      </c>
      <c r="AF5" s="1" t="s">
        <v>69</v>
      </c>
      <c r="AG5" s="1" t="s">
        <v>69</v>
      </c>
      <c r="AH5" s="1" t="s">
        <v>84</v>
      </c>
      <c r="AI5" s="1" t="s">
        <v>84</v>
      </c>
      <c r="AJ5" s="1" t="s">
        <v>69</v>
      </c>
      <c r="AK5" s="1" t="s">
        <v>84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84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71</v>
      </c>
      <c r="AX5" s="1" t="s">
        <v>71</v>
      </c>
      <c r="AY5" s="1" t="s">
        <v>71</v>
      </c>
      <c r="AZ5" s="1" t="s">
        <v>86</v>
      </c>
      <c r="BA5" s="1" t="s">
        <v>86</v>
      </c>
      <c r="BB5" s="1" t="s">
        <v>86</v>
      </c>
      <c r="BC5" s="1" t="s">
        <v>93</v>
      </c>
      <c r="BD5" s="1" t="s">
        <v>93</v>
      </c>
      <c r="BE5" s="1" t="s">
        <v>93</v>
      </c>
      <c r="BF5" s="1" t="s">
        <v>72</v>
      </c>
      <c r="BG5" s="1" t="s">
        <v>87</v>
      </c>
      <c r="BH5" s="49">
        <v>0.9</v>
      </c>
      <c r="BI5" s="1" t="s">
        <v>95</v>
      </c>
      <c r="BJ5" s="1" t="s">
        <v>74</v>
      </c>
      <c r="BK5" s="1" t="s">
        <v>89</v>
      </c>
      <c r="BL5" s="1" t="s">
        <v>99</v>
      </c>
      <c r="BM5" s="1" t="s">
        <v>90</v>
      </c>
      <c r="BN5" s="1" t="s">
        <v>78</v>
      </c>
      <c r="BO5" s="1" t="s">
        <v>78</v>
      </c>
      <c r="BP5" s="1" t="s">
        <v>98</v>
      </c>
    </row>
    <row r="6" spans="2:68" ht="15.75" customHeight="1">
      <c r="B6" s="1">
        <v>325</v>
      </c>
      <c r="C6" s="1" t="s">
        <v>67</v>
      </c>
      <c r="D6" s="1" t="s">
        <v>80</v>
      </c>
      <c r="E6" s="1" t="s">
        <v>80</v>
      </c>
      <c r="F6" s="1" t="s">
        <v>80</v>
      </c>
      <c r="G6" s="1" t="s">
        <v>82</v>
      </c>
      <c r="H6" s="1" t="s">
        <v>82</v>
      </c>
      <c r="I6" s="1" t="s">
        <v>82</v>
      </c>
      <c r="J6" s="1" t="s">
        <v>80</v>
      </c>
      <c r="K6" s="1" t="s">
        <v>67</v>
      </c>
      <c r="L6" s="1" t="s">
        <v>67</v>
      </c>
      <c r="M6" s="1" t="s">
        <v>81</v>
      </c>
      <c r="N6" s="1" t="s">
        <v>80</v>
      </c>
      <c r="O6" s="1" t="s">
        <v>81</v>
      </c>
      <c r="P6" s="1" t="s">
        <v>67</v>
      </c>
      <c r="Q6" s="1" t="s">
        <v>81</v>
      </c>
      <c r="R6" s="1" t="s">
        <v>80</v>
      </c>
      <c r="S6" s="1" t="s">
        <v>80</v>
      </c>
      <c r="T6" s="1" t="s">
        <v>84</v>
      </c>
      <c r="U6" s="1" t="s">
        <v>84</v>
      </c>
      <c r="V6" s="1" t="s">
        <v>84</v>
      </c>
      <c r="W6" s="1" t="s">
        <v>69</v>
      </c>
      <c r="X6" s="1" t="s">
        <v>69</v>
      </c>
      <c r="Y6" s="1" t="s">
        <v>84</v>
      </c>
      <c r="Z6" s="1" t="s">
        <v>84</v>
      </c>
      <c r="AA6" s="1" t="s">
        <v>84</v>
      </c>
      <c r="AB6" s="1" t="s">
        <v>85</v>
      </c>
      <c r="AC6" s="1" t="s">
        <v>69</v>
      </c>
      <c r="AD6" s="1" t="s">
        <v>69</v>
      </c>
      <c r="AE6" s="1" t="s">
        <v>69</v>
      </c>
      <c r="AF6" s="1" t="s">
        <v>84</v>
      </c>
      <c r="AG6" s="1" t="s">
        <v>69</v>
      </c>
      <c r="AH6" s="1" t="s">
        <v>84</v>
      </c>
      <c r="AI6" s="1" t="s">
        <v>84</v>
      </c>
      <c r="AJ6" s="1" t="s">
        <v>69</v>
      </c>
      <c r="AK6" s="1" t="s">
        <v>69</v>
      </c>
      <c r="AL6" s="1" t="s">
        <v>69</v>
      </c>
      <c r="AM6" s="1" t="s">
        <v>69</v>
      </c>
      <c r="AN6" s="1" t="s">
        <v>84</v>
      </c>
      <c r="AO6" s="1" t="s">
        <v>83</v>
      </c>
      <c r="AP6" s="1" t="s">
        <v>83</v>
      </c>
      <c r="AQ6" s="1" t="s">
        <v>83</v>
      </c>
      <c r="AR6" s="1" t="s">
        <v>69</v>
      </c>
      <c r="AS6" s="1" t="s">
        <v>84</v>
      </c>
      <c r="AT6" s="1" t="s">
        <v>69</v>
      </c>
      <c r="AU6" s="1" t="s">
        <v>83</v>
      </c>
      <c r="AV6" s="1" t="s">
        <v>69</v>
      </c>
      <c r="AW6" s="1" t="s">
        <v>71</v>
      </c>
      <c r="AX6" s="1" t="s">
        <v>71</v>
      </c>
      <c r="AY6" s="1" t="s">
        <v>71</v>
      </c>
      <c r="AZ6" s="1" t="s">
        <v>93</v>
      </c>
      <c r="BA6" s="1" t="s">
        <v>93</v>
      </c>
      <c r="BB6" s="1" t="s">
        <v>71</v>
      </c>
      <c r="BC6" s="1" t="s">
        <v>93</v>
      </c>
      <c r="BD6" s="1" t="s">
        <v>93</v>
      </c>
      <c r="BE6" s="1" t="s">
        <v>71</v>
      </c>
      <c r="BF6" s="1" t="s">
        <v>94</v>
      </c>
      <c r="BG6" s="1" t="s">
        <v>72</v>
      </c>
      <c r="BH6" s="49">
        <v>0.6</v>
      </c>
      <c r="BI6" s="1" t="s">
        <v>73</v>
      </c>
      <c r="BJ6" s="1" t="s">
        <v>74</v>
      </c>
      <c r="BK6" s="1" t="s">
        <v>75</v>
      </c>
      <c r="BL6" s="1" t="s">
        <v>96</v>
      </c>
      <c r="BM6" s="1" t="s">
        <v>77</v>
      </c>
      <c r="BN6" s="1" t="s">
        <v>91</v>
      </c>
      <c r="BO6" s="1" t="s">
        <v>92</v>
      </c>
      <c r="BP6" s="1" t="s">
        <v>98</v>
      </c>
    </row>
    <row r="7" spans="2:68" ht="15.75" customHeight="1">
      <c r="B7" s="1">
        <v>326</v>
      </c>
      <c r="C7" s="1" t="s">
        <v>80</v>
      </c>
      <c r="D7" s="1" t="s">
        <v>80</v>
      </c>
      <c r="E7" s="1" t="s">
        <v>82</v>
      </c>
      <c r="F7" s="1" t="s">
        <v>80</v>
      </c>
      <c r="G7" s="1" t="s">
        <v>82</v>
      </c>
      <c r="H7" s="1" t="s">
        <v>82</v>
      </c>
      <c r="I7" s="1" t="s">
        <v>81</v>
      </c>
      <c r="J7" s="1" t="s">
        <v>80</v>
      </c>
      <c r="K7" s="1" t="s">
        <v>80</v>
      </c>
      <c r="L7" s="1" t="s">
        <v>82</v>
      </c>
      <c r="M7" s="1" t="s">
        <v>80</v>
      </c>
      <c r="N7" s="1" t="s">
        <v>82</v>
      </c>
      <c r="O7" s="1" t="s">
        <v>82</v>
      </c>
      <c r="P7" s="1" t="s">
        <v>80</v>
      </c>
      <c r="Q7" s="1" t="s">
        <v>80</v>
      </c>
      <c r="R7" s="1" t="s">
        <v>82</v>
      </c>
      <c r="S7" s="1" t="s">
        <v>82</v>
      </c>
      <c r="T7" s="1" t="s">
        <v>84</v>
      </c>
      <c r="U7" s="1" t="s">
        <v>84</v>
      </c>
      <c r="V7" s="1" t="s">
        <v>84</v>
      </c>
      <c r="W7" s="1" t="s">
        <v>69</v>
      </c>
      <c r="X7" s="1" t="s">
        <v>69</v>
      </c>
      <c r="Y7" s="1" t="s">
        <v>69</v>
      </c>
      <c r="Z7" s="1" t="s">
        <v>83</v>
      </c>
      <c r="AA7" s="1" t="s">
        <v>84</v>
      </c>
      <c r="AB7" s="1" t="s">
        <v>83</v>
      </c>
      <c r="AC7" s="1" t="s">
        <v>84</v>
      </c>
      <c r="AD7" s="1" t="s">
        <v>84</v>
      </c>
      <c r="AE7" s="1" t="s">
        <v>83</v>
      </c>
      <c r="AF7" s="1" t="s">
        <v>84</v>
      </c>
      <c r="AG7" s="1" t="s">
        <v>83</v>
      </c>
      <c r="AH7" s="1" t="s">
        <v>84</v>
      </c>
      <c r="AI7" s="1" t="s">
        <v>84</v>
      </c>
      <c r="AJ7" s="1" t="s">
        <v>84</v>
      </c>
      <c r="AK7" s="1" t="s">
        <v>69</v>
      </c>
      <c r="AL7" s="1" t="s">
        <v>83</v>
      </c>
      <c r="AM7" s="1" t="s">
        <v>84</v>
      </c>
      <c r="AN7" s="1" t="s">
        <v>83</v>
      </c>
      <c r="AO7" s="1" t="s">
        <v>84</v>
      </c>
      <c r="AP7" s="1" t="s">
        <v>84</v>
      </c>
      <c r="AQ7" s="1" t="s">
        <v>83</v>
      </c>
      <c r="AR7" s="1" t="s">
        <v>69</v>
      </c>
      <c r="AS7" s="1" t="s">
        <v>68</v>
      </c>
      <c r="AT7" s="1" t="s">
        <v>84</v>
      </c>
      <c r="AU7" s="1" t="s">
        <v>83</v>
      </c>
      <c r="AV7" s="1" t="s">
        <v>83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87</v>
      </c>
      <c r="BG7" s="1" t="s">
        <v>87</v>
      </c>
      <c r="BH7" s="49">
        <v>0.5</v>
      </c>
      <c r="BI7" s="1" t="s">
        <v>95</v>
      </c>
      <c r="BJ7" s="1" t="s">
        <v>106</v>
      </c>
      <c r="BK7" s="1" t="s">
        <v>231</v>
      </c>
      <c r="BL7" s="1" t="s">
        <v>96</v>
      </c>
      <c r="BM7" s="1" t="s">
        <v>97</v>
      </c>
      <c r="BN7" s="1" t="s">
        <v>91</v>
      </c>
      <c r="BO7" s="1" t="s">
        <v>102</v>
      </c>
      <c r="BP7" s="1" t="s">
        <v>98</v>
      </c>
    </row>
    <row r="8" spans="2:68" ht="15.75" customHeight="1">
      <c r="B8" s="1">
        <v>327</v>
      </c>
      <c r="C8" s="1" t="s">
        <v>82</v>
      </c>
      <c r="D8" s="1" t="s">
        <v>82</v>
      </c>
      <c r="E8" s="1" t="s">
        <v>80</v>
      </c>
      <c r="F8" s="1" t="s">
        <v>80</v>
      </c>
      <c r="G8" s="1" t="s">
        <v>80</v>
      </c>
      <c r="H8" s="1" t="s">
        <v>80</v>
      </c>
      <c r="I8" s="1" t="s">
        <v>82</v>
      </c>
      <c r="J8" s="1" t="s">
        <v>80</v>
      </c>
      <c r="K8" s="1" t="s">
        <v>80</v>
      </c>
      <c r="L8" s="1" t="s">
        <v>80</v>
      </c>
      <c r="M8" s="1" t="s">
        <v>82</v>
      </c>
      <c r="N8" s="1" t="s">
        <v>82</v>
      </c>
      <c r="O8" s="1" t="s">
        <v>82</v>
      </c>
      <c r="P8" s="1" t="s">
        <v>80</v>
      </c>
      <c r="Q8" s="1" t="s">
        <v>82</v>
      </c>
      <c r="R8" s="1" t="s">
        <v>80</v>
      </c>
      <c r="S8" s="1" t="s">
        <v>80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83</v>
      </c>
      <c r="Y8" s="1" t="s">
        <v>83</v>
      </c>
      <c r="Z8" s="1" t="s">
        <v>84</v>
      </c>
      <c r="AA8" s="1" t="s">
        <v>84</v>
      </c>
      <c r="AB8" s="1" t="s">
        <v>85</v>
      </c>
      <c r="AC8" s="1" t="s">
        <v>83</v>
      </c>
      <c r="AD8" s="1" t="s">
        <v>83</v>
      </c>
      <c r="AE8" s="1" t="s">
        <v>83</v>
      </c>
      <c r="AF8" s="1" t="s">
        <v>83</v>
      </c>
      <c r="AG8" s="1" t="s">
        <v>84</v>
      </c>
      <c r="AH8" s="1" t="s">
        <v>84</v>
      </c>
      <c r="AI8" s="1" t="s">
        <v>83</v>
      </c>
      <c r="AJ8" s="1" t="s">
        <v>84</v>
      </c>
      <c r="AK8" s="1" t="s">
        <v>83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83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94</v>
      </c>
      <c r="BG8" s="1" t="s">
        <v>87</v>
      </c>
      <c r="BH8" s="49">
        <v>0.8</v>
      </c>
      <c r="BI8" s="1" t="s">
        <v>73</v>
      </c>
      <c r="BJ8" s="1" t="s">
        <v>88</v>
      </c>
      <c r="BK8" s="1" t="s">
        <v>89</v>
      </c>
      <c r="BL8" s="1" t="s">
        <v>99</v>
      </c>
      <c r="BM8" s="1" t="s">
        <v>90</v>
      </c>
      <c r="BN8" s="1" t="s">
        <v>91</v>
      </c>
      <c r="BO8" s="1" t="s">
        <v>92</v>
      </c>
      <c r="BP8" s="1" t="s">
        <v>98</v>
      </c>
    </row>
    <row r="9" spans="2:68" ht="15.75" customHeight="1">
      <c r="B9" s="1">
        <v>328</v>
      </c>
      <c r="C9" s="1" t="s">
        <v>67</v>
      </c>
      <c r="D9" s="1" t="s">
        <v>67</v>
      </c>
      <c r="E9" s="1" t="s">
        <v>80</v>
      </c>
      <c r="F9" s="1" t="s">
        <v>82</v>
      </c>
      <c r="G9" s="1" t="s">
        <v>82</v>
      </c>
      <c r="H9" s="1" t="s">
        <v>67</v>
      </c>
      <c r="I9" s="1" t="s">
        <v>80</v>
      </c>
      <c r="J9" s="1" t="s">
        <v>81</v>
      </c>
      <c r="K9" s="1" t="s">
        <v>81</v>
      </c>
      <c r="L9" s="1" t="s">
        <v>81</v>
      </c>
      <c r="M9" s="1" t="s">
        <v>67</v>
      </c>
      <c r="N9" s="1" t="s">
        <v>80</v>
      </c>
      <c r="O9" s="1" t="s">
        <v>80</v>
      </c>
      <c r="P9" s="1" t="s">
        <v>67</v>
      </c>
      <c r="Q9" s="1" t="s">
        <v>80</v>
      </c>
      <c r="R9" s="1" t="s">
        <v>82</v>
      </c>
      <c r="S9" s="1" t="s">
        <v>81</v>
      </c>
      <c r="T9" s="1" t="s">
        <v>69</v>
      </c>
      <c r="U9" s="1" t="s">
        <v>69</v>
      </c>
      <c r="V9" s="1" t="s">
        <v>69</v>
      </c>
      <c r="W9" s="1" t="s">
        <v>83</v>
      </c>
      <c r="X9" s="1" t="s">
        <v>83</v>
      </c>
      <c r="Y9" s="1" t="s">
        <v>83</v>
      </c>
      <c r="Z9" s="1" t="s">
        <v>68</v>
      </c>
      <c r="AA9" s="1" t="s">
        <v>68</v>
      </c>
      <c r="AB9" s="1" t="s">
        <v>68</v>
      </c>
      <c r="AC9" s="1" t="s">
        <v>83</v>
      </c>
      <c r="AD9" s="1" t="s">
        <v>83</v>
      </c>
      <c r="AE9" s="1" t="s">
        <v>83</v>
      </c>
      <c r="AF9" s="1" t="s">
        <v>68</v>
      </c>
      <c r="AG9" s="1" t="s">
        <v>68</v>
      </c>
      <c r="AH9" s="1" t="s">
        <v>83</v>
      </c>
      <c r="AI9" s="1" t="s">
        <v>68</v>
      </c>
      <c r="AJ9" s="1" t="s">
        <v>84</v>
      </c>
      <c r="AK9" s="1" t="s">
        <v>69</v>
      </c>
      <c r="AL9" s="1" t="s">
        <v>69</v>
      </c>
      <c r="AM9" s="1" t="s">
        <v>84</v>
      </c>
      <c r="AN9" s="1" t="s">
        <v>84</v>
      </c>
      <c r="AO9" s="1" t="s">
        <v>68</v>
      </c>
      <c r="AP9" s="1" t="s">
        <v>69</v>
      </c>
      <c r="AQ9" s="1" t="s">
        <v>68</v>
      </c>
      <c r="AR9" s="1" t="s">
        <v>84</v>
      </c>
      <c r="AS9" s="1" t="s">
        <v>84</v>
      </c>
      <c r="AT9" s="1" t="s">
        <v>69</v>
      </c>
      <c r="AU9" s="1" t="s">
        <v>69</v>
      </c>
      <c r="AV9" s="1" t="s">
        <v>84</v>
      </c>
      <c r="AW9" s="1" t="s">
        <v>70</v>
      </c>
      <c r="AX9" s="1" t="s">
        <v>71</v>
      </c>
      <c r="AY9" s="1" t="s">
        <v>93</v>
      </c>
      <c r="AZ9" s="1" t="s">
        <v>86</v>
      </c>
      <c r="BA9" s="1" t="s">
        <v>86</v>
      </c>
      <c r="BB9" s="1" t="s">
        <v>93</v>
      </c>
      <c r="BC9" s="1" t="s">
        <v>70</v>
      </c>
      <c r="BD9" s="1" t="s">
        <v>70</v>
      </c>
      <c r="BE9" s="1" t="s">
        <v>71</v>
      </c>
      <c r="BF9" s="1" t="s">
        <v>104</v>
      </c>
      <c r="BG9" s="1" t="s">
        <v>104</v>
      </c>
      <c r="BH9" s="49">
        <v>0.6</v>
      </c>
      <c r="BI9" s="1" t="s">
        <v>73</v>
      </c>
      <c r="BJ9" s="1" t="s">
        <v>74</v>
      </c>
      <c r="BK9" s="1" t="s">
        <v>75</v>
      </c>
      <c r="BL9" s="1" t="s">
        <v>109</v>
      </c>
      <c r="BM9" s="1" t="s">
        <v>101</v>
      </c>
      <c r="BN9" s="1" t="s">
        <v>107</v>
      </c>
      <c r="BO9" s="1" t="s">
        <v>102</v>
      </c>
      <c r="BP9" s="1" t="s">
        <v>100</v>
      </c>
    </row>
    <row r="10" spans="2:68" ht="15.75" customHeight="1">
      <c r="B10" s="1">
        <v>329</v>
      </c>
      <c r="C10" s="1" t="s">
        <v>82</v>
      </c>
      <c r="D10" s="1" t="s">
        <v>82</v>
      </c>
      <c r="E10" s="1" t="s">
        <v>80</v>
      </c>
      <c r="F10" s="1" t="s">
        <v>67</v>
      </c>
      <c r="G10" s="1" t="s">
        <v>80</v>
      </c>
      <c r="H10" s="1" t="s">
        <v>80</v>
      </c>
      <c r="I10" s="1" t="s">
        <v>81</v>
      </c>
      <c r="J10" s="1" t="s">
        <v>80</v>
      </c>
      <c r="K10" s="1" t="s">
        <v>80</v>
      </c>
      <c r="L10" s="1" t="s">
        <v>80</v>
      </c>
      <c r="M10" s="1" t="s">
        <v>82</v>
      </c>
      <c r="N10" s="1" t="s">
        <v>81</v>
      </c>
      <c r="O10" s="1" t="s">
        <v>82</v>
      </c>
      <c r="P10" s="1" t="s">
        <v>80</v>
      </c>
      <c r="Q10" s="1" t="s">
        <v>81</v>
      </c>
      <c r="R10" s="1" t="s">
        <v>80</v>
      </c>
      <c r="S10" s="1" t="s">
        <v>80</v>
      </c>
      <c r="T10" s="1" t="s">
        <v>84</v>
      </c>
      <c r="U10" s="1" t="s">
        <v>84</v>
      </c>
      <c r="V10" s="1" t="s">
        <v>84</v>
      </c>
      <c r="W10" s="1" t="s">
        <v>69</v>
      </c>
      <c r="X10" s="1" t="s">
        <v>84</v>
      </c>
      <c r="Y10" s="1" t="s">
        <v>69</v>
      </c>
      <c r="Z10" s="1" t="s">
        <v>83</v>
      </c>
      <c r="AA10" s="1" t="s">
        <v>83</v>
      </c>
      <c r="AB10" s="1" t="s">
        <v>83</v>
      </c>
      <c r="AC10" s="1" t="s">
        <v>69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69</v>
      </c>
      <c r="AL10" s="1" t="s">
        <v>69</v>
      </c>
      <c r="AM10" s="1" t="s">
        <v>69</v>
      </c>
      <c r="AN10" s="1" t="s">
        <v>84</v>
      </c>
      <c r="AO10" s="1" t="s">
        <v>83</v>
      </c>
      <c r="AP10" s="1" t="s">
        <v>69</v>
      </c>
      <c r="AQ10" s="1" t="s">
        <v>84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84</v>
      </c>
      <c r="AW10" s="1" t="s">
        <v>86</v>
      </c>
      <c r="AX10" s="1" t="s">
        <v>93</v>
      </c>
      <c r="AY10" s="1" t="s">
        <v>70</v>
      </c>
      <c r="AZ10" s="1" t="s">
        <v>93</v>
      </c>
      <c r="BA10" s="1" t="s">
        <v>93</v>
      </c>
      <c r="BB10" s="1" t="s">
        <v>86</v>
      </c>
      <c r="BC10" s="1" t="s">
        <v>86</v>
      </c>
      <c r="BD10" s="1" t="s">
        <v>93</v>
      </c>
      <c r="BE10" s="1" t="s">
        <v>86</v>
      </c>
      <c r="BF10" s="1" t="s">
        <v>94</v>
      </c>
      <c r="BG10" s="1" t="s">
        <v>94</v>
      </c>
      <c r="BH10" s="49">
        <v>0.75</v>
      </c>
      <c r="BI10" s="1" t="s">
        <v>95</v>
      </c>
      <c r="BJ10" s="1" t="s">
        <v>74</v>
      </c>
      <c r="BK10" s="1" t="s">
        <v>75</v>
      </c>
      <c r="BL10" s="1" t="s">
        <v>99</v>
      </c>
      <c r="BM10" s="1" t="s">
        <v>90</v>
      </c>
      <c r="BN10" s="1" t="s">
        <v>91</v>
      </c>
      <c r="BO10" s="1" t="s">
        <v>78</v>
      </c>
      <c r="BP10" s="1" t="s">
        <v>98</v>
      </c>
    </row>
    <row r="11" spans="2:68" ht="15.75" customHeight="1">
      <c r="B11" s="1">
        <v>330</v>
      </c>
      <c r="C11" s="1" t="s">
        <v>81</v>
      </c>
      <c r="D11" s="1" t="s">
        <v>81</v>
      </c>
      <c r="E11" s="1" t="s">
        <v>82</v>
      </c>
      <c r="F11" s="1" t="s">
        <v>80</v>
      </c>
      <c r="G11" s="1" t="s">
        <v>82</v>
      </c>
      <c r="H11" s="1" t="s">
        <v>82</v>
      </c>
      <c r="I11" s="1" t="s">
        <v>81</v>
      </c>
      <c r="J11" s="1" t="s">
        <v>67</v>
      </c>
      <c r="K11" s="1" t="s">
        <v>67</v>
      </c>
      <c r="L11" s="1" t="s">
        <v>80</v>
      </c>
      <c r="M11" s="1" t="s">
        <v>82</v>
      </c>
      <c r="N11" s="1" t="s">
        <v>82</v>
      </c>
      <c r="O11" s="1" t="s">
        <v>81</v>
      </c>
      <c r="P11" s="1" t="s">
        <v>80</v>
      </c>
      <c r="Q11" s="1" t="s">
        <v>81</v>
      </c>
      <c r="R11" s="1" t="s">
        <v>67</v>
      </c>
      <c r="S11" s="1" t="s">
        <v>80</v>
      </c>
      <c r="T11" s="1" t="s">
        <v>84</v>
      </c>
      <c r="U11" s="1" t="s">
        <v>83</v>
      </c>
      <c r="V11" s="1" t="s">
        <v>83</v>
      </c>
      <c r="W11" s="1" t="s">
        <v>84</v>
      </c>
      <c r="X11" s="1" t="s">
        <v>84</v>
      </c>
      <c r="Y11" s="1" t="s">
        <v>84</v>
      </c>
      <c r="Z11" s="1" t="s">
        <v>83</v>
      </c>
      <c r="AA11" s="1" t="s">
        <v>83</v>
      </c>
      <c r="AB11" s="1" t="s">
        <v>83</v>
      </c>
      <c r="AC11" s="1" t="s">
        <v>69</v>
      </c>
      <c r="AD11" s="1" t="s">
        <v>84</v>
      </c>
      <c r="AE11" s="1" t="s">
        <v>69</v>
      </c>
      <c r="AF11" s="1" t="s">
        <v>84</v>
      </c>
      <c r="AG11" s="1" t="s">
        <v>84</v>
      </c>
      <c r="AH11" s="1" t="s">
        <v>83</v>
      </c>
      <c r="AI11" s="1" t="s">
        <v>83</v>
      </c>
      <c r="AJ11" s="1" t="s">
        <v>84</v>
      </c>
      <c r="AK11" s="1" t="s">
        <v>69</v>
      </c>
      <c r="AL11" s="1" t="s">
        <v>69</v>
      </c>
      <c r="AM11" s="1" t="s">
        <v>69</v>
      </c>
      <c r="AN11" s="1" t="s">
        <v>69</v>
      </c>
      <c r="AO11" s="1" t="s">
        <v>68</v>
      </c>
      <c r="AP11" s="1" t="s">
        <v>69</v>
      </c>
      <c r="AQ11" s="1" t="s">
        <v>84</v>
      </c>
      <c r="AR11" s="1" t="s">
        <v>69</v>
      </c>
      <c r="AS11" s="1" t="s">
        <v>69</v>
      </c>
      <c r="AT11" s="1" t="s">
        <v>69</v>
      </c>
      <c r="AU11" s="1" t="s">
        <v>84</v>
      </c>
      <c r="AV11" s="1" t="s">
        <v>69</v>
      </c>
      <c r="AW11" s="1" t="s">
        <v>93</v>
      </c>
      <c r="AX11" s="1" t="s">
        <v>93</v>
      </c>
      <c r="AY11" s="1" t="s">
        <v>71</v>
      </c>
      <c r="AZ11" s="1" t="s">
        <v>93</v>
      </c>
      <c r="BA11" s="1" t="s">
        <v>86</v>
      </c>
      <c r="BB11" s="1" t="s">
        <v>71</v>
      </c>
      <c r="BC11" s="1" t="s">
        <v>93</v>
      </c>
      <c r="BD11" s="1" t="s">
        <v>86</v>
      </c>
      <c r="BE11" s="1" t="s">
        <v>71</v>
      </c>
      <c r="BF11" s="1" t="s">
        <v>94</v>
      </c>
      <c r="BG11" s="1" t="s">
        <v>72</v>
      </c>
      <c r="BH11" s="49">
        <v>0.7</v>
      </c>
      <c r="BI11" s="1" t="s">
        <v>95</v>
      </c>
      <c r="BJ11" s="1" t="s">
        <v>74</v>
      </c>
      <c r="BK11" s="1" t="s">
        <v>75</v>
      </c>
      <c r="BL11" s="1" t="s">
        <v>76</v>
      </c>
      <c r="BM11" s="1" t="s">
        <v>77</v>
      </c>
      <c r="BN11" s="1" t="s">
        <v>78</v>
      </c>
      <c r="BO11" s="1" t="s">
        <v>78</v>
      </c>
      <c r="BP11" s="1" t="s">
        <v>98</v>
      </c>
    </row>
    <row r="12" spans="2:68" ht="15.75" customHeight="1">
      <c r="B12" s="1">
        <v>331</v>
      </c>
      <c r="C12" s="1" t="s">
        <v>80</v>
      </c>
      <c r="D12" s="1" t="s">
        <v>82</v>
      </c>
      <c r="E12" s="1" t="s">
        <v>80</v>
      </c>
      <c r="F12" s="1" t="s">
        <v>80</v>
      </c>
      <c r="G12" s="1" t="s">
        <v>80</v>
      </c>
      <c r="H12" s="1" t="s">
        <v>80</v>
      </c>
      <c r="I12" s="1" t="s">
        <v>82</v>
      </c>
      <c r="J12" s="1" t="s">
        <v>80</v>
      </c>
      <c r="K12" s="1" t="s">
        <v>80</v>
      </c>
      <c r="L12" s="1" t="s">
        <v>80</v>
      </c>
      <c r="M12" s="1" t="s">
        <v>82</v>
      </c>
      <c r="N12" s="1" t="s">
        <v>82</v>
      </c>
      <c r="O12" s="1" t="s">
        <v>82</v>
      </c>
      <c r="P12" s="1" t="s">
        <v>80</v>
      </c>
      <c r="Q12" s="1" t="s">
        <v>81</v>
      </c>
      <c r="R12" s="1" t="s">
        <v>80</v>
      </c>
      <c r="S12" s="1" t="s">
        <v>80</v>
      </c>
      <c r="T12" s="1" t="s">
        <v>83</v>
      </c>
      <c r="U12" s="1" t="s">
        <v>83</v>
      </c>
      <c r="V12" s="1" t="s">
        <v>83</v>
      </c>
      <c r="W12" s="1" t="s">
        <v>69</v>
      </c>
      <c r="X12" s="1" t="s">
        <v>69</v>
      </c>
      <c r="Y12" s="1" t="s">
        <v>84</v>
      </c>
      <c r="Z12" s="1" t="s">
        <v>84</v>
      </c>
      <c r="AA12" s="1" t="s">
        <v>69</v>
      </c>
      <c r="AB12" s="1" t="s">
        <v>85</v>
      </c>
      <c r="AC12" s="1" t="s">
        <v>84</v>
      </c>
      <c r="AD12" s="1" t="s">
        <v>69</v>
      </c>
      <c r="AE12" s="1" t="s">
        <v>69</v>
      </c>
      <c r="AF12" s="1" t="s">
        <v>69</v>
      </c>
      <c r="AG12" s="1" t="s">
        <v>84</v>
      </c>
      <c r="AH12" s="1" t="s">
        <v>84</v>
      </c>
      <c r="AI12" s="1" t="s">
        <v>84</v>
      </c>
      <c r="AJ12" s="1" t="s">
        <v>69</v>
      </c>
      <c r="AK12" s="1" t="s">
        <v>69</v>
      </c>
      <c r="AL12" s="1" t="s">
        <v>69</v>
      </c>
      <c r="AM12" s="1" t="s">
        <v>84</v>
      </c>
      <c r="AN12" s="1" t="s">
        <v>84</v>
      </c>
      <c r="AO12" s="1" t="s">
        <v>83</v>
      </c>
      <c r="AP12" s="1" t="s">
        <v>83</v>
      </c>
      <c r="AQ12" s="1" t="s">
        <v>83</v>
      </c>
      <c r="AR12" s="1" t="s">
        <v>69</v>
      </c>
      <c r="AS12" s="1" t="s">
        <v>84</v>
      </c>
      <c r="AT12" s="1" t="s">
        <v>69</v>
      </c>
      <c r="AU12" s="1" t="s">
        <v>84</v>
      </c>
      <c r="AV12" s="1" t="s">
        <v>69</v>
      </c>
      <c r="AW12" s="1" t="s">
        <v>93</v>
      </c>
      <c r="AX12" s="1" t="s">
        <v>93</v>
      </c>
      <c r="AY12" s="1" t="s">
        <v>93</v>
      </c>
      <c r="AZ12" s="1" t="s">
        <v>93</v>
      </c>
      <c r="BA12" s="1" t="s">
        <v>93</v>
      </c>
      <c r="BB12" s="1" t="s">
        <v>93</v>
      </c>
      <c r="BC12" s="1" t="s">
        <v>93</v>
      </c>
      <c r="BD12" s="1" t="s">
        <v>93</v>
      </c>
      <c r="BE12" s="1" t="s">
        <v>93</v>
      </c>
      <c r="BF12" s="1" t="s">
        <v>94</v>
      </c>
      <c r="BG12" s="1" t="s">
        <v>94</v>
      </c>
      <c r="BH12" s="49">
        <v>1</v>
      </c>
      <c r="BI12" s="1" t="s">
        <v>73</v>
      </c>
      <c r="BJ12" s="1" t="s">
        <v>74</v>
      </c>
      <c r="BK12" s="1" t="s">
        <v>75</v>
      </c>
      <c r="BL12" s="1" t="s">
        <v>99</v>
      </c>
      <c r="BM12" s="1" t="s">
        <v>90</v>
      </c>
      <c r="BN12" s="1" t="s">
        <v>78</v>
      </c>
      <c r="BO12" s="1" t="s">
        <v>78</v>
      </c>
      <c r="BP12" s="1" t="s">
        <v>100</v>
      </c>
    </row>
    <row r="13" spans="2:68" ht="15.75" customHeight="1">
      <c r="B13" s="1">
        <v>332</v>
      </c>
      <c r="C13" s="1" t="s">
        <v>82</v>
      </c>
      <c r="D13" s="1" t="s">
        <v>82</v>
      </c>
      <c r="E13" s="1" t="s">
        <v>67</v>
      </c>
      <c r="F13" s="1" t="s">
        <v>67</v>
      </c>
      <c r="G13" s="1" t="s">
        <v>80</v>
      </c>
      <c r="H13" s="1" t="s">
        <v>80</v>
      </c>
      <c r="I13" s="1" t="s">
        <v>82</v>
      </c>
      <c r="J13" s="1" t="s">
        <v>80</v>
      </c>
      <c r="K13" s="1" t="s">
        <v>80</v>
      </c>
      <c r="L13" s="1" t="s">
        <v>81</v>
      </c>
      <c r="M13" s="1" t="s">
        <v>82</v>
      </c>
      <c r="N13" s="1" t="s">
        <v>80</v>
      </c>
      <c r="O13" s="1" t="s">
        <v>82</v>
      </c>
      <c r="P13" s="1" t="s">
        <v>80</v>
      </c>
      <c r="Q13" s="1" t="s">
        <v>67</v>
      </c>
      <c r="R13" s="1" t="s">
        <v>80</v>
      </c>
      <c r="S13" s="1" t="s">
        <v>80</v>
      </c>
      <c r="T13" s="1" t="s">
        <v>69</v>
      </c>
      <c r="U13" s="1" t="s">
        <v>84</v>
      </c>
      <c r="V13" s="1" t="s">
        <v>69</v>
      </c>
      <c r="W13" s="1" t="s">
        <v>84</v>
      </c>
      <c r="X13" s="1" t="s">
        <v>84</v>
      </c>
      <c r="Y13" s="1" t="s">
        <v>83</v>
      </c>
      <c r="Z13" s="1" t="s">
        <v>83</v>
      </c>
      <c r="AA13" s="1" t="s">
        <v>84</v>
      </c>
      <c r="AB13" s="1" t="s">
        <v>68</v>
      </c>
      <c r="AC13" s="1" t="s">
        <v>83</v>
      </c>
      <c r="AD13" s="1" t="s">
        <v>68</v>
      </c>
      <c r="AE13" s="1" t="s">
        <v>83</v>
      </c>
      <c r="AF13" s="1" t="s">
        <v>84</v>
      </c>
      <c r="AG13" s="1" t="s">
        <v>68</v>
      </c>
      <c r="AH13" s="1" t="s">
        <v>68</v>
      </c>
      <c r="AI13" s="1" t="s">
        <v>83</v>
      </c>
      <c r="AJ13" s="1" t="s">
        <v>84</v>
      </c>
      <c r="AK13" s="1" t="s">
        <v>84</v>
      </c>
      <c r="AL13" s="1" t="s">
        <v>69</v>
      </c>
      <c r="AM13" s="1" t="s">
        <v>69</v>
      </c>
      <c r="AN13" s="1" t="s">
        <v>83</v>
      </c>
      <c r="AO13" s="1" t="s">
        <v>69</v>
      </c>
      <c r="AP13" s="1" t="s">
        <v>84</v>
      </c>
      <c r="AQ13" s="1" t="s">
        <v>83</v>
      </c>
      <c r="AR13" s="1" t="s">
        <v>84</v>
      </c>
      <c r="AS13" s="1" t="s">
        <v>68</v>
      </c>
      <c r="AT13" s="1" t="s">
        <v>69</v>
      </c>
      <c r="AU13" s="1" t="s">
        <v>68</v>
      </c>
      <c r="AV13" s="1" t="s">
        <v>69</v>
      </c>
      <c r="AW13" s="1" t="s">
        <v>70</v>
      </c>
      <c r="AX13" s="1" t="s">
        <v>70</v>
      </c>
      <c r="AY13" s="1" t="s">
        <v>86</v>
      </c>
      <c r="AZ13" s="1" t="s">
        <v>86</v>
      </c>
      <c r="BA13" s="1" t="s">
        <v>86</v>
      </c>
      <c r="BB13" s="1" t="s">
        <v>93</v>
      </c>
      <c r="BC13" s="1" t="s">
        <v>86</v>
      </c>
      <c r="BD13" s="1" t="s">
        <v>86</v>
      </c>
      <c r="BE13" s="1" t="s">
        <v>86</v>
      </c>
      <c r="BF13" s="1" t="s">
        <v>104</v>
      </c>
      <c r="BG13" s="1" t="s">
        <v>94</v>
      </c>
      <c r="BH13" s="49">
        <v>0.5</v>
      </c>
      <c r="BI13" s="1" t="s">
        <v>95</v>
      </c>
      <c r="BJ13" s="1" t="s">
        <v>74</v>
      </c>
      <c r="BK13" s="1" t="s">
        <v>75</v>
      </c>
      <c r="BL13" s="1" t="s">
        <v>96</v>
      </c>
      <c r="BM13" s="1" t="s">
        <v>90</v>
      </c>
      <c r="BN13" s="1" t="s">
        <v>107</v>
      </c>
      <c r="BO13" s="1" t="s">
        <v>92</v>
      </c>
      <c r="BP13" s="1" t="s">
        <v>103</v>
      </c>
    </row>
    <row r="14" spans="2:68" ht="15.75" customHeight="1">
      <c r="B14" s="1">
        <v>333</v>
      </c>
      <c r="C14" s="1" t="s">
        <v>80</v>
      </c>
      <c r="D14" s="1" t="s">
        <v>82</v>
      </c>
      <c r="E14" s="1" t="s">
        <v>67</v>
      </c>
      <c r="F14" s="1" t="s">
        <v>80</v>
      </c>
      <c r="G14" s="1" t="s">
        <v>82</v>
      </c>
      <c r="H14" s="1" t="s">
        <v>80</v>
      </c>
      <c r="I14" s="1" t="s">
        <v>81</v>
      </c>
      <c r="J14" s="1" t="s">
        <v>80</v>
      </c>
      <c r="K14" s="1" t="s">
        <v>80</v>
      </c>
      <c r="L14" s="1" t="s">
        <v>82</v>
      </c>
      <c r="M14" s="1" t="s">
        <v>82</v>
      </c>
      <c r="N14" s="1" t="s">
        <v>82</v>
      </c>
      <c r="O14" s="1" t="s">
        <v>81</v>
      </c>
      <c r="P14" s="1" t="s">
        <v>67</v>
      </c>
      <c r="Q14" s="1" t="s">
        <v>82</v>
      </c>
      <c r="R14" s="1" t="s">
        <v>82</v>
      </c>
      <c r="S14" s="1" t="s">
        <v>81</v>
      </c>
      <c r="T14" s="1" t="s">
        <v>69</v>
      </c>
      <c r="U14" s="1" t="s">
        <v>69</v>
      </c>
      <c r="V14" s="1" t="s">
        <v>69</v>
      </c>
      <c r="W14" s="1" t="s">
        <v>84</v>
      </c>
      <c r="X14" s="1" t="s">
        <v>84</v>
      </c>
      <c r="Y14" s="1" t="s">
        <v>83</v>
      </c>
      <c r="Z14" s="1" t="s">
        <v>83</v>
      </c>
      <c r="AA14" s="1" t="s">
        <v>83</v>
      </c>
      <c r="AB14" s="1" t="s">
        <v>68</v>
      </c>
      <c r="AC14" s="1" t="s">
        <v>84</v>
      </c>
      <c r="AD14" s="1" t="s">
        <v>84</v>
      </c>
      <c r="AE14" s="1" t="s">
        <v>84</v>
      </c>
      <c r="AF14" s="1" t="s">
        <v>68</v>
      </c>
      <c r="AG14" s="1" t="s">
        <v>83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83</v>
      </c>
      <c r="AO14" s="1" t="s">
        <v>83</v>
      </c>
      <c r="AP14" s="1" t="s">
        <v>83</v>
      </c>
      <c r="AQ14" s="1" t="s">
        <v>83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93</v>
      </c>
      <c r="AX14" s="1" t="s">
        <v>93</v>
      </c>
      <c r="AY14" s="1" t="s">
        <v>93</v>
      </c>
      <c r="AZ14" s="1" t="s">
        <v>86</v>
      </c>
      <c r="BA14" s="1" t="s">
        <v>86</v>
      </c>
      <c r="BB14" s="1" t="s">
        <v>86</v>
      </c>
      <c r="BC14" s="1" t="s">
        <v>93</v>
      </c>
      <c r="BD14" s="1" t="s">
        <v>93</v>
      </c>
      <c r="BE14" s="1" t="s">
        <v>93</v>
      </c>
      <c r="BF14" s="1" t="s">
        <v>87</v>
      </c>
      <c r="BG14" s="1" t="s">
        <v>87</v>
      </c>
      <c r="BH14" s="49">
        <v>0.7</v>
      </c>
      <c r="BI14" s="1" t="s">
        <v>73</v>
      </c>
      <c r="BJ14" s="1" t="s">
        <v>74</v>
      </c>
      <c r="BK14" s="1" t="s">
        <v>75</v>
      </c>
      <c r="BL14" s="1" t="s">
        <v>99</v>
      </c>
      <c r="BM14" s="1" t="s">
        <v>90</v>
      </c>
      <c r="BN14" s="1" t="s">
        <v>91</v>
      </c>
      <c r="BO14" s="1" t="s">
        <v>92</v>
      </c>
      <c r="BP14" s="1" t="s">
        <v>100</v>
      </c>
    </row>
    <row r="15" spans="2:68" ht="15.75" customHeight="1">
      <c r="B15" s="1">
        <v>334</v>
      </c>
      <c r="C15" s="1" t="s">
        <v>81</v>
      </c>
      <c r="D15" s="1" t="s">
        <v>81</v>
      </c>
      <c r="E15" s="1" t="s">
        <v>80</v>
      </c>
      <c r="F15" s="1" t="s">
        <v>80</v>
      </c>
      <c r="G15" s="1" t="s">
        <v>80</v>
      </c>
      <c r="H15" s="1" t="s">
        <v>80</v>
      </c>
      <c r="I15" s="1" t="s">
        <v>81</v>
      </c>
      <c r="J15" s="1" t="s">
        <v>67</v>
      </c>
      <c r="K15" s="1" t="s">
        <v>67</v>
      </c>
      <c r="L15" s="1" t="s">
        <v>67</v>
      </c>
      <c r="M15" s="1" t="s">
        <v>81</v>
      </c>
      <c r="N15" s="1" t="s">
        <v>81</v>
      </c>
      <c r="O15" s="1" t="s">
        <v>81</v>
      </c>
      <c r="P15" s="1" t="s">
        <v>67</v>
      </c>
      <c r="Q15" s="1" t="s">
        <v>81</v>
      </c>
      <c r="R15" s="1" t="s">
        <v>67</v>
      </c>
      <c r="S15" s="1" t="s">
        <v>67</v>
      </c>
      <c r="T15" s="1" t="s">
        <v>84</v>
      </c>
      <c r="U15" s="1" t="s">
        <v>84</v>
      </c>
      <c r="V15" s="1" t="s">
        <v>84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69</v>
      </c>
      <c r="AN15" s="1" t="s">
        <v>83</v>
      </c>
      <c r="AO15" s="1" t="s">
        <v>83</v>
      </c>
      <c r="AP15" s="1" t="s">
        <v>83</v>
      </c>
      <c r="AQ15" s="1" t="s">
        <v>68</v>
      </c>
      <c r="AR15" s="1" t="s">
        <v>69</v>
      </c>
      <c r="AS15" s="1" t="s">
        <v>68</v>
      </c>
      <c r="AT15" s="1" t="s">
        <v>84</v>
      </c>
      <c r="AU15" s="1" t="s">
        <v>68</v>
      </c>
      <c r="AV15" s="1" t="s">
        <v>84</v>
      </c>
      <c r="AW15" s="1" t="s">
        <v>71</v>
      </c>
      <c r="AX15" s="1" t="s">
        <v>71</v>
      </c>
      <c r="AY15" s="1" t="s">
        <v>71</v>
      </c>
      <c r="AZ15" s="1" t="s">
        <v>71</v>
      </c>
      <c r="BA15" s="1" t="s">
        <v>71</v>
      </c>
      <c r="BB15" s="1" t="s">
        <v>71</v>
      </c>
      <c r="BC15" s="1" t="s">
        <v>71</v>
      </c>
      <c r="BD15" s="1" t="s">
        <v>71</v>
      </c>
      <c r="BE15" s="1" t="s">
        <v>71</v>
      </c>
      <c r="BF15" s="1" t="s">
        <v>94</v>
      </c>
      <c r="BG15" s="1" t="s">
        <v>72</v>
      </c>
      <c r="BH15" s="49">
        <v>0.75</v>
      </c>
      <c r="BI15" s="1" t="s">
        <v>95</v>
      </c>
      <c r="BJ15" s="1" t="s">
        <v>88</v>
      </c>
      <c r="BK15" s="1" t="s">
        <v>89</v>
      </c>
      <c r="BL15" s="1" t="s">
        <v>99</v>
      </c>
      <c r="BM15" s="1" t="s">
        <v>90</v>
      </c>
      <c r="BN15" s="1" t="s">
        <v>78</v>
      </c>
      <c r="BO15" s="1" t="s">
        <v>78</v>
      </c>
      <c r="BP15" s="1" t="s">
        <v>98</v>
      </c>
    </row>
    <row r="16" spans="2:68" ht="15.75" customHeight="1">
      <c r="B16" s="1">
        <v>335</v>
      </c>
      <c r="C16" s="1" t="s">
        <v>80</v>
      </c>
      <c r="D16" s="1" t="s">
        <v>80</v>
      </c>
      <c r="E16" s="1" t="s">
        <v>67</v>
      </c>
      <c r="F16" s="1" t="s">
        <v>80</v>
      </c>
      <c r="G16" s="1" t="s">
        <v>80</v>
      </c>
      <c r="H16" s="1" t="s">
        <v>80</v>
      </c>
      <c r="I16" s="1" t="s">
        <v>81</v>
      </c>
      <c r="J16" s="1" t="s">
        <v>82</v>
      </c>
      <c r="K16" s="1" t="s">
        <v>82</v>
      </c>
      <c r="L16" s="1" t="s">
        <v>81</v>
      </c>
      <c r="M16" s="1" t="s">
        <v>82</v>
      </c>
      <c r="N16" s="1" t="s">
        <v>80</v>
      </c>
      <c r="O16" s="1" t="s">
        <v>80</v>
      </c>
      <c r="P16" s="1" t="s">
        <v>80</v>
      </c>
      <c r="Q16" s="1" t="s">
        <v>82</v>
      </c>
      <c r="R16" s="1" t="s">
        <v>80</v>
      </c>
      <c r="S16" s="1" t="s">
        <v>67</v>
      </c>
      <c r="T16" s="1" t="s">
        <v>83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84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68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84</v>
      </c>
      <c r="AK16" s="1" t="s">
        <v>83</v>
      </c>
      <c r="AL16" s="1" t="s">
        <v>69</v>
      </c>
      <c r="AM16" s="1" t="s">
        <v>69</v>
      </c>
      <c r="AN16" s="1" t="s">
        <v>84</v>
      </c>
      <c r="AO16" s="1" t="s">
        <v>68</v>
      </c>
      <c r="AP16" s="1" t="s">
        <v>69</v>
      </c>
      <c r="AQ16" s="1" t="s">
        <v>83</v>
      </c>
      <c r="AR16" s="1" t="s">
        <v>69</v>
      </c>
      <c r="AS16" s="1" t="s">
        <v>84</v>
      </c>
      <c r="AT16" s="1" t="s">
        <v>84</v>
      </c>
      <c r="AU16" s="1" t="s">
        <v>84</v>
      </c>
      <c r="AV16" s="1" t="s">
        <v>83</v>
      </c>
      <c r="AW16" s="1" t="s">
        <v>93</v>
      </c>
      <c r="AX16" s="1" t="s">
        <v>93</v>
      </c>
      <c r="AY16" s="1" t="s">
        <v>71</v>
      </c>
      <c r="AZ16" s="1" t="s">
        <v>71</v>
      </c>
      <c r="BA16" s="1" t="s">
        <v>71</v>
      </c>
      <c r="BB16" s="1" t="s">
        <v>93</v>
      </c>
      <c r="BC16" s="1" t="s">
        <v>86</v>
      </c>
      <c r="BD16" s="1" t="s">
        <v>86</v>
      </c>
      <c r="BE16" s="1" t="s">
        <v>93</v>
      </c>
      <c r="BF16" s="1" t="s">
        <v>94</v>
      </c>
      <c r="BG16" s="1" t="s">
        <v>87</v>
      </c>
      <c r="BH16" s="49">
        <v>0.7</v>
      </c>
      <c r="BI16" s="1" t="s">
        <v>73</v>
      </c>
      <c r="BJ16" s="1" t="s">
        <v>74</v>
      </c>
      <c r="BK16" s="1" t="s">
        <v>89</v>
      </c>
      <c r="BL16" s="1" t="s">
        <v>96</v>
      </c>
      <c r="BM16" s="1" t="s">
        <v>97</v>
      </c>
      <c r="BN16" s="1" t="s">
        <v>107</v>
      </c>
      <c r="BO16" s="1" t="s">
        <v>102</v>
      </c>
      <c r="BP16" s="1" t="s">
        <v>103</v>
      </c>
    </row>
    <row r="17" spans="2:68" ht="15.75" customHeight="1">
      <c r="B17" s="1">
        <v>336</v>
      </c>
      <c r="C17" s="1" t="s">
        <v>82</v>
      </c>
      <c r="D17" s="1" t="s">
        <v>82</v>
      </c>
      <c r="E17" s="1" t="s">
        <v>67</v>
      </c>
      <c r="F17" s="1" t="s">
        <v>80</v>
      </c>
      <c r="G17" s="1" t="s">
        <v>80</v>
      </c>
      <c r="H17" s="1" t="s">
        <v>80</v>
      </c>
      <c r="I17" s="1" t="s">
        <v>81</v>
      </c>
      <c r="J17" s="1" t="s">
        <v>80</v>
      </c>
      <c r="K17" s="1" t="s">
        <v>80</v>
      </c>
      <c r="L17" s="1" t="s">
        <v>80</v>
      </c>
      <c r="M17" s="1" t="s">
        <v>81</v>
      </c>
      <c r="N17" s="1" t="s">
        <v>80</v>
      </c>
      <c r="O17" s="1" t="s">
        <v>81</v>
      </c>
      <c r="P17" s="1" t="s">
        <v>80</v>
      </c>
      <c r="Q17" s="1" t="s">
        <v>67</v>
      </c>
      <c r="R17" s="1" t="s">
        <v>80</v>
      </c>
      <c r="S17" s="1" t="s">
        <v>80</v>
      </c>
      <c r="T17" s="1" t="s">
        <v>83</v>
      </c>
      <c r="U17" s="1" t="s">
        <v>83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83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83</v>
      </c>
      <c r="AH17" s="1" t="s">
        <v>83</v>
      </c>
      <c r="AI17" s="1" t="s">
        <v>84</v>
      </c>
      <c r="AJ17" s="1" t="s">
        <v>84</v>
      </c>
      <c r="AK17" s="1" t="s">
        <v>69</v>
      </c>
      <c r="AL17" s="1" t="s">
        <v>84</v>
      </c>
      <c r="AM17" s="1" t="s">
        <v>69</v>
      </c>
      <c r="AN17" s="1" t="s">
        <v>84</v>
      </c>
      <c r="AO17" s="1" t="s">
        <v>83</v>
      </c>
      <c r="AP17" s="1" t="s">
        <v>84</v>
      </c>
      <c r="AQ17" s="1" t="s">
        <v>83</v>
      </c>
      <c r="AR17" s="1" t="s">
        <v>69</v>
      </c>
      <c r="AS17" s="1" t="s">
        <v>84</v>
      </c>
      <c r="AT17" s="1" t="s">
        <v>69</v>
      </c>
      <c r="AU17" s="1" t="s">
        <v>83</v>
      </c>
      <c r="AV17" s="1" t="s">
        <v>84</v>
      </c>
      <c r="AW17" s="1" t="s">
        <v>86</v>
      </c>
      <c r="AX17" s="1" t="s">
        <v>71</v>
      </c>
      <c r="AY17" s="1" t="s">
        <v>71</v>
      </c>
      <c r="AZ17" s="1" t="s">
        <v>86</v>
      </c>
      <c r="BA17" s="1" t="s">
        <v>93</v>
      </c>
      <c r="BB17" s="1" t="s">
        <v>71</v>
      </c>
      <c r="BC17" s="1" t="s">
        <v>93</v>
      </c>
      <c r="BD17" s="1" t="s">
        <v>71</v>
      </c>
      <c r="BE17" s="1" t="s">
        <v>71</v>
      </c>
      <c r="BF17" s="1" t="s">
        <v>94</v>
      </c>
      <c r="BG17" s="1" t="s">
        <v>72</v>
      </c>
      <c r="BH17" s="49">
        <v>0.5</v>
      </c>
      <c r="BI17" s="1" t="s">
        <v>95</v>
      </c>
      <c r="BJ17" s="1" t="s">
        <v>88</v>
      </c>
      <c r="BK17" s="1" t="s">
        <v>75</v>
      </c>
      <c r="BL17" s="1" t="s">
        <v>96</v>
      </c>
      <c r="BM17" s="1" t="s">
        <v>97</v>
      </c>
      <c r="BN17" s="1" t="s">
        <v>91</v>
      </c>
      <c r="BO17" s="1" t="s">
        <v>92</v>
      </c>
      <c r="BP17" s="1" t="s">
        <v>100</v>
      </c>
    </row>
    <row r="18" spans="2:68" ht="15.75" customHeight="1">
      <c r="B18" s="1">
        <v>337</v>
      </c>
      <c r="C18" s="1" t="s">
        <v>67</v>
      </c>
      <c r="D18" s="1" t="s">
        <v>67</v>
      </c>
      <c r="E18" s="1" t="s">
        <v>67</v>
      </c>
      <c r="F18" s="1" t="s">
        <v>80</v>
      </c>
      <c r="G18" s="1" t="s">
        <v>80</v>
      </c>
      <c r="H18" s="1" t="s">
        <v>67</v>
      </c>
      <c r="I18" s="1" t="s">
        <v>81</v>
      </c>
      <c r="J18" s="1" t="s">
        <v>80</v>
      </c>
      <c r="K18" s="1" t="s">
        <v>80</v>
      </c>
      <c r="L18" s="1" t="s">
        <v>80</v>
      </c>
      <c r="M18" s="1" t="s">
        <v>82</v>
      </c>
      <c r="N18" s="1" t="s">
        <v>82</v>
      </c>
      <c r="O18" s="1" t="s">
        <v>81</v>
      </c>
      <c r="P18" s="1" t="s">
        <v>80</v>
      </c>
      <c r="Q18" s="1" t="s">
        <v>82</v>
      </c>
      <c r="R18" s="1" t="s">
        <v>82</v>
      </c>
      <c r="S18" s="1" t="s">
        <v>80</v>
      </c>
      <c r="T18" s="1" t="s">
        <v>68</v>
      </c>
      <c r="U18" s="1" t="s">
        <v>68</v>
      </c>
      <c r="V18" s="1" t="s">
        <v>68</v>
      </c>
      <c r="W18" s="1" t="s">
        <v>84</v>
      </c>
      <c r="X18" s="1" t="s">
        <v>84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84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68</v>
      </c>
      <c r="AW18" s="1" t="s">
        <v>71</v>
      </c>
      <c r="AX18" s="1" t="s">
        <v>71</v>
      </c>
      <c r="AY18" s="1" t="s">
        <v>71</v>
      </c>
      <c r="AZ18" s="1" t="s">
        <v>71</v>
      </c>
      <c r="BA18" s="1" t="s">
        <v>93</v>
      </c>
      <c r="BB18" s="1" t="s">
        <v>93</v>
      </c>
      <c r="BC18" s="1" t="s">
        <v>71</v>
      </c>
      <c r="BD18" s="1" t="s">
        <v>93</v>
      </c>
      <c r="BE18" s="1" t="s">
        <v>93</v>
      </c>
      <c r="BF18" s="1" t="s">
        <v>87</v>
      </c>
      <c r="BG18" s="1" t="s">
        <v>72</v>
      </c>
      <c r="BH18" s="49">
        <v>0.9</v>
      </c>
      <c r="BI18" s="1" t="s">
        <v>105</v>
      </c>
      <c r="BJ18" s="1" t="s">
        <v>74</v>
      </c>
      <c r="BK18" s="1" t="s">
        <v>75</v>
      </c>
      <c r="BL18" s="1" t="s">
        <v>76</v>
      </c>
      <c r="BM18" s="1" t="s">
        <v>77</v>
      </c>
      <c r="BN18" s="1" t="s">
        <v>78</v>
      </c>
      <c r="BO18" s="1" t="s">
        <v>78</v>
      </c>
      <c r="BP18" s="1" t="s">
        <v>79</v>
      </c>
    </row>
    <row r="19" spans="2:68" ht="15.75" customHeight="1">
      <c r="B19" s="3">
        <v>338</v>
      </c>
      <c r="C19" s="1" t="s">
        <v>80</v>
      </c>
      <c r="D19" s="1" t="s">
        <v>67</v>
      </c>
      <c r="E19" s="1" t="s">
        <v>67</v>
      </c>
      <c r="F19" s="1" t="s">
        <v>67</v>
      </c>
      <c r="G19" s="1" t="s">
        <v>67</v>
      </c>
      <c r="H19" s="1" t="s">
        <v>82</v>
      </c>
      <c r="I19" s="1" t="s">
        <v>81</v>
      </c>
      <c r="J19" s="1" t="s">
        <v>67</v>
      </c>
      <c r="K19" s="1" t="s">
        <v>67</v>
      </c>
      <c r="L19" s="1" t="s">
        <v>67</v>
      </c>
      <c r="M19" s="1" t="s">
        <v>81</v>
      </c>
      <c r="N19" s="1" t="s">
        <v>82</v>
      </c>
      <c r="O19" s="1" t="s">
        <v>82</v>
      </c>
      <c r="P19" s="1" t="s">
        <v>80</v>
      </c>
      <c r="Q19" s="1" t="s">
        <v>80</v>
      </c>
      <c r="R19" s="1" t="s">
        <v>67</v>
      </c>
      <c r="S19" s="1" t="s">
        <v>80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69</v>
      </c>
      <c r="AB19" s="1" t="s">
        <v>85</v>
      </c>
      <c r="AC19" s="1" t="s">
        <v>84</v>
      </c>
      <c r="AD19" s="1" t="s">
        <v>84</v>
      </c>
      <c r="AE19" s="1" t="s">
        <v>84</v>
      </c>
      <c r="AF19" s="1" t="s">
        <v>69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69</v>
      </c>
      <c r="AM19" s="1" t="s">
        <v>84</v>
      </c>
      <c r="AN19" s="1" t="s">
        <v>84</v>
      </c>
      <c r="AO19" s="1" t="s">
        <v>68</v>
      </c>
      <c r="AP19" s="1" t="s">
        <v>83</v>
      </c>
      <c r="AQ19" s="1" t="s">
        <v>84</v>
      </c>
      <c r="AR19" s="1" t="s">
        <v>69</v>
      </c>
      <c r="AS19" s="1" t="s">
        <v>84</v>
      </c>
      <c r="AT19" s="1" t="s">
        <v>84</v>
      </c>
      <c r="AU19" s="1" t="s">
        <v>83</v>
      </c>
      <c r="AV19" s="1" t="s">
        <v>84</v>
      </c>
      <c r="AW19" s="1" t="s">
        <v>93</v>
      </c>
      <c r="AX19" s="1" t="s">
        <v>93</v>
      </c>
      <c r="AY19" s="1" t="s">
        <v>93</v>
      </c>
      <c r="AZ19" s="1" t="s">
        <v>93</v>
      </c>
      <c r="BA19" s="1" t="s">
        <v>93</v>
      </c>
      <c r="BB19" s="1" t="s">
        <v>93</v>
      </c>
      <c r="BC19" s="1" t="s">
        <v>86</v>
      </c>
      <c r="BD19" s="1" t="s">
        <v>86</v>
      </c>
      <c r="BE19" s="1" t="s">
        <v>93</v>
      </c>
      <c r="BF19" s="1" t="s">
        <v>94</v>
      </c>
      <c r="BG19" s="1" t="s">
        <v>94</v>
      </c>
      <c r="BH19" s="49">
        <v>0.6</v>
      </c>
      <c r="BI19" s="1" t="s">
        <v>95</v>
      </c>
      <c r="BJ19" s="1" t="s">
        <v>88</v>
      </c>
      <c r="BK19" s="1" t="s">
        <v>89</v>
      </c>
      <c r="BL19" s="1" t="s">
        <v>99</v>
      </c>
      <c r="BM19" s="1" t="s">
        <v>90</v>
      </c>
      <c r="BN19" s="1" t="s">
        <v>78</v>
      </c>
      <c r="BO19" s="1" t="s">
        <v>78</v>
      </c>
      <c r="BP19" s="1" t="s">
        <v>98</v>
      </c>
    </row>
    <row r="20" spans="2:68" ht="15.75" customHeight="1">
      <c r="B20">
        <v>339</v>
      </c>
      <c r="C20" t="s">
        <v>80</v>
      </c>
      <c r="D20" t="s">
        <v>82</v>
      </c>
      <c r="E20" t="s">
        <v>80</v>
      </c>
      <c r="F20" t="s">
        <v>80</v>
      </c>
      <c r="G20" t="s">
        <v>67</v>
      </c>
      <c r="H20" t="s">
        <v>80</v>
      </c>
      <c r="I20" t="s">
        <v>81</v>
      </c>
      <c r="J20" t="s">
        <v>80</v>
      </c>
      <c r="K20" t="s">
        <v>80</v>
      </c>
      <c r="L20" t="s">
        <v>80</v>
      </c>
      <c r="M20" t="s">
        <v>81</v>
      </c>
      <c r="N20" t="s">
        <v>81</v>
      </c>
      <c r="O20" t="s">
        <v>82</v>
      </c>
      <c r="P20" t="s">
        <v>80</v>
      </c>
      <c r="Q20" t="s">
        <v>82</v>
      </c>
      <c r="R20" t="s">
        <v>80</v>
      </c>
      <c r="S20" t="s">
        <v>80</v>
      </c>
      <c r="T20" t="s">
        <v>69</v>
      </c>
      <c r="U20" t="s">
        <v>69</v>
      </c>
      <c r="V20" t="s">
        <v>69</v>
      </c>
      <c r="W20" t="s">
        <v>84</v>
      </c>
      <c r="X20" t="s">
        <v>84</v>
      </c>
      <c r="Y20" t="s">
        <v>69</v>
      </c>
      <c r="Z20" t="s">
        <v>84</v>
      </c>
      <c r="AA20" t="s">
        <v>69</v>
      </c>
      <c r="AB20" t="s">
        <v>69</v>
      </c>
      <c r="AC20" t="s">
        <v>84</v>
      </c>
      <c r="AD20" t="s">
        <v>83</v>
      </c>
      <c r="AE20" t="s">
        <v>69</v>
      </c>
      <c r="AF20" t="s">
        <v>68</v>
      </c>
      <c r="AG20" t="s">
        <v>69</v>
      </c>
      <c r="AH20" t="s">
        <v>84</v>
      </c>
      <c r="AI20" t="s">
        <v>68</v>
      </c>
      <c r="AJ20" t="s">
        <v>69</v>
      </c>
      <c r="AK20" t="s">
        <v>69</v>
      </c>
      <c r="AL20" t="s">
        <v>69</v>
      </c>
      <c r="AM20" t="s">
        <v>69</v>
      </c>
      <c r="AN20" t="s">
        <v>69</v>
      </c>
      <c r="AO20" t="s">
        <v>84</v>
      </c>
      <c r="AP20" t="s">
        <v>69</v>
      </c>
      <c r="AQ20" t="s">
        <v>84</v>
      </c>
      <c r="AR20" t="s">
        <v>69</v>
      </c>
      <c r="AS20" t="s">
        <v>69</v>
      </c>
      <c r="AT20" t="s">
        <v>69</v>
      </c>
      <c r="AU20" t="s">
        <v>83</v>
      </c>
      <c r="AV20" t="s">
        <v>68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86</v>
      </c>
      <c r="BE20" t="s">
        <v>86</v>
      </c>
      <c r="BF20" t="s">
        <v>87</v>
      </c>
      <c r="BG20" t="s">
        <v>87</v>
      </c>
      <c r="BH20" s="50">
        <v>0.9</v>
      </c>
      <c r="BI20" t="s">
        <v>73</v>
      </c>
      <c r="BJ20" t="s">
        <v>88</v>
      </c>
      <c r="BK20" t="s">
        <v>89</v>
      </c>
      <c r="BL20" t="s">
        <v>76</v>
      </c>
      <c r="BM20" t="s">
        <v>97</v>
      </c>
      <c r="BN20" t="s">
        <v>91</v>
      </c>
      <c r="BO20" t="s">
        <v>78</v>
      </c>
      <c r="BP20" t="s">
        <v>79</v>
      </c>
    </row>
    <row r="21" spans="2:68" ht="15.75" customHeight="1">
      <c r="B21" s="1">
        <v>340</v>
      </c>
      <c r="C21" s="1" t="s">
        <v>82</v>
      </c>
      <c r="D21" s="1" t="s">
        <v>82</v>
      </c>
      <c r="E21" s="1" t="s">
        <v>82</v>
      </c>
      <c r="F21" s="1" t="s">
        <v>80</v>
      </c>
      <c r="G21" s="1" t="s">
        <v>80</v>
      </c>
      <c r="H21" s="1" t="s">
        <v>80</v>
      </c>
      <c r="I21" s="1" t="s">
        <v>81</v>
      </c>
      <c r="J21" s="1" t="s">
        <v>80</v>
      </c>
      <c r="K21" s="1" t="s">
        <v>81</v>
      </c>
      <c r="L21" s="1" t="s">
        <v>81</v>
      </c>
      <c r="M21" s="1" t="s">
        <v>67</v>
      </c>
      <c r="N21" s="1" t="s">
        <v>67</v>
      </c>
      <c r="O21" s="1" t="s">
        <v>82</v>
      </c>
      <c r="P21" s="1" t="s">
        <v>82</v>
      </c>
      <c r="Q21" s="1" t="s">
        <v>82</v>
      </c>
      <c r="R21" s="1" t="s">
        <v>81</v>
      </c>
      <c r="S21" s="1" t="s">
        <v>81</v>
      </c>
      <c r="T21" s="1" t="s">
        <v>69</v>
      </c>
      <c r="U21" s="1" t="s">
        <v>69</v>
      </c>
      <c r="V21" s="1" t="s">
        <v>69</v>
      </c>
      <c r="W21" s="1" t="s">
        <v>68</v>
      </c>
      <c r="X21" s="1" t="s">
        <v>68</v>
      </c>
      <c r="Y21" s="1" t="s">
        <v>68</v>
      </c>
      <c r="Z21" s="1" t="s">
        <v>83</v>
      </c>
      <c r="AA21" s="1" t="s">
        <v>83</v>
      </c>
      <c r="AB21" s="1" t="s">
        <v>85</v>
      </c>
      <c r="AC21" s="1" t="s">
        <v>84</v>
      </c>
      <c r="AD21" s="1" t="s">
        <v>68</v>
      </c>
      <c r="AE21" s="1" t="s">
        <v>68</v>
      </c>
      <c r="AF21" s="1" t="s">
        <v>68</v>
      </c>
      <c r="AG21" s="1" t="s">
        <v>68</v>
      </c>
      <c r="AH21" s="1" t="s">
        <v>68</v>
      </c>
      <c r="AI21" s="1" t="s">
        <v>68</v>
      </c>
      <c r="AJ21" s="1" t="s">
        <v>84</v>
      </c>
      <c r="AK21" s="1" t="s">
        <v>68</v>
      </c>
      <c r="AL21" s="1" t="s">
        <v>69</v>
      </c>
      <c r="AM21" s="1" t="s">
        <v>69</v>
      </c>
      <c r="AN21" s="1" t="s">
        <v>84</v>
      </c>
      <c r="AO21" s="1" t="s">
        <v>83</v>
      </c>
      <c r="AP21" s="1" t="s">
        <v>69</v>
      </c>
      <c r="AQ21" s="1" t="s">
        <v>69</v>
      </c>
      <c r="AR21" s="1" t="s">
        <v>83</v>
      </c>
      <c r="AS21" s="1" t="s">
        <v>83</v>
      </c>
      <c r="AT21" s="1" t="s">
        <v>84</v>
      </c>
      <c r="AU21" s="1" t="s">
        <v>69</v>
      </c>
      <c r="AV21" s="1" t="s">
        <v>83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70</v>
      </c>
      <c r="BC21" s="1" t="s">
        <v>70</v>
      </c>
      <c r="BD21" s="1" t="s">
        <v>70</v>
      </c>
      <c r="BE21" s="1" t="s">
        <v>70</v>
      </c>
      <c r="BF21" s="1" t="s">
        <v>104</v>
      </c>
      <c r="BG21" s="1" t="s">
        <v>87</v>
      </c>
      <c r="BH21" s="49">
        <v>0.4</v>
      </c>
      <c r="BI21" s="1" t="s">
        <v>105</v>
      </c>
      <c r="BJ21" s="1" t="s">
        <v>74</v>
      </c>
      <c r="BK21" s="1" t="s">
        <v>75</v>
      </c>
      <c r="BL21" s="1" t="s">
        <v>96</v>
      </c>
      <c r="BM21" s="1" t="s">
        <v>90</v>
      </c>
      <c r="BN21" s="1" t="s">
        <v>107</v>
      </c>
      <c r="BO21" s="1" t="s">
        <v>92</v>
      </c>
      <c r="BP21" s="1" t="s">
        <v>100</v>
      </c>
    </row>
    <row r="22" spans="2:68" ht="15.75" customHeight="1">
      <c r="B22" s="1">
        <v>341</v>
      </c>
      <c r="C22" s="1" t="s">
        <v>82</v>
      </c>
      <c r="D22" s="1" t="s">
        <v>82</v>
      </c>
      <c r="E22" s="1" t="s">
        <v>80</v>
      </c>
      <c r="F22" s="1" t="s">
        <v>81</v>
      </c>
      <c r="G22" s="1" t="s">
        <v>82</v>
      </c>
      <c r="H22" s="1" t="s">
        <v>82</v>
      </c>
      <c r="I22" s="1" t="s">
        <v>81</v>
      </c>
      <c r="J22" s="1" t="s">
        <v>80</v>
      </c>
      <c r="K22" s="1" t="s">
        <v>67</v>
      </c>
      <c r="L22" s="1" t="s">
        <v>80</v>
      </c>
      <c r="M22" s="1" t="s">
        <v>82</v>
      </c>
      <c r="N22" s="1" t="s">
        <v>81</v>
      </c>
      <c r="O22" s="1" t="s">
        <v>82</v>
      </c>
      <c r="P22" s="1" t="s">
        <v>67</v>
      </c>
      <c r="Q22" s="1" t="s">
        <v>81</v>
      </c>
      <c r="R22" s="1" t="s">
        <v>82</v>
      </c>
      <c r="S22" s="1" t="s">
        <v>80</v>
      </c>
      <c r="T22" s="1" t="s">
        <v>83</v>
      </c>
      <c r="U22" s="1" t="s">
        <v>83</v>
      </c>
      <c r="V22" s="1" t="s">
        <v>84</v>
      </c>
      <c r="W22" s="1" t="s">
        <v>69</v>
      </c>
      <c r="X22" s="1" t="s">
        <v>69</v>
      </c>
      <c r="Y22" s="1" t="s">
        <v>69</v>
      </c>
      <c r="Z22" s="1" t="s">
        <v>84</v>
      </c>
      <c r="AA22" s="1" t="s">
        <v>84</v>
      </c>
      <c r="AB22" s="1" t="s">
        <v>83</v>
      </c>
      <c r="AC22" s="1" t="s">
        <v>84</v>
      </c>
      <c r="AD22" s="1" t="s">
        <v>84</v>
      </c>
      <c r="AE22" s="1" t="s">
        <v>69</v>
      </c>
      <c r="AF22" s="1" t="s">
        <v>69</v>
      </c>
      <c r="AG22" s="1" t="s">
        <v>84</v>
      </c>
      <c r="AH22" s="1" t="s">
        <v>83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69</v>
      </c>
      <c r="AN22" s="1" t="s">
        <v>84</v>
      </c>
      <c r="AO22" s="1" t="s">
        <v>83</v>
      </c>
      <c r="AP22" s="1" t="s">
        <v>69</v>
      </c>
      <c r="AQ22" s="1" t="s">
        <v>69</v>
      </c>
      <c r="AR22" s="1" t="s">
        <v>69</v>
      </c>
      <c r="AS22" s="1" t="s">
        <v>83</v>
      </c>
      <c r="AT22" s="1" t="s">
        <v>69</v>
      </c>
      <c r="AU22" s="1" t="s">
        <v>83</v>
      </c>
      <c r="AV22" s="1" t="s">
        <v>69</v>
      </c>
      <c r="AW22" s="1" t="s">
        <v>93</v>
      </c>
      <c r="AX22" s="1" t="s">
        <v>71</v>
      </c>
      <c r="AY22" s="1" t="s">
        <v>71</v>
      </c>
      <c r="AZ22" s="1" t="s">
        <v>71</v>
      </c>
      <c r="BA22" s="1" t="s">
        <v>93</v>
      </c>
      <c r="BB22" s="1" t="s">
        <v>71</v>
      </c>
      <c r="BC22" s="1" t="s">
        <v>93</v>
      </c>
      <c r="BD22" s="1" t="s">
        <v>93</v>
      </c>
      <c r="BE22" s="1" t="s">
        <v>71</v>
      </c>
      <c r="BF22" s="1" t="s">
        <v>94</v>
      </c>
      <c r="BG22" s="1" t="s">
        <v>72</v>
      </c>
      <c r="BH22" s="49">
        <v>0.9</v>
      </c>
      <c r="BI22" s="1" t="s">
        <v>95</v>
      </c>
      <c r="BJ22" s="1" t="s">
        <v>74</v>
      </c>
      <c r="BK22" s="1" t="s">
        <v>89</v>
      </c>
      <c r="BL22" s="1" t="s">
        <v>99</v>
      </c>
      <c r="BM22" s="1" t="s">
        <v>90</v>
      </c>
      <c r="BN22" s="1" t="s">
        <v>78</v>
      </c>
      <c r="BO22" s="1" t="s">
        <v>78</v>
      </c>
      <c r="BP22" s="1" t="s">
        <v>98</v>
      </c>
    </row>
    <row r="23" spans="2:68" ht="15.75" customHeight="1">
      <c r="B23" s="1">
        <v>342</v>
      </c>
      <c r="C23" s="1" t="s">
        <v>80</v>
      </c>
      <c r="D23" s="1" t="s">
        <v>82</v>
      </c>
      <c r="E23" s="1" t="s">
        <v>67</v>
      </c>
      <c r="F23" s="1" t="s">
        <v>80</v>
      </c>
      <c r="G23" s="1" t="s">
        <v>80</v>
      </c>
      <c r="H23" s="1" t="s">
        <v>80</v>
      </c>
      <c r="I23" s="1" t="s">
        <v>81</v>
      </c>
      <c r="J23" s="1" t="s">
        <v>80</v>
      </c>
      <c r="K23" s="1" t="s">
        <v>82</v>
      </c>
      <c r="L23" s="1" t="s">
        <v>80</v>
      </c>
      <c r="M23" s="1" t="s">
        <v>82</v>
      </c>
      <c r="N23" s="1" t="s">
        <v>82</v>
      </c>
      <c r="O23" s="1" t="s">
        <v>82</v>
      </c>
      <c r="P23" s="1" t="s">
        <v>80</v>
      </c>
      <c r="Q23" s="1" t="s">
        <v>82</v>
      </c>
      <c r="R23" s="1" t="s">
        <v>80</v>
      </c>
      <c r="S23" s="1" t="s">
        <v>80</v>
      </c>
      <c r="T23" s="1" t="s">
        <v>83</v>
      </c>
      <c r="U23" s="1" t="s">
        <v>83</v>
      </c>
      <c r="V23" s="1" t="s">
        <v>83</v>
      </c>
      <c r="W23" s="1" t="s">
        <v>83</v>
      </c>
      <c r="X23" s="1" t="s">
        <v>83</v>
      </c>
      <c r="Y23" s="1" t="s">
        <v>83</v>
      </c>
      <c r="Z23" s="1" t="s">
        <v>83</v>
      </c>
      <c r="AA23" s="1" t="s">
        <v>83</v>
      </c>
      <c r="AB23" s="1" t="s">
        <v>83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69</v>
      </c>
      <c r="AR23" s="1" t="s">
        <v>69</v>
      </c>
      <c r="AS23" s="1" t="s">
        <v>83</v>
      </c>
      <c r="AT23" s="1" t="s">
        <v>83</v>
      </c>
      <c r="AU23" s="1" t="s">
        <v>83</v>
      </c>
      <c r="AV23" s="1" t="s">
        <v>84</v>
      </c>
      <c r="AW23" s="1" t="s">
        <v>86</v>
      </c>
      <c r="AX23" s="1" t="s">
        <v>86</v>
      </c>
      <c r="AY23" s="1" t="s">
        <v>93</v>
      </c>
      <c r="AZ23" s="1" t="s">
        <v>86</v>
      </c>
      <c r="BA23" s="1" t="s">
        <v>86</v>
      </c>
      <c r="BB23" s="1" t="s">
        <v>71</v>
      </c>
      <c r="BC23" s="1" t="s">
        <v>86</v>
      </c>
      <c r="BD23" s="1" t="s">
        <v>86</v>
      </c>
      <c r="BE23" s="1" t="s">
        <v>71</v>
      </c>
      <c r="BF23" s="1" t="s">
        <v>87</v>
      </c>
      <c r="BG23" s="1" t="s">
        <v>94</v>
      </c>
      <c r="BH23" s="49">
        <v>0.8</v>
      </c>
      <c r="BI23" s="1" t="s">
        <v>95</v>
      </c>
      <c r="BJ23" s="1" t="s">
        <v>74</v>
      </c>
      <c r="BK23" s="1" t="s">
        <v>89</v>
      </c>
      <c r="BL23" s="1" t="s">
        <v>76</v>
      </c>
      <c r="BM23" s="1" t="s">
        <v>77</v>
      </c>
      <c r="BN23" s="1" t="s">
        <v>78</v>
      </c>
      <c r="BO23" s="1" t="s">
        <v>78</v>
      </c>
      <c r="BP23" s="1" t="s">
        <v>98</v>
      </c>
    </row>
    <row r="24" spans="2:68" ht="15.75" customHeight="1">
      <c r="B24" s="1">
        <v>343</v>
      </c>
      <c r="C24" s="1" t="s">
        <v>82</v>
      </c>
      <c r="D24" s="1" t="s">
        <v>80</v>
      </c>
      <c r="E24" s="1" t="s">
        <v>80</v>
      </c>
      <c r="F24" s="1" t="s">
        <v>82</v>
      </c>
      <c r="G24" s="1" t="s">
        <v>80</v>
      </c>
      <c r="H24" s="1" t="s">
        <v>80</v>
      </c>
      <c r="I24" s="1" t="s">
        <v>82</v>
      </c>
      <c r="J24" s="1" t="s">
        <v>82</v>
      </c>
      <c r="K24" s="1" t="s">
        <v>82</v>
      </c>
      <c r="L24" s="1" t="s">
        <v>82</v>
      </c>
      <c r="M24" s="1" t="s">
        <v>81</v>
      </c>
      <c r="N24" s="1" t="s">
        <v>81</v>
      </c>
      <c r="O24" s="1" t="s">
        <v>81</v>
      </c>
      <c r="P24" s="1" t="s">
        <v>67</v>
      </c>
      <c r="Q24" s="1" t="s">
        <v>81</v>
      </c>
      <c r="R24" s="1" t="s">
        <v>82</v>
      </c>
      <c r="S24" s="1" t="s">
        <v>82</v>
      </c>
      <c r="T24" s="1" t="s">
        <v>84</v>
      </c>
      <c r="U24" s="1" t="s">
        <v>83</v>
      </c>
      <c r="V24" s="1" t="s">
        <v>83</v>
      </c>
      <c r="W24" s="1" t="s">
        <v>84</v>
      </c>
      <c r="X24" s="1" t="s">
        <v>84</v>
      </c>
      <c r="Y24" s="1" t="s">
        <v>84</v>
      </c>
      <c r="Z24" s="1" t="s">
        <v>83</v>
      </c>
      <c r="AA24" s="1" t="s">
        <v>83</v>
      </c>
      <c r="AB24" s="1" t="s">
        <v>83</v>
      </c>
      <c r="AC24" s="1" t="s">
        <v>83</v>
      </c>
      <c r="AD24" s="1" t="s">
        <v>84</v>
      </c>
      <c r="AE24" s="1" t="s">
        <v>84</v>
      </c>
      <c r="AF24" s="1" t="s">
        <v>84</v>
      </c>
      <c r="AG24" s="1" t="s">
        <v>83</v>
      </c>
      <c r="AH24" s="1" t="s">
        <v>83</v>
      </c>
      <c r="AI24" s="1" t="s">
        <v>83</v>
      </c>
      <c r="AJ24" s="1" t="s">
        <v>83</v>
      </c>
      <c r="AK24" s="1" t="s">
        <v>84</v>
      </c>
      <c r="AL24" s="1" t="s">
        <v>69</v>
      </c>
      <c r="AM24" s="1" t="s">
        <v>69</v>
      </c>
      <c r="AN24" s="1" t="s">
        <v>83</v>
      </c>
      <c r="AO24" s="1" t="s">
        <v>84</v>
      </c>
      <c r="AP24" s="1" t="s">
        <v>69</v>
      </c>
      <c r="AQ24" s="1" t="s">
        <v>69</v>
      </c>
      <c r="AR24" s="1" t="s">
        <v>69</v>
      </c>
      <c r="AS24" s="1" t="s">
        <v>83</v>
      </c>
      <c r="AT24" s="1" t="s">
        <v>69</v>
      </c>
      <c r="AU24" s="1" t="s">
        <v>83</v>
      </c>
      <c r="AV24" s="1" t="s">
        <v>84</v>
      </c>
      <c r="AW24" s="1" t="s">
        <v>86</v>
      </c>
      <c r="AX24" s="1" t="s">
        <v>93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87</v>
      </c>
      <c r="BG24" s="1" t="s">
        <v>104</v>
      </c>
      <c r="BH24" s="49">
        <v>0.9</v>
      </c>
      <c r="BI24" s="1" t="s">
        <v>95</v>
      </c>
      <c r="BJ24" s="1" t="s">
        <v>88</v>
      </c>
      <c r="BK24" s="1" t="s">
        <v>89</v>
      </c>
      <c r="BL24" s="1" t="s">
        <v>99</v>
      </c>
      <c r="BM24" s="1" t="s">
        <v>90</v>
      </c>
      <c r="BN24" s="1" t="s">
        <v>78</v>
      </c>
      <c r="BO24" s="1" t="s">
        <v>78</v>
      </c>
      <c r="BP24" s="1" t="s">
        <v>98</v>
      </c>
    </row>
    <row r="25" spans="2:68" ht="15.75" customHeight="1">
      <c r="B25" s="1">
        <v>344</v>
      </c>
      <c r="C25" s="1" t="s">
        <v>82</v>
      </c>
      <c r="D25" s="1" t="s">
        <v>82</v>
      </c>
      <c r="E25" s="1" t="s">
        <v>80</v>
      </c>
      <c r="F25" s="1" t="s">
        <v>80</v>
      </c>
      <c r="G25" s="1" t="s">
        <v>80</v>
      </c>
      <c r="H25" s="1" t="s">
        <v>80</v>
      </c>
      <c r="I25" s="1" t="s">
        <v>81</v>
      </c>
      <c r="J25" s="1" t="s">
        <v>80</v>
      </c>
      <c r="K25" s="1" t="s">
        <v>82</v>
      </c>
      <c r="L25" s="1" t="s">
        <v>82</v>
      </c>
      <c r="M25" s="1" t="s">
        <v>80</v>
      </c>
      <c r="N25" s="1" t="s">
        <v>82</v>
      </c>
      <c r="O25" s="1" t="s">
        <v>82</v>
      </c>
      <c r="P25" s="1" t="s">
        <v>80</v>
      </c>
      <c r="Q25" s="1" t="s">
        <v>81</v>
      </c>
      <c r="R25" s="1" t="s">
        <v>67</v>
      </c>
      <c r="S25" s="1" t="s">
        <v>67</v>
      </c>
      <c r="T25" s="1" t="s">
        <v>84</v>
      </c>
      <c r="U25" s="1" t="s">
        <v>83</v>
      </c>
      <c r="V25" s="1" t="s">
        <v>83</v>
      </c>
      <c r="W25" s="1" t="s">
        <v>69</v>
      </c>
      <c r="X25" s="1" t="s">
        <v>69</v>
      </c>
      <c r="Y25" s="1" t="s">
        <v>69</v>
      </c>
      <c r="Z25" s="1" t="s">
        <v>84</v>
      </c>
      <c r="AA25" s="1" t="s">
        <v>69</v>
      </c>
      <c r="AB25" s="1" t="s">
        <v>69</v>
      </c>
      <c r="AC25" s="1" t="s">
        <v>69</v>
      </c>
      <c r="AD25" s="1" t="s">
        <v>84</v>
      </c>
      <c r="AE25" s="1" t="s">
        <v>69</v>
      </c>
      <c r="AF25" s="1" t="s">
        <v>84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83</v>
      </c>
      <c r="AL25" s="1" t="s">
        <v>69</v>
      </c>
      <c r="AM25" s="1" t="s">
        <v>69</v>
      </c>
      <c r="AN25" s="1" t="s">
        <v>69</v>
      </c>
      <c r="AO25" s="1" t="s">
        <v>84</v>
      </c>
      <c r="AP25" s="1" t="s">
        <v>69</v>
      </c>
      <c r="AQ25" s="1" t="s">
        <v>84</v>
      </c>
      <c r="AR25" s="1" t="s">
        <v>69</v>
      </c>
      <c r="AS25" s="1" t="s">
        <v>84</v>
      </c>
      <c r="AT25" s="1" t="s">
        <v>69</v>
      </c>
      <c r="AU25" s="1" t="s">
        <v>84</v>
      </c>
      <c r="AV25" s="1" t="s">
        <v>84</v>
      </c>
      <c r="AW25" s="1" t="s">
        <v>71</v>
      </c>
      <c r="AX25" s="1" t="s">
        <v>93</v>
      </c>
      <c r="AY25" s="1" t="s">
        <v>93</v>
      </c>
      <c r="AZ25" s="1" t="s">
        <v>71</v>
      </c>
      <c r="BA25" s="1" t="s">
        <v>93</v>
      </c>
      <c r="BB25" s="1" t="s">
        <v>71</v>
      </c>
      <c r="BC25" s="1" t="s">
        <v>71</v>
      </c>
      <c r="BD25" s="1" t="s">
        <v>93</v>
      </c>
      <c r="BE25" s="1" t="s">
        <v>71</v>
      </c>
      <c r="BF25" s="1" t="s">
        <v>94</v>
      </c>
      <c r="BG25" s="1" t="s">
        <v>94</v>
      </c>
      <c r="BH25" s="49">
        <v>0.7</v>
      </c>
      <c r="BI25" s="1" t="s">
        <v>95</v>
      </c>
      <c r="BJ25" s="1" t="s">
        <v>74</v>
      </c>
      <c r="BK25" s="1" t="s">
        <v>75</v>
      </c>
      <c r="BL25" s="1" t="s">
        <v>76</v>
      </c>
      <c r="BM25" s="1" t="s">
        <v>77</v>
      </c>
      <c r="BN25" s="1" t="s">
        <v>78</v>
      </c>
      <c r="BO25" s="1" t="s">
        <v>78</v>
      </c>
      <c r="BP25" s="1" t="s">
        <v>98</v>
      </c>
    </row>
    <row r="26" spans="2:68" ht="15.75" customHeight="1">
      <c r="B26" s="3">
        <v>346</v>
      </c>
      <c r="C26" s="1" t="s">
        <v>82</v>
      </c>
      <c r="D26" s="1" t="s">
        <v>82</v>
      </c>
      <c r="E26" s="1" t="s">
        <v>80</v>
      </c>
      <c r="F26" s="1" t="s">
        <v>82</v>
      </c>
      <c r="G26" s="1" t="s">
        <v>80</v>
      </c>
      <c r="H26" s="1" t="s">
        <v>82</v>
      </c>
      <c r="I26" s="1" t="s">
        <v>82</v>
      </c>
      <c r="J26" s="1" t="s">
        <v>67</v>
      </c>
      <c r="K26" s="1" t="s">
        <v>82</v>
      </c>
      <c r="L26" s="1" t="s">
        <v>80</v>
      </c>
      <c r="M26" s="1" t="s">
        <v>82</v>
      </c>
      <c r="N26" s="1" t="s">
        <v>82</v>
      </c>
      <c r="O26" s="1" t="s">
        <v>82</v>
      </c>
      <c r="P26" s="1" t="s">
        <v>67</v>
      </c>
      <c r="Q26" s="1" t="s">
        <v>81</v>
      </c>
      <c r="R26" s="1" t="s">
        <v>81</v>
      </c>
      <c r="S26" s="1" t="s">
        <v>80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83</v>
      </c>
      <c r="Z26" s="1" t="s">
        <v>83</v>
      </c>
      <c r="AA26" s="1" t="s">
        <v>83</v>
      </c>
      <c r="AB26" s="1" t="s">
        <v>83</v>
      </c>
      <c r="AC26" s="1" t="s">
        <v>84</v>
      </c>
      <c r="AD26" s="1" t="s">
        <v>68</v>
      </c>
      <c r="AE26" s="1" t="s">
        <v>69</v>
      </c>
      <c r="AF26" s="1" t="s">
        <v>83</v>
      </c>
      <c r="AG26" s="1" t="s">
        <v>83</v>
      </c>
      <c r="AH26" s="1" t="s">
        <v>83</v>
      </c>
      <c r="AI26" s="1" t="s">
        <v>83</v>
      </c>
      <c r="AJ26" s="1" t="s">
        <v>83</v>
      </c>
      <c r="AK26" s="1" t="s">
        <v>83</v>
      </c>
      <c r="AL26" s="1" t="s">
        <v>69</v>
      </c>
      <c r="AM26" s="1" t="s">
        <v>68</v>
      </c>
      <c r="AN26" s="1" t="s">
        <v>69</v>
      </c>
      <c r="AO26" s="1" t="s">
        <v>83</v>
      </c>
      <c r="AP26" s="1" t="s">
        <v>84</v>
      </c>
      <c r="AQ26" s="1" t="s">
        <v>83</v>
      </c>
      <c r="AR26" s="1" t="s">
        <v>69</v>
      </c>
      <c r="AS26" s="1" t="s">
        <v>69</v>
      </c>
      <c r="AT26" s="1" t="s">
        <v>84</v>
      </c>
      <c r="AU26" s="1" t="s">
        <v>69</v>
      </c>
      <c r="AV26" s="1" t="s">
        <v>69</v>
      </c>
      <c r="AW26" s="1" t="s">
        <v>86</v>
      </c>
      <c r="AX26" s="1" t="s">
        <v>86</v>
      </c>
      <c r="AY26" s="1" t="s">
        <v>93</v>
      </c>
      <c r="AZ26" s="1" t="s">
        <v>93</v>
      </c>
      <c r="BA26" s="1" t="s">
        <v>93</v>
      </c>
      <c r="BB26" s="1" t="s">
        <v>93</v>
      </c>
      <c r="BC26" s="1" t="s">
        <v>86</v>
      </c>
      <c r="BD26" s="1" t="s">
        <v>86</v>
      </c>
      <c r="BE26" s="1" t="s">
        <v>93</v>
      </c>
      <c r="BF26" s="1" t="s">
        <v>87</v>
      </c>
      <c r="BG26" s="1" t="s">
        <v>94</v>
      </c>
      <c r="BH26" s="49">
        <v>0.8</v>
      </c>
      <c r="BI26" s="1" t="s">
        <v>95</v>
      </c>
      <c r="BJ26" s="1" t="s">
        <v>74</v>
      </c>
      <c r="BK26" s="1" t="s">
        <v>75</v>
      </c>
      <c r="BL26" s="1" t="s">
        <v>99</v>
      </c>
      <c r="BM26" s="1" t="s">
        <v>90</v>
      </c>
      <c r="BN26" s="1" t="s">
        <v>107</v>
      </c>
      <c r="BO26" s="1" t="s">
        <v>92</v>
      </c>
      <c r="BP26" s="1" t="s">
        <v>100</v>
      </c>
    </row>
    <row r="27" spans="2:68" ht="15.75" customHeight="1">
      <c r="B27" s="1">
        <v>347</v>
      </c>
      <c r="C27" s="1" t="s">
        <v>80</v>
      </c>
      <c r="D27" s="1" t="s">
        <v>67</v>
      </c>
      <c r="E27" s="1" t="s">
        <v>80</v>
      </c>
      <c r="F27" s="1" t="s">
        <v>80</v>
      </c>
      <c r="G27" s="1" t="s">
        <v>80</v>
      </c>
      <c r="H27" s="1" t="s">
        <v>80</v>
      </c>
      <c r="I27" s="1" t="s">
        <v>81</v>
      </c>
      <c r="J27" s="1" t="s">
        <v>80</v>
      </c>
      <c r="K27" s="1" t="s">
        <v>80</v>
      </c>
      <c r="L27" s="1" t="s">
        <v>80</v>
      </c>
      <c r="M27" s="1" t="s">
        <v>80</v>
      </c>
      <c r="N27" s="1" t="s">
        <v>67</v>
      </c>
      <c r="O27" s="1" t="s">
        <v>82</v>
      </c>
      <c r="P27" s="1" t="s">
        <v>80</v>
      </c>
      <c r="Q27" s="1" t="s">
        <v>80</v>
      </c>
      <c r="R27" s="1" t="s">
        <v>82</v>
      </c>
      <c r="S27" s="1" t="s">
        <v>80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83</v>
      </c>
      <c r="AA27" s="1" t="s">
        <v>83</v>
      </c>
      <c r="AB27" s="1" t="s">
        <v>83</v>
      </c>
      <c r="AC27" s="1" t="s">
        <v>84</v>
      </c>
      <c r="AD27" s="1" t="s">
        <v>83</v>
      </c>
      <c r="AE27" s="1" t="s">
        <v>83</v>
      </c>
      <c r="AF27" s="1" t="s">
        <v>83</v>
      </c>
      <c r="AG27" s="1" t="s">
        <v>83</v>
      </c>
      <c r="AH27" s="1" t="s">
        <v>68</v>
      </c>
      <c r="AI27" s="1" t="s">
        <v>83</v>
      </c>
      <c r="AJ27" s="1" t="s">
        <v>68</v>
      </c>
      <c r="AK27" s="1" t="s">
        <v>83</v>
      </c>
      <c r="AL27" s="1" t="s">
        <v>68</v>
      </c>
      <c r="AM27" s="1" t="s">
        <v>83</v>
      </c>
      <c r="AN27" s="1" t="s">
        <v>83</v>
      </c>
      <c r="AO27" s="1" t="s">
        <v>84</v>
      </c>
      <c r="AP27" s="1" t="s">
        <v>69</v>
      </c>
      <c r="AQ27" s="1" t="s">
        <v>83</v>
      </c>
      <c r="AR27" s="1" t="s">
        <v>84</v>
      </c>
      <c r="AS27" s="1" t="s">
        <v>68</v>
      </c>
      <c r="AT27" s="1" t="s">
        <v>84</v>
      </c>
      <c r="AU27" s="1" t="s">
        <v>84</v>
      </c>
      <c r="AV27" s="1" t="s">
        <v>68</v>
      </c>
      <c r="AW27" s="1" t="s">
        <v>86</v>
      </c>
      <c r="AX27" s="1" t="s">
        <v>93</v>
      </c>
      <c r="AY27" s="1" t="s">
        <v>93</v>
      </c>
      <c r="AZ27" s="1" t="s">
        <v>93</v>
      </c>
      <c r="BA27" s="1" t="s">
        <v>93</v>
      </c>
      <c r="BB27" s="1" t="s">
        <v>93</v>
      </c>
      <c r="BC27" s="1" t="s">
        <v>93</v>
      </c>
      <c r="BD27" s="1" t="s">
        <v>93</v>
      </c>
      <c r="BE27" s="1" t="s">
        <v>93</v>
      </c>
      <c r="BF27" s="1" t="s">
        <v>87</v>
      </c>
      <c r="BG27" s="1" t="s">
        <v>87</v>
      </c>
      <c r="BH27" s="49">
        <v>0.6</v>
      </c>
      <c r="BI27" s="1" t="s">
        <v>95</v>
      </c>
      <c r="BJ27" s="1" t="s">
        <v>88</v>
      </c>
      <c r="BK27" s="1" t="s">
        <v>75</v>
      </c>
      <c r="BL27" s="1" t="s">
        <v>99</v>
      </c>
      <c r="BM27" s="1" t="s">
        <v>97</v>
      </c>
      <c r="BN27" s="1" t="s">
        <v>107</v>
      </c>
      <c r="BO27" s="1" t="s">
        <v>92</v>
      </c>
      <c r="BP27" s="1" t="s">
        <v>100</v>
      </c>
    </row>
    <row r="28" spans="2:68" ht="15.75" customHeight="1">
      <c r="B28" s="1">
        <v>349</v>
      </c>
      <c r="C28" s="1" t="s">
        <v>80</v>
      </c>
      <c r="D28" s="1" t="s">
        <v>67</v>
      </c>
      <c r="E28" s="1" t="s">
        <v>67</v>
      </c>
      <c r="F28" s="1" t="s">
        <v>67</v>
      </c>
      <c r="G28" s="1" t="s">
        <v>67</v>
      </c>
      <c r="H28" s="1" t="s">
        <v>67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80</v>
      </c>
      <c r="O28" s="1" t="s">
        <v>80</v>
      </c>
      <c r="P28" s="1" t="s">
        <v>82</v>
      </c>
      <c r="Q28" s="1" t="s">
        <v>82</v>
      </c>
      <c r="R28" s="1" t="s">
        <v>81</v>
      </c>
      <c r="S28" s="1" t="s">
        <v>82</v>
      </c>
      <c r="T28" s="1" t="s">
        <v>69</v>
      </c>
      <c r="U28" s="1" t="s">
        <v>69</v>
      </c>
      <c r="V28" s="1" t="s">
        <v>69</v>
      </c>
      <c r="W28" s="1" t="s">
        <v>83</v>
      </c>
      <c r="X28" s="1" t="s">
        <v>83</v>
      </c>
      <c r="Y28" s="1" t="s">
        <v>83</v>
      </c>
      <c r="Z28" s="1" t="s">
        <v>68</v>
      </c>
      <c r="AA28" s="1" t="s">
        <v>68</v>
      </c>
      <c r="AB28" s="1" t="s">
        <v>83</v>
      </c>
      <c r="AC28" s="1" t="s">
        <v>83</v>
      </c>
      <c r="AD28" s="1" t="s">
        <v>68</v>
      </c>
      <c r="AE28" s="1" t="s">
        <v>68</v>
      </c>
      <c r="AF28" s="1" t="s">
        <v>68</v>
      </c>
      <c r="AG28" s="1" t="s">
        <v>84</v>
      </c>
      <c r="AH28" s="1" t="s">
        <v>83</v>
      </c>
      <c r="AI28" s="1" t="s">
        <v>83</v>
      </c>
      <c r="AJ28" s="1" t="s">
        <v>83</v>
      </c>
      <c r="AK28" s="1" t="s">
        <v>83</v>
      </c>
      <c r="AL28" s="1" t="s">
        <v>84</v>
      </c>
      <c r="AM28" s="1" t="s">
        <v>84</v>
      </c>
      <c r="AN28" s="1" t="s">
        <v>84</v>
      </c>
      <c r="AO28" s="1" t="s">
        <v>68</v>
      </c>
      <c r="AP28" s="1" t="s">
        <v>83</v>
      </c>
      <c r="AQ28" s="1" t="s">
        <v>83</v>
      </c>
      <c r="AR28" s="1" t="s">
        <v>84</v>
      </c>
      <c r="AS28" s="1" t="s">
        <v>83</v>
      </c>
      <c r="AT28" s="1" t="s">
        <v>83</v>
      </c>
      <c r="AU28" s="1" t="s">
        <v>83</v>
      </c>
      <c r="AV28" s="1" t="s">
        <v>83</v>
      </c>
      <c r="AW28" s="1" t="s">
        <v>70</v>
      </c>
      <c r="AX28" s="1" t="s">
        <v>86</v>
      </c>
      <c r="AY28" s="1" t="s">
        <v>71</v>
      </c>
      <c r="AZ28" s="1" t="s">
        <v>70</v>
      </c>
      <c r="BA28" s="1" t="s">
        <v>86</v>
      </c>
      <c r="BB28" s="1" t="s">
        <v>86</v>
      </c>
      <c r="BC28" s="1" t="s">
        <v>70</v>
      </c>
      <c r="BD28" s="1" t="s">
        <v>86</v>
      </c>
      <c r="BE28" s="1" t="s">
        <v>93</v>
      </c>
      <c r="BF28" s="1" t="s">
        <v>104</v>
      </c>
      <c r="BG28" s="1" t="s">
        <v>94</v>
      </c>
      <c r="BH28" s="49">
        <v>0.6</v>
      </c>
      <c r="BI28" s="1" t="s">
        <v>95</v>
      </c>
      <c r="BJ28" s="1" t="s">
        <v>106</v>
      </c>
      <c r="BK28" s="1" t="s">
        <v>89</v>
      </c>
      <c r="BL28" s="1" t="s">
        <v>99</v>
      </c>
      <c r="BM28" s="1" t="s">
        <v>101</v>
      </c>
      <c r="BN28" s="1" t="s">
        <v>107</v>
      </c>
      <c r="BO28" s="1" t="s">
        <v>102</v>
      </c>
      <c r="BP28" s="1" t="s">
        <v>98</v>
      </c>
    </row>
    <row r="29" spans="2:68" ht="15.75" customHeight="1">
      <c r="B29" s="1">
        <v>350</v>
      </c>
      <c r="C29" s="1" t="s">
        <v>82</v>
      </c>
      <c r="D29" s="1" t="s">
        <v>80</v>
      </c>
      <c r="E29" s="1" t="s">
        <v>80</v>
      </c>
      <c r="F29" s="1" t="s">
        <v>80</v>
      </c>
      <c r="G29" s="1" t="s">
        <v>80</v>
      </c>
      <c r="H29" s="1" t="s">
        <v>80</v>
      </c>
      <c r="I29" s="1" t="s">
        <v>82</v>
      </c>
      <c r="J29" s="1" t="s">
        <v>80</v>
      </c>
      <c r="K29" s="1" t="s">
        <v>80</v>
      </c>
      <c r="L29" s="1" t="s">
        <v>80</v>
      </c>
      <c r="M29" s="1" t="s">
        <v>82</v>
      </c>
      <c r="N29" s="1" t="s">
        <v>81</v>
      </c>
      <c r="O29" s="1" t="s">
        <v>81</v>
      </c>
      <c r="P29" s="1" t="s">
        <v>80</v>
      </c>
      <c r="Q29" s="1" t="s">
        <v>81</v>
      </c>
      <c r="R29" s="1" t="s">
        <v>82</v>
      </c>
      <c r="S29" s="1" t="s">
        <v>80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83</v>
      </c>
      <c r="Y29" s="1" t="s">
        <v>83</v>
      </c>
      <c r="Z29" s="1" t="s">
        <v>68</v>
      </c>
      <c r="AA29" s="1" t="s">
        <v>83</v>
      </c>
      <c r="AB29" s="1" t="s">
        <v>68</v>
      </c>
      <c r="AC29" s="1" t="s">
        <v>84</v>
      </c>
      <c r="AD29" s="1" t="s">
        <v>83</v>
      </c>
      <c r="AE29" s="1" t="s">
        <v>69</v>
      </c>
      <c r="AF29" s="1" t="s">
        <v>84</v>
      </c>
      <c r="AG29" s="1" t="s">
        <v>83</v>
      </c>
      <c r="AH29" s="1" t="s">
        <v>83</v>
      </c>
      <c r="AI29" s="1" t="s">
        <v>84</v>
      </c>
      <c r="AJ29" s="1" t="s">
        <v>83</v>
      </c>
      <c r="AK29" s="1" t="s">
        <v>69</v>
      </c>
      <c r="AL29" s="1" t="s">
        <v>69</v>
      </c>
      <c r="AM29" s="1" t="s">
        <v>83</v>
      </c>
      <c r="AN29" s="1" t="s">
        <v>84</v>
      </c>
      <c r="AO29" s="1" t="s">
        <v>69</v>
      </c>
      <c r="AP29" s="1" t="s">
        <v>83</v>
      </c>
      <c r="AQ29" s="1" t="s">
        <v>84</v>
      </c>
      <c r="AR29" s="1" t="s">
        <v>83</v>
      </c>
      <c r="AS29" s="1" t="s">
        <v>84</v>
      </c>
      <c r="AT29" s="1" t="s">
        <v>69</v>
      </c>
      <c r="AU29" s="1" t="s">
        <v>69</v>
      </c>
      <c r="AV29" s="1" t="s">
        <v>69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94</v>
      </c>
      <c r="BG29" s="1" t="s">
        <v>94</v>
      </c>
      <c r="BH29" s="49">
        <v>0.7</v>
      </c>
      <c r="BI29" s="1" t="s">
        <v>95</v>
      </c>
      <c r="BJ29" s="1" t="s">
        <v>88</v>
      </c>
      <c r="BK29" s="1" t="s">
        <v>89</v>
      </c>
      <c r="BL29" s="1" t="s">
        <v>99</v>
      </c>
      <c r="BM29" s="1" t="s">
        <v>77</v>
      </c>
      <c r="BN29" s="1" t="s">
        <v>78</v>
      </c>
      <c r="BO29" s="1" t="s">
        <v>78</v>
      </c>
      <c r="BP29" s="1" t="s">
        <v>98</v>
      </c>
    </row>
    <row r="31" spans="2:68" ht="13"/>
    <row r="32" spans="2:68" ht="13"/>
    <row r="33" ht="13"/>
  </sheetData>
  <autoFilter ref="B1:BP1" xr:uid="{00000000-0001-0000-0000-000000000000}">
    <sortState xmlns:xlrd2="http://schemas.microsoft.com/office/spreadsheetml/2017/richdata2" ref="B2:BP31">
      <sortCondition ref="B1"/>
    </sortState>
  </autoFilter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6614-29DA-4229-AF20-00CD9DB776EE}">
  <dimension ref="A1:BQ55"/>
  <sheetViews>
    <sheetView topLeftCell="AQ1" workbookViewId="0">
      <selection activeCell="BF11" sqref="BF11"/>
    </sheetView>
  </sheetViews>
  <sheetFormatPr baseColWidth="10" defaultColWidth="8.83203125" defaultRowHeight="13"/>
  <sheetData>
    <row r="1" spans="1:68" ht="14">
      <c r="BH1" s="31" t="s">
        <v>322</v>
      </c>
      <c r="BM1" s="31" t="s">
        <v>322</v>
      </c>
    </row>
    <row r="2" spans="1:68" ht="17">
      <c r="AC2" s="33" t="s">
        <v>303</v>
      </c>
      <c r="AH2" s="31" t="s">
        <v>303</v>
      </c>
      <c r="AM2" s="31" t="s">
        <v>308</v>
      </c>
      <c r="AP2" s="33" t="s">
        <v>313</v>
      </c>
      <c r="AQ2" s="31" t="s">
        <v>312</v>
      </c>
      <c r="AS2" s="31" t="s">
        <v>303</v>
      </c>
      <c r="AT2" s="31" t="s">
        <v>315</v>
      </c>
      <c r="AU2" s="31" t="s">
        <v>314</v>
      </c>
      <c r="AV2" s="31" t="s">
        <v>316</v>
      </c>
      <c r="AX2" s="31" t="s">
        <v>317</v>
      </c>
      <c r="AY2" s="31" t="s">
        <v>318</v>
      </c>
      <c r="BA2" s="31" t="s">
        <v>319</v>
      </c>
      <c r="BB2" s="31" t="s">
        <v>320</v>
      </c>
      <c r="BH2" s="33" t="s">
        <v>326</v>
      </c>
      <c r="BI2" s="83" t="s">
        <v>323</v>
      </c>
      <c r="BJ2" s="31" t="s">
        <v>325</v>
      </c>
      <c r="BK2" s="31" t="s">
        <v>324</v>
      </c>
      <c r="BM2" t="s">
        <v>327</v>
      </c>
      <c r="BN2" s="31" t="s">
        <v>328</v>
      </c>
      <c r="BO2" s="31" t="s">
        <v>325</v>
      </c>
      <c r="BP2" s="31" t="s">
        <v>324</v>
      </c>
    </row>
    <row r="3" spans="1:68" ht="17">
      <c r="A3" s="79" t="s">
        <v>252</v>
      </c>
      <c r="B3" s="79" t="s">
        <v>251</v>
      </c>
      <c r="C3" s="78"/>
      <c r="D3" s="79" t="s">
        <v>281</v>
      </c>
      <c r="E3" s="78"/>
      <c r="F3" s="78"/>
      <c r="G3" s="78"/>
      <c r="I3" s="33" t="s">
        <v>297</v>
      </c>
      <c r="J3" s="33" t="s">
        <v>296</v>
      </c>
      <c r="K3" s="33" t="s">
        <v>295</v>
      </c>
      <c r="L3" s="33" t="s">
        <v>294</v>
      </c>
      <c r="M3" s="33" t="s">
        <v>292</v>
      </c>
      <c r="N3" s="33" t="s">
        <v>293</v>
      </c>
      <c r="U3" s="33" t="s">
        <v>298</v>
      </c>
      <c r="V3" s="31" t="s">
        <v>300</v>
      </c>
      <c r="X3" s="31" t="s">
        <v>301</v>
      </c>
      <c r="Y3" s="31" t="s">
        <v>302</v>
      </c>
      <c r="AC3" s="33" t="s">
        <v>298</v>
      </c>
      <c r="AD3" t="s">
        <v>300</v>
      </c>
      <c r="AE3" s="31" t="s">
        <v>305</v>
      </c>
      <c r="AF3" s="31" t="s">
        <v>304</v>
      </c>
      <c r="AH3" s="33" t="s">
        <v>307</v>
      </c>
      <c r="AI3" s="31" t="s">
        <v>306</v>
      </c>
      <c r="AJ3" s="31" t="s">
        <v>305</v>
      </c>
      <c r="AK3" s="31" t="s">
        <v>304</v>
      </c>
      <c r="AM3" t="s">
        <v>309</v>
      </c>
      <c r="AN3">
        <v>1.75</v>
      </c>
      <c r="AP3" s="44">
        <v>1.75</v>
      </c>
      <c r="AQ3" s="44">
        <v>1.2592592592592593</v>
      </c>
      <c r="AT3">
        <v>1.75</v>
      </c>
      <c r="AU3">
        <v>31.7</v>
      </c>
      <c r="AV3">
        <v>70.5</v>
      </c>
      <c r="AX3" s="44">
        <v>0.75</v>
      </c>
      <c r="AY3" s="44">
        <v>1.75</v>
      </c>
      <c r="BA3" s="44">
        <v>0.75</v>
      </c>
      <c r="BB3" s="44">
        <v>1.75</v>
      </c>
      <c r="BH3">
        <v>1.8295454545454546</v>
      </c>
      <c r="BI3" t="s">
        <v>200</v>
      </c>
      <c r="BJ3">
        <v>0.74647887323943674</v>
      </c>
      <c r="BK3">
        <v>1.8295454545454546</v>
      </c>
      <c r="BM3">
        <v>1.8295454545454546</v>
      </c>
      <c r="BO3">
        <v>1.8295454545454546</v>
      </c>
      <c r="BP3">
        <v>1.2708333333333333</v>
      </c>
    </row>
    <row r="4" spans="1:68" ht="17">
      <c r="A4" s="78">
        <v>10</v>
      </c>
      <c r="B4" s="78">
        <v>81</v>
      </c>
      <c r="C4" s="78"/>
      <c r="D4" s="78">
        <v>8.1</v>
      </c>
      <c r="E4" s="78"/>
      <c r="F4" s="80" t="s">
        <v>282</v>
      </c>
      <c r="G4" s="78">
        <v>4</v>
      </c>
      <c r="I4" t="e">
        <v>#N/A</v>
      </c>
      <c r="K4" t="e">
        <v>#VALUE!</v>
      </c>
      <c r="M4" t="e">
        <v>#VALUE!</v>
      </c>
      <c r="U4">
        <v>1.75</v>
      </c>
      <c r="V4" s="69" t="s">
        <v>299</v>
      </c>
      <c r="X4">
        <v>3</v>
      </c>
      <c r="Y4">
        <v>1.75</v>
      </c>
      <c r="AC4">
        <v>1.75</v>
      </c>
      <c r="AD4" t="s">
        <v>200</v>
      </c>
      <c r="AE4" s="44">
        <v>0.75</v>
      </c>
      <c r="AF4" s="44">
        <v>1.75</v>
      </c>
      <c r="AH4">
        <v>1.75</v>
      </c>
      <c r="AJ4" s="44">
        <v>1.75</v>
      </c>
      <c r="AK4" s="44">
        <v>1.2708333333333333</v>
      </c>
      <c r="AM4" t="s">
        <v>309</v>
      </c>
      <c r="AN4">
        <v>0.75</v>
      </c>
      <c r="AP4" s="44">
        <v>0.75</v>
      </c>
      <c r="AQ4" s="44">
        <v>0.796875</v>
      </c>
      <c r="AT4">
        <v>0.75</v>
      </c>
      <c r="AU4">
        <v>1.5</v>
      </c>
      <c r="AV4">
        <v>2.1</v>
      </c>
      <c r="AX4" s="44">
        <v>1.2708333333333333</v>
      </c>
      <c r="AY4" s="44">
        <v>0.83870967741935487</v>
      </c>
      <c r="BA4" s="44">
        <v>1.2708333333333333</v>
      </c>
      <c r="BB4" s="44">
        <v>0.83870967741935487</v>
      </c>
      <c r="BH4">
        <v>0.74647887323943674</v>
      </c>
      <c r="BJ4">
        <v>1.2592592592592593</v>
      </c>
      <c r="BK4">
        <v>0.83064516129032262</v>
      </c>
      <c r="BM4">
        <v>0.74647887323943674</v>
      </c>
      <c r="BO4">
        <v>0.74647887323943674</v>
      </c>
      <c r="BP4">
        <v>2.0634920634920637</v>
      </c>
    </row>
    <row r="5" spans="1:68" ht="14">
      <c r="A5" s="78">
        <v>10</v>
      </c>
      <c r="B5" s="78">
        <v>57</v>
      </c>
      <c r="C5" s="78"/>
      <c r="D5" s="78">
        <v>5.7</v>
      </c>
      <c r="E5" s="78"/>
      <c r="F5" s="79" t="s">
        <v>283</v>
      </c>
      <c r="G5" s="78">
        <v>11</v>
      </c>
      <c r="I5" t="e">
        <v>#N/A</v>
      </c>
      <c r="K5" t="e">
        <v>#VALUE!</v>
      </c>
      <c r="M5" t="e">
        <v>#VALUE!</v>
      </c>
      <c r="U5">
        <v>3</v>
      </c>
      <c r="X5">
        <v>0.75</v>
      </c>
      <c r="Y5">
        <v>0.83870967741935487</v>
      </c>
      <c r="AC5">
        <v>0.75</v>
      </c>
      <c r="AE5" s="44">
        <v>1.2592592592592593</v>
      </c>
      <c r="AF5" s="44">
        <v>0.83870967741935487</v>
      </c>
      <c r="AH5">
        <v>0.75</v>
      </c>
      <c r="AJ5" s="44">
        <v>0.75</v>
      </c>
      <c r="AK5" s="44">
        <v>2.03125</v>
      </c>
      <c r="AM5" t="s">
        <v>310</v>
      </c>
      <c r="AN5" t="e">
        <v>#N/A</v>
      </c>
      <c r="AP5" s="44">
        <v>0.83870967741935487</v>
      </c>
      <c r="AQ5" s="44">
        <v>1.5757575757575757</v>
      </c>
      <c r="AT5" t="e">
        <v>#N/A</v>
      </c>
      <c r="AU5">
        <v>9.6</v>
      </c>
      <c r="AV5">
        <v>28.299999999999997</v>
      </c>
      <c r="AX5" s="44">
        <v>1.2592592592592593</v>
      </c>
      <c r="AY5" s="44">
        <v>0.93617021276595747</v>
      </c>
      <c r="BA5" s="44">
        <v>1.2592592592592593</v>
      </c>
      <c r="BB5" s="44">
        <v>0.93617021276595747</v>
      </c>
      <c r="BH5" t="e">
        <v>#N/A</v>
      </c>
      <c r="BI5" t="s">
        <v>200</v>
      </c>
      <c r="BJ5">
        <v>1.2499999999999998</v>
      </c>
      <c r="BK5">
        <v>1.2708333333333333</v>
      </c>
      <c r="BM5" t="e">
        <v>#N/A</v>
      </c>
      <c r="BO5">
        <v>0.83064516129032262</v>
      </c>
      <c r="BP5">
        <v>1.6</v>
      </c>
    </row>
    <row r="6" spans="1:68" ht="14">
      <c r="A6" s="78">
        <v>10</v>
      </c>
      <c r="B6" s="78">
        <v>49</v>
      </c>
      <c r="C6" s="78"/>
      <c r="D6" s="78">
        <v>4.9000000000000004</v>
      </c>
      <c r="E6" s="78"/>
      <c r="F6" s="79" t="s">
        <v>284</v>
      </c>
      <c r="G6" s="78">
        <v>4</v>
      </c>
      <c r="I6">
        <v>8.1</v>
      </c>
      <c r="J6">
        <v>1</v>
      </c>
      <c r="K6">
        <v>-8.7000000000000028</v>
      </c>
      <c r="L6">
        <v>-9.0999999999999943</v>
      </c>
      <c r="M6">
        <v>-8.5</v>
      </c>
      <c r="N6">
        <v>-7.6000000000000014</v>
      </c>
      <c r="U6">
        <v>0.75</v>
      </c>
      <c r="X6">
        <v>1</v>
      </c>
      <c r="Y6">
        <v>1.2708333333333333</v>
      </c>
      <c r="AC6">
        <v>0.83870967741935487</v>
      </c>
      <c r="AD6" t="s">
        <v>200</v>
      </c>
      <c r="AE6" s="44">
        <v>1.2647058823529411</v>
      </c>
      <c r="AF6" s="44">
        <v>1.2708333333333333</v>
      </c>
      <c r="AH6" t="e">
        <v>#N/A</v>
      </c>
      <c r="AJ6" s="44">
        <v>0.83870967741935487</v>
      </c>
      <c r="AK6" s="44">
        <v>1.5757575757575757</v>
      </c>
      <c r="AM6" t="s">
        <v>310</v>
      </c>
      <c r="AN6">
        <v>0.83870967741935487</v>
      </c>
      <c r="AP6" s="44">
        <v>1.2708333333333333</v>
      </c>
      <c r="AQ6" s="44"/>
      <c r="AT6">
        <v>0.83870967741935487</v>
      </c>
      <c r="AU6">
        <v>40.200000000000003</v>
      </c>
      <c r="AV6">
        <v>60.800000000000004</v>
      </c>
      <c r="AX6" s="44">
        <v>2.4375</v>
      </c>
      <c r="AY6" s="44">
        <v>1.2903225806451613</v>
      </c>
      <c r="BA6" s="44">
        <v>2.4375</v>
      </c>
      <c r="BB6" s="44">
        <v>1.2903225806451613</v>
      </c>
      <c r="BH6">
        <v>0.83064516129032262</v>
      </c>
      <c r="BI6" t="s">
        <v>200</v>
      </c>
      <c r="BJ6">
        <v>0.93617021276595747</v>
      </c>
      <c r="BK6">
        <v>2.71875</v>
      </c>
      <c r="BM6">
        <v>0.83064516129032262</v>
      </c>
      <c r="BO6">
        <v>1.2592592592592593</v>
      </c>
    </row>
    <row r="7" spans="1:68" ht="14">
      <c r="A7" s="78">
        <v>10</v>
      </c>
      <c r="B7" s="78">
        <v>42</v>
      </c>
      <c r="C7" s="78"/>
      <c r="D7" s="78">
        <v>4.2</v>
      </c>
      <c r="E7" s="78"/>
      <c r="F7" s="79" t="s">
        <v>285</v>
      </c>
      <c r="G7" s="78">
        <v>2</v>
      </c>
      <c r="I7">
        <v>5.7</v>
      </c>
      <c r="J7">
        <v>1</v>
      </c>
      <c r="K7">
        <v>-69.5</v>
      </c>
      <c r="L7">
        <v>2.2999999999999972</v>
      </c>
      <c r="M7">
        <v>-25.5</v>
      </c>
      <c r="N7">
        <v>1.7999999999999998</v>
      </c>
      <c r="U7" t="e">
        <v>#N/A</v>
      </c>
      <c r="V7" t="s">
        <v>200</v>
      </c>
      <c r="X7">
        <v>1.2592592592592593</v>
      </c>
      <c r="Y7">
        <v>2.4375</v>
      </c>
      <c r="AC7">
        <v>1.2708333333333333</v>
      </c>
      <c r="AD7" t="s">
        <v>200</v>
      </c>
      <c r="AE7" s="44">
        <v>0.93617021276595747</v>
      </c>
      <c r="AF7" s="44">
        <v>2.4375</v>
      </c>
      <c r="AH7">
        <v>0.83870967741935487</v>
      </c>
      <c r="AJ7" s="44">
        <v>1.2592592592592593</v>
      </c>
      <c r="AK7" s="44"/>
      <c r="AM7" t="s">
        <v>309</v>
      </c>
      <c r="AN7">
        <v>1.2708333333333333</v>
      </c>
      <c r="AP7" s="44">
        <v>2.4375</v>
      </c>
      <c r="AQ7" s="44"/>
      <c r="AT7">
        <v>1.2708333333333333</v>
      </c>
      <c r="AU7">
        <v>4.9000000000000004</v>
      </c>
      <c r="AV7">
        <v>11.700000000000001</v>
      </c>
      <c r="AX7" s="44">
        <v>1.2647058823529411</v>
      </c>
      <c r="AY7" s="44">
        <v>1.5757575757575757</v>
      </c>
      <c r="BA7" s="44">
        <v>1.2647058823529411</v>
      </c>
      <c r="BB7" s="44">
        <v>1.5757575757575757</v>
      </c>
      <c r="BH7">
        <v>1.2708333333333333</v>
      </c>
      <c r="BI7" t="s">
        <v>200</v>
      </c>
      <c r="BJ7">
        <v>1.4423076923076923</v>
      </c>
      <c r="BK7">
        <v>1.2528735632183909</v>
      </c>
      <c r="BM7">
        <v>1.2708333333333333</v>
      </c>
      <c r="BN7" t="s">
        <v>200</v>
      </c>
      <c r="BO7">
        <v>2.71875</v>
      </c>
    </row>
    <row r="8" spans="1:68" ht="14">
      <c r="A8" s="78">
        <v>10</v>
      </c>
      <c r="B8" s="78">
        <v>30</v>
      </c>
      <c r="C8" s="78"/>
      <c r="D8" s="78">
        <v>3</v>
      </c>
      <c r="E8" s="78"/>
      <c r="F8" s="79" t="s">
        <v>286</v>
      </c>
      <c r="G8" s="78">
        <v>5</v>
      </c>
      <c r="I8">
        <v>4.9000000000000004</v>
      </c>
      <c r="J8">
        <v>1</v>
      </c>
      <c r="K8">
        <v>-89.7</v>
      </c>
      <c r="L8">
        <v>-16.700000000000003</v>
      </c>
      <c r="M8">
        <v>-19.399999999999999</v>
      </c>
      <c r="N8">
        <v>-28.6</v>
      </c>
      <c r="U8">
        <v>0.83870967741935487</v>
      </c>
      <c r="V8" t="s">
        <v>200</v>
      </c>
      <c r="X8">
        <v>1.2647058823529411</v>
      </c>
      <c r="Y8">
        <v>1</v>
      </c>
      <c r="AC8">
        <v>1.2592592592592593</v>
      </c>
      <c r="AE8" s="44">
        <v>1.4615384615384615</v>
      </c>
      <c r="AF8" s="44">
        <v>1.25</v>
      </c>
      <c r="AH8">
        <v>1.2708333333333333</v>
      </c>
      <c r="AI8" t="s">
        <v>200</v>
      </c>
      <c r="AJ8" s="44">
        <v>2.4375</v>
      </c>
      <c r="AK8" s="44"/>
      <c r="AM8" t="s">
        <v>311</v>
      </c>
      <c r="AN8">
        <v>1.2592592592592593</v>
      </c>
      <c r="AP8" s="44">
        <v>1.2647058823529411</v>
      </c>
      <c r="AQ8" s="44"/>
      <c r="AT8">
        <v>1.2592592592592593</v>
      </c>
      <c r="AU8">
        <v>15.6</v>
      </c>
      <c r="AV8">
        <v>38</v>
      </c>
      <c r="AX8" s="44">
        <v>1.25</v>
      </c>
      <c r="AY8" s="44"/>
      <c r="BA8" s="44">
        <v>1.25</v>
      </c>
      <c r="BB8" s="44"/>
      <c r="BH8">
        <v>1.2592592592592593</v>
      </c>
      <c r="BJ8">
        <v>1.0808080808080809</v>
      </c>
      <c r="BK8">
        <v>1.2903225806451615</v>
      </c>
      <c r="BM8">
        <v>1.2592592592592593</v>
      </c>
      <c r="BO8">
        <v>1.2499999999999998</v>
      </c>
    </row>
    <row r="9" spans="1:68">
      <c r="A9" s="78">
        <v>32</v>
      </c>
      <c r="B9" s="78">
        <v>78</v>
      </c>
      <c r="C9" s="78"/>
      <c r="D9" s="78">
        <v>2.4375</v>
      </c>
      <c r="E9" s="78"/>
      <c r="F9" s="78"/>
      <c r="G9" s="78"/>
      <c r="I9">
        <v>4.2</v>
      </c>
      <c r="J9">
        <v>0.93617021276595747</v>
      </c>
      <c r="K9">
        <v>5</v>
      </c>
      <c r="L9">
        <v>45.099999999999994</v>
      </c>
      <c r="M9">
        <v>0.39999999999999991</v>
      </c>
      <c r="N9">
        <v>4.6999999999999993</v>
      </c>
      <c r="U9">
        <v>1</v>
      </c>
      <c r="X9">
        <v>0.93617021276595747</v>
      </c>
      <c r="Y9">
        <v>1.25</v>
      </c>
      <c r="AC9">
        <v>2.4375</v>
      </c>
      <c r="AD9" t="s">
        <v>200</v>
      </c>
      <c r="AE9" s="44">
        <v>1.08</v>
      </c>
      <c r="AF9" s="44">
        <v>1.2903225806451613</v>
      </c>
      <c r="AH9">
        <v>1.2592592592592593</v>
      </c>
      <c r="AJ9" s="44">
        <v>1.2647058823529411</v>
      </c>
      <c r="AK9" s="44"/>
      <c r="AM9" t="s">
        <v>310</v>
      </c>
      <c r="AN9">
        <v>2.4375</v>
      </c>
      <c r="AP9" s="44">
        <v>0.93617021276595747</v>
      </c>
      <c r="AQ9" s="44"/>
      <c r="AT9">
        <v>2.4375</v>
      </c>
      <c r="AU9">
        <v>0.1</v>
      </c>
      <c r="AV9">
        <v>0.2</v>
      </c>
      <c r="AX9" s="44">
        <v>1.4615384615384615</v>
      </c>
      <c r="AY9" s="44"/>
      <c r="BA9" s="44">
        <v>1.4615384615384615</v>
      </c>
      <c r="BB9" s="44"/>
      <c r="BH9">
        <v>2.71875</v>
      </c>
      <c r="BI9" t="s">
        <v>200</v>
      </c>
      <c r="BJ9">
        <v>0.79527559055118113</v>
      </c>
      <c r="BK9">
        <v>1.3623188405797102</v>
      </c>
      <c r="BM9">
        <v>2.71875</v>
      </c>
      <c r="BO9">
        <v>0.93617021276595747</v>
      </c>
    </row>
    <row r="10" spans="1:68">
      <c r="A10" s="78">
        <v>32</v>
      </c>
      <c r="B10" s="78">
        <v>65</v>
      </c>
      <c r="C10" s="78"/>
      <c r="D10" s="78">
        <v>2.03125</v>
      </c>
      <c r="E10" s="78"/>
      <c r="F10" s="78"/>
      <c r="G10" s="78"/>
      <c r="I10">
        <v>3</v>
      </c>
      <c r="J10">
        <v>0.83870967741935487</v>
      </c>
      <c r="K10">
        <v>22.899999999999995</v>
      </c>
      <c r="L10">
        <v>-1.8999999999999986</v>
      </c>
      <c r="M10">
        <v>16.799999999999997</v>
      </c>
      <c r="N10">
        <v>7.7000000000000028</v>
      </c>
      <c r="U10">
        <v>1.2708333333333333</v>
      </c>
      <c r="V10" t="s">
        <v>200</v>
      </c>
      <c r="X10">
        <v>1.4615384615384615</v>
      </c>
      <c r="Y10">
        <v>1.2903225806451613</v>
      </c>
      <c r="AC10">
        <v>1.2647058823529411</v>
      </c>
      <c r="AE10" s="44">
        <v>0.796875</v>
      </c>
      <c r="AF10" s="44">
        <v>1.3428571428571427</v>
      </c>
      <c r="AH10">
        <v>2.4375</v>
      </c>
      <c r="AJ10" s="44">
        <v>0.93617021276595747</v>
      </c>
      <c r="AK10" s="44"/>
      <c r="AM10" t="s">
        <v>310</v>
      </c>
      <c r="AN10">
        <v>1.2647058823529411</v>
      </c>
      <c r="AP10" s="44">
        <v>1.25</v>
      </c>
      <c r="AQ10" s="44"/>
      <c r="AT10">
        <v>1.2647058823529411</v>
      </c>
      <c r="AU10">
        <v>1.4</v>
      </c>
      <c r="AV10">
        <v>5.9</v>
      </c>
      <c r="AX10" s="44">
        <v>1.08</v>
      </c>
      <c r="AY10" s="44"/>
      <c r="BA10" s="44">
        <v>1.08</v>
      </c>
      <c r="BB10" s="44"/>
      <c r="BH10">
        <v>1.2499999999999998</v>
      </c>
      <c r="BJ10">
        <v>1.7142857142857144</v>
      </c>
      <c r="BK10">
        <v>1.956521739130435</v>
      </c>
      <c r="BM10">
        <v>1.2499999999999998</v>
      </c>
      <c r="BO10">
        <v>1.2528735632183909</v>
      </c>
    </row>
    <row r="11" spans="1:68">
      <c r="A11" s="78">
        <v>35</v>
      </c>
      <c r="B11" s="78">
        <v>68</v>
      </c>
      <c r="C11" s="78"/>
      <c r="D11" s="78">
        <v>1.9428571428571428</v>
      </c>
      <c r="E11" s="78"/>
      <c r="F11" s="78"/>
      <c r="G11" s="78"/>
      <c r="I11">
        <v>2.4375</v>
      </c>
      <c r="J11">
        <v>0.796875</v>
      </c>
      <c r="K11">
        <v>-0.10000000000000003</v>
      </c>
      <c r="L11">
        <v>-1.6999999999999993</v>
      </c>
      <c r="M11">
        <v>-0.1</v>
      </c>
      <c r="N11">
        <v>-1.5999999999999996</v>
      </c>
      <c r="U11">
        <v>1.2592592592592593</v>
      </c>
      <c r="X11">
        <v>4.2</v>
      </c>
      <c r="Y11">
        <v>5.7</v>
      </c>
      <c r="AC11">
        <v>0.93617021276595747</v>
      </c>
      <c r="AE11" s="44">
        <v>1.6875</v>
      </c>
      <c r="AF11" s="44">
        <v>1.9428571428571428</v>
      </c>
      <c r="AH11">
        <v>1.2647058823529411</v>
      </c>
      <c r="AJ11" s="44">
        <v>1.25</v>
      </c>
      <c r="AK11" s="44"/>
      <c r="AM11" t="s">
        <v>310</v>
      </c>
      <c r="AN11">
        <v>0.93617021276595747</v>
      </c>
      <c r="AP11" s="44">
        <v>1.4615384615384615</v>
      </c>
      <c r="AQ11" s="44"/>
      <c r="AT11">
        <v>0.93617021276595747</v>
      </c>
      <c r="AU11">
        <v>35.4</v>
      </c>
      <c r="AV11">
        <v>95.6</v>
      </c>
      <c r="AX11" s="44">
        <v>0.796875</v>
      </c>
      <c r="AY11" s="44"/>
      <c r="BA11" s="44">
        <v>0.796875</v>
      </c>
      <c r="BB11" s="44"/>
      <c r="BH11">
        <v>0.93617021276595747</v>
      </c>
      <c r="BJ11">
        <v>2.0634920634920637</v>
      </c>
      <c r="BM11">
        <v>0.93617021276595747</v>
      </c>
      <c r="BO11">
        <v>1.4423076923076923</v>
      </c>
    </row>
    <row r="12" spans="1:68">
      <c r="A12" s="78">
        <v>44</v>
      </c>
      <c r="B12" s="78">
        <v>77</v>
      </c>
      <c r="C12" s="78"/>
      <c r="D12" s="78">
        <v>1.75</v>
      </c>
      <c r="E12" s="78"/>
      <c r="F12" s="78"/>
      <c r="G12" s="78"/>
      <c r="I12">
        <v>2.03125</v>
      </c>
      <c r="J12">
        <v>0.75</v>
      </c>
      <c r="K12">
        <v>-1.0999999999999996</v>
      </c>
      <c r="L12">
        <v>-0.10000000000000009</v>
      </c>
      <c r="M12">
        <v>-0.20000000000000018</v>
      </c>
      <c r="N12">
        <v>0.30000000000000004</v>
      </c>
      <c r="U12">
        <v>2.4375</v>
      </c>
      <c r="V12" t="s">
        <v>200</v>
      </c>
      <c r="X12">
        <v>8.1</v>
      </c>
      <c r="Y12">
        <v>1.3428571428571427</v>
      </c>
      <c r="AC12">
        <v>1.25</v>
      </c>
      <c r="AD12" t="s">
        <v>200</v>
      </c>
      <c r="AE12" s="44">
        <v>2.03125</v>
      </c>
      <c r="AF12" s="44"/>
      <c r="AH12">
        <v>0.93617021276595747</v>
      </c>
      <c r="AJ12" s="44">
        <v>1.4615384615384615</v>
      </c>
      <c r="AK12" s="44"/>
      <c r="AM12" t="s">
        <v>309</v>
      </c>
      <c r="AN12">
        <v>1.25</v>
      </c>
      <c r="AP12" s="44">
        <v>1.2903225806451613</v>
      </c>
      <c r="AQ12" s="44"/>
      <c r="AT12">
        <v>1.25</v>
      </c>
      <c r="AU12">
        <v>9.3000000000000007</v>
      </c>
      <c r="AV12">
        <v>36.700000000000003</v>
      </c>
      <c r="AX12" s="44">
        <v>1.3428571428571427</v>
      </c>
      <c r="AY12" s="44"/>
      <c r="BA12" s="44">
        <v>1.3428571428571427</v>
      </c>
      <c r="BB12" s="44"/>
      <c r="BH12">
        <v>1.2528735632183909</v>
      </c>
      <c r="BI12" t="s">
        <v>200</v>
      </c>
      <c r="BJ12">
        <v>1.6</v>
      </c>
      <c r="BM12">
        <v>1.2528735632183909</v>
      </c>
      <c r="BO12">
        <v>1.2903225806451615</v>
      </c>
    </row>
    <row r="13" spans="1:68">
      <c r="A13" s="78">
        <v>32</v>
      </c>
      <c r="B13" s="78">
        <v>54</v>
      </c>
      <c r="C13" s="78"/>
      <c r="D13" s="78">
        <v>1.6875</v>
      </c>
      <c r="E13" s="78"/>
      <c r="F13" s="78"/>
      <c r="G13" s="78"/>
      <c r="I13">
        <v>1.9428571428571428</v>
      </c>
      <c r="K13">
        <v>-4.0999999999999996</v>
      </c>
      <c r="M13">
        <v>-1.9999999999999998</v>
      </c>
      <c r="U13">
        <v>1.2647058823529411</v>
      </c>
      <c r="X13">
        <v>1.08</v>
      </c>
      <c r="Y13">
        <v>1.9428571428571428</v>
      </c>
      <c r="AC13">
        <v>1.4615384615384615</v>
      </c>
      <c r="AE13" s="44">
        <v>1.5757575757575757</v>
      </c>
      <c r="AF13" s="44"/>
      <c r="AH13">
        <v>1.25</v>
      </c>
      <c r="AJ13" s="44">
        <v>1.2903225806451613</v>
      </c>
      <c r="AK13" s="44"/>
      <c r="AM13" t="s">
        <v>310</v>
      </c>
      <c r="AN13">
        <v>1.4615384615384615</v>
      </c>
      <c r="AP13" s="44">
        <v>1.08</v>
      </c>
      <c r="AQ13" s="44"/>
      <c r="AT13">
        <v>1.4615384615384615</v>
      </c>
      <c r="AU13">
        <v>0</v>
      </c>
      <c r="AV13">
        <v>0.1</v>
      </c>
      <c r="AX13" s="44">
        <v>1.9428571428571428</v>
      </c>
      <c r="AY13" s="44"/>
      <c r="BA13" s="44">
        <v>1.9428571428571428</v>
      </c>
      <c r="BB13" s="44"/>
      <c r="BH13">
        <v>1.4423076923076923</v>
      </c>
      <c r="BM13">
        <v>1.4423076923076923</v>
      </c>
      <c r="BO13">
        <v>1.0808080808080809</v>
      </c>
    </row>
    <row r="14" spans="1:68">
      <c r="A14" s="78">
        <v>33</v>
      </c>
      <c r="B14" s="78">
        <v>52</v>
      </c>
      <c r="C14" s="78"/>
      <c r="D14" s="78">
        <v>1.5757575757575757</v>
      </c>
      <c r="E14" s="78"/>
      <c r="F14" s="78"/>
      <c r="G14" s="78"/>
      <c r="I14">
        <v>1.75</v>
      </c>
      <c r="K14">
        <v>23</v>
      </c>
      <c r="M14">
        <v>20.799999999999997</v>
      </c>
      <c r="U14">
        <v>0.93617021276595747</v>
      </c>
      <c r="X14">
        <v>0.796875</v>
      </c>
      <c r="Y14">
        <v>4.9000000000000004</v>
      </c>
      <c r="AC14">
        <v>1.2903225806451613</v>
      </c>
      <c r="AD14" t="s">
        <v>200</v>
      </c>
      <c r="AH14">
        <v>1.4615384615384615</v>
      </c>
      <c r="AJ14" s="44">
        <v>1.08</v>
      </c>
      <c r="AK14" s="44"/>
      <c r="AM14" t="s">
        <v>310</v>
      </c>
      <c r="AN14">
        <v>1.2903225806451613</v>
      </c>
      <c r="AP14" s="44">
        <v>1.3428571428571427</v>
      </c>
      <c r="AQ14" s="44"/>
      <c r="AT14">
        <v>1.2903225806451613</v>
      </c>
      <c r="AU14">
        <v>24.4</v>
      </c>
      <c r="AV14">
        <v>51.9</v>
      </c>
      <c r="AX14" s="44">
        <v>1.6875</v>
      </c>
      <c r="AY14" s="44"/>
      <c r="BA14" s="44">
        <v>1.6875</v>
      </c>
      <c r="BB14" s="44"/>
      <c r="BH14">
        <v>1.2903225806451615</v>
      </c>
      <c r="BI14" t="s">
        <v>200</v>
      </c>
      <c r="BM14">
        <v>1.2903225806451615</v>
      </c>
      <c r="BO14">
        <v>0.79527559055118113</v>
      </c>
    </row>
    <row r="15" spans="1:68">
      <c r="A15" s="78">
        <v>26</v>
      </c>
      <c r="B15" s="78">
        <v>38</v>
      </c>
      <c r="C15" s="78"/>
      <c r="D15" s="78">
        <v>1.4615384615384615</v>
      </c>
      <c r="E15" s="78"/>
      <c r="F15" s="78"/>
      <c r="G15" s="78"/>
      <c r="I15">
        <v>1.6875</v>
      </c>
      <c r="K15">
        <v>11.6</v>
      </c>
      <c r="M15">
        <v>11.6</v>
      </c>
      <c r="U15">
        <v>1</v>
      </c>
      <c r="V15" t="s">
        <v>200</v>
      </c>
      <c r="X15">
        <v>1.6875</v>
      </c>
      <c r="AC15">
        <v>1.08</v>
      </c>
      <c r="AH15">
        <v>1.2903225806451613</v>
      </c>
      <c r="AJ15" s="44">
        <v>0.796875</v>
      </c>
      <c r="AK15" s="44"/>
      <c r="AM15" t="s">
        <v>309</v>
      </c>
      <c r="AN15">
        <v>1.08</v>
      </c>
      <c r="AP15" s="44">
        <v>1.9428571428571428</v>
      </c>
      <c r="AQ15" s="44"/>
      <c r="AT15">
        <v>1.08</v>
      </c>
      <c r="AU15">
        <v>0</v>
      </c>
      <c r="AV15">
        <v>18.600000000000001</v>
      </c>
      <c r="AX15" s="44">
        <v>2.03125</v>
      </c>
      <c r="AY15" s="44"/>
      <c r="BA15" s="44">
        <v>2.03125</v>
      </c>
      <c r="BB15" s="44"/>
      <c r="BH15">
        <v>1.0808080808080809</v>
      </c>
      <c r="BM15">
        <v>1.0808080808080809</v>
      </c>
      <c r="BO15">
        <v>1.3623188405797102</v>
      </c>
    </row>
    <row r="16" spans="1:68">
      <c r="A16" s="78">
        <v>35</v>
      </c>
      <c r="B16" s="78">
        <v>47</v>
      </c>
      <c r="C16" s="78"/>
      <c r="D16" s="78">
        <v>1.3428571428571427</v>
      </c>
      <c r="E16" s="78"/>
      <c r="F16" s="78"/>
      <c r="G16" s="78"/>
      <c r="I16">
        <v>1.5757575757575757</v>
      </c>
      <c r="K16">
        <v>76.3</v>
      </c>
      <c r="M16">
        <v>27.1</v>
      </c>
      <c r="U16">
        <v>1.25</v>
      </c>
      <c r="V16" t="s">
        <v>200</v>
      </c>
      <c r="X16">
        <v>2.03125</v>
      </c>
      <c r="AC16">
        <v>0.796875</v>
      </c>
      <c r="AH16">
        <v>1.08</v>
      </c>
      <c r="AJ16" s="44">
        <v>1.3428571428571427</v>
      </c>
      <c r="AK16" s="44"/>
      <c r="AM16" t="s">
        <v>311</v>
      </c>
      <c r="AN16">
        <v>0.796875</v>
      </c>
      <c r="AP16" s="44">
        <v>1.6875</v>
      </c>
      <c r="AQ16" s="44"/>
      <c r="AT16">
        <v>0.796875</v>
      </c>
      <c r="AU16">
        <v>8.3000000000000007</v>
      </c>
      <c r="AV16">
        <v>26.2</v>
      </c>
      <c r="BH16">
        <v>0.79527559055118113</v>
      </c>
      <c r="BM16">
        <v>0.79527559055118113</v>
      </c>
      <c r="BO16">
        <v>1.956521739130435</v>
      </c>
    </row>
    <row r="17" spans="1:69">
      <c r="A17" s="78">
        <v>31</v>
      </c>
      <c r="B17" s="78">
        <v>40</v>
      </c>
      <c r="C17" s="78"/>
      <c r="D17" s="78">
        <v>1.2903225806451613</v>
      </c>
      <c r="E17" s="78"/>
      <c r="F17" s="78"/>
      <c r="G17" s="78"/>
      <c r="I17">
        <v>1.4615384615384615</v>
      </c>
      <c r="K17">
        <v>-4.8000000000000007</v>
      </c>
      <c r="M17">
        <v>-4.9000000000000004</v>
      </c>
      <c r="U17">
        <v>1.4615384615384615</v>
      </c>
      <c r="X17">
        <v>1.5757575757575757</v>
      </c>
      <c r="AC17">
        <v>1.3428571428571427</v>
      </c>
      <c r="AD17" t="s">
        <v>200</v>
      </c>
      <c r="AH17">
        <v>0.796875</v>
      </c>
      <c r="AJ17" s="44">
        <v>1.9428571428571428</v>
      </c>
      <c r="AK17" s="44"/>
      <c r="AM17" t="s">
        <v>310</v>
      </c>
      <c r="AN17" t="e">
        <v>#N/A</v>
      </c>
      <c r="AP17" s="44">
        <v>2.03125</v>
      </c>
      <c r="AQ17" s="44"/>
      <c r="AT17" t="e">
        <v>#N/A</v>
      </c>
      <c r="AU17">
        <v>22.3</v>
      </c>
      <c r="AV17">
        <v>51</v>
      </c>
      <c r="BA17" t="s">
        <v>151</v>
      </c>
      <c r="BE17" t="s">
        <v>256</v>
      </c>
      <c r="BH17" t="e">
        <v>#N/A</v>
      </c>
      <c r="BM17" t="e">
        <v>#N/A</v>
      </c>
      <c r="BN17" t="s">
        <v>200</v>
      </c>
      <c r="BO17">
        <v>1.7142857142857144</v>
      </c>
    </row>
    <row r="18" spans="1:69" ht="14" thickBot="1">
      <c r="A18" s="78">
        <v>48</v>
      </c>
      <c r="B18" s="78">
        <v>61</v>
      </c>
      <c r="C18" s="78"/>
      <c r="D18" s="78">
        <v>1.2708333333333333</v>
      </c>
      <c r="E18" s="78"/>
      <c r="F18" s="78"/>
      <c r="G18" s="78"/>
      <c r="I18">
        <v>1.3428571428571427</v>
      </c>
      <c r="K18">
        <v>-126.4</v>
      </c>
      <c r="M18">
        <v>-52.099999999999994</v>
      </c>
      <c r="U18">
        <v>4.2</v>
      </c>
      <c r="X18">
        <v>1</v>
      </c>
      <c r="AC18">
        <v>1.9428571428571428</v>
      </c>
      <c r="AD18" t="s">
        <v>200</v>
      </c>
      <c r="AH18" t="e">
        <v>#N/A</v>
      </c>
      <c r="AI18" t="s">
        <v>200</v>
      </c>
      <c r="AJ18" s="44">
        <v>1.6875</v>
      </c>
      <c r="AK18" s="44"/>
      <c r="AM18" t="s">
        <v>309</v>
      </c>
      <c r="AN18">
        <v>1.3428571428571427</v>
      </c>
      <c r="AT18">
        <v>1.3428571428571427</v>
      </c>
      <c r="AU18">
        <v>6.2</v>
      </c>
      <c r="AV18">
        <v>11.4</v>
      </c>
      <c r="BH18">
        <v>1.3623188405797102</v>
      </c>
      <c r="BI18" t="s">
        <v>200</v>
      </c>
      <c r="BJ18" t="s">
        <v>151</v>
      </c>
      <c r="BM18">
        <v>1.3623188405797102</v>
      </c>
    </row>
    <row r="19" spans="1:69" ht="14" thickBot="1">
      <c r="A19" s="78">
        <v>34</v>
      </c>
      <c r="B19" s="78">
        <v>43</v>
      </c>
      <c r="C19" s="78"/>
      <c r="D19" s="78">
        <v>1.2647058823529411</v>
      </c>
      <c r="I19">
        <v>1.2903225806451613</v>
      </c>
      <c r="K19">
        <v>-59.6</v>
      </c>
      <c r="M19">
        <v>4.2999999999999972</v>
      </c>
      <c r="U19">
        <v>8.1</v>
      </c>
      <c r="AC19">
        <v>1.6875</v>
      </c>
      <c r="AH19">
        <v>1.3428571428571427</v>
      </c>
      <c r="AM19" t="s">
        <v>309</v>
      </c>
      <c r="AN19">
        <v>1.9428571428571428</v>
      </c>
      <c r="AT19">
        <v>1.9428571428571428</v>
      </c>
      <c r="AU19">
        <v>0.3</v>
      </c>
      <c r="AV19">
        <v>1</v>
      </c>
      <c r="BA19" s="35"/>
      <c r="BB19" s="35" t="s">
        <v>152</v>
      </c>
      <c r="BC19" s="35" t="s">
        <v>153</v>
      </c>
      <c r="BE19" s="35"/>
      <c r="BF19" s="35" t="s">
        <v>152</v>
      </c>
      <c r="BG19" s="35" t="s">
        <v>153</v>
      </c>
      <c r="BH19">
        <v>1.956521739130435</v>
      </c>
      <c r="BI19" t="s">
        <v>200</v>
      </c>
      <c r="BM19">
        <v>1.956521739130435</v>
      </c>
      <c r="BO19" t="s">
        <v>151</v>
      </c>
    </row>
    <row r="20" spans="1:69" ht="14" thickBot="1">
      <c r="A20" s="78">
        <v>27</v>
      </c>
      <c r="B20" s="78">
        <v>34</v>
      </c>
      <c r="C20" s="78"/>
      <c r="D20" s="78">
        <v>1.2592592592592593</v>
      </c>
      <c r="I20">
        <v>1.2708333333333333</v>
      </c>
      <c r="K20">
        <v>-20.799999999999997</v>
      </c>
      <c r="M20">
        <v>-10.1</v>
      </c>
      <c r="U20">
        <v>1.2903225806451613</v>
      </c>
      <c r="V20" t="s">
        <v>200</v>
      </c>
      <c r="X20" t="s">
        <v>151</v>
      </c>
      <c r="AC20">
        <v>2.03125</v>
      </c>
      <c r="AH20">
        <v>1.9428571428571428</v>
      </c>
      <c r="AM20" t="s">
        <v>310</v>
      </c>
      <c r="AN20">
        <v>1.6875</v>
      </c>
      <c r="AT20">
        <v>1.6875</v>
      </c>
      <c r="AU20">
        <v>11.6</v>
      </c>
      <c r="AV20">
        <v>11.6</v>
      </c>
      <c r="BA20" s="33" t="s">
        <v>154</v>
      </c>
      <c r="BB20">
        <v>1.4288597093998676</v>
      </c>
      <c r="BC20">
        <v>1.2781920093176098</v>
      </c>
      <c r="BE20" s="33" t="s">
        <v>154</v>
      </c>
      <c r="BF20">
        <v>1.4854313518498568</v>
      </c>
      <c r="BG20">
        <v>1.2781920093176098</v>
      </c>
      <c r="BH20">
        <v>1.7142857142857144</v>
      </c>
      <c r="BJ20" s="35"/>
      <c r="BK20" s="35" t="s">
        <v>152</v>
      </c>
      <c r="BL20" s="35" t="s">
        <v>153</v>
      </c>
      <c r="BM20">
        <v>1.7142857142857144</v>
      </c>
    </row>
    <row r="21" spans="1:69" ht="14" thickBot="1">
      <c r="A21" s="78">
        <v>44</v>
      </c>
      <c r="B21" s="78">
        <v>55</v>
      </c>
      <c r="C21" s="78"/>
      <c r="D21" s="78">
        <v>1.25</v>
      </c>
      <c r="I21">
        <v>1.2647058823529411</v>
      </c>
      <c r="K21">
        <v>-0.90000000000000036</v>
      </c>
      <c r="M21">
        <v>-0.70000000000000018</v>
      </c>
      <c r="U21">
        <v>1.08</v>
      </c>
      <c r="AC21">
        <v>1.5757575757575757</v>
      </c>
      <c r="AE21" t="s">
        <v>151</v>
      </c>
      <c r="AH21">
        <v>1.6875</v>
      </c>
      <c r="AJ21" t="s">
        <v>151</v>
      </c>
      <c r="AM21" t="s">
        <v>309</v>
      </c>
      <c r="AN21">
        <v>2.03125</v>
      </c>
      <c r="AP21" t="s">
        <v>151</v>
      </c>
      <c r="AT21">
        <v>2.03125</v>
      </c>
      <c r="AU21">
        <v>3.5</v>
      </c>
      <c r="AV21">
        <v>8.3000000000000007</v>
      </c>
      <c r="BA21" s="33" t="s">
        <v>155</v>
      </c>
      <c r="BB21">
        <v>0.23453449995437778</v>
      </c>
      <c r="BC21">
        <v>0.15535470663259332</v>
      </c>
      <c r="BE21" s="33" t="s">
        <v>155</v>
      </c>
      <c r="BF21">
        <v>0.21046902596838055</v>
      </c>
      <c r="BG21">
        <v>0.15535470663259332</v>
      </c>
      <c r="BH21">
        <v>2.0634920634920637</v>
      </c>
      <c r="BJ21" s="33" t="s">
        <v>154</v>
      </c>
      <c r="BK21">
        <v>1.2888077486709386</v>
      </c>
      <c r="BL21">
        <v>1.5639763340928512</v>
      </c>
      <c r="BM21">
        <v>2.0634920634920637</v>
      </c>
      <c r="BN21" t="s">
        <v>200</v>
      </c>
      <c r="BO21" s="35"/>
      <c r="BP21" s="35" t="s">
        <v>152</v>
      </c>
      <c r="BQ21" s="35" t="s">
        <v>153</v>
      </c>
    </row>
    <row r="22" spans="1:69" ht="14" thickBot="1">
      <c r="A22" s="78">
        <v>50</v>
      </c>
      <c r="B22" s="78">
        <v>54</v>
      </c>
      <c r="C22" s="78"/>
      <c r="D22" s="78">
        <v>1.08</v>
      </c>
      <c r="I22">
        <v>1.2592592592592593</v>
      </c>
      <c r="K22">
        <v>-24.299999999999997</v>
      </c>
      <c r="M22">
        <v>-19.299999999999997</v>
      </c>
      <c r="U22">
        <v>5.7</v>
      </c>
      <c r="V22" t="s">
        <v>200</v>
      </c>
      <c r="X22" s="35"/>
      <c r="Y22" s="35" t="s">
        <v>152</v>
      </c>
      <c r="Z22" s="35" t="s">
        <v>153</v>
      </c>
      <c r="AH22">
        <v>2.03125</v>
      </c>
      <c r="AI22" t="s">
        <v>200</v>
      </c>
      <c r="AM22" t="s">
        <v>311</v>
      </c>
      <c r="AN22">
        <v>1.5757575757575757</v>
      </c>
      <c r="AT22">
        <v>1.5757575757575757</v>
      </c>
      <c r="AU22">
        <v>27.1</v>
      </c>
      <c r="AV22">
        <v>76.3</v>
      </c>
      <c r="BA22" s="33" t="s">
        <v>156</v>
      </c>
      <c r="BB22">
        <v>13</v>
      </c>
      <c r="BC22">
        <v>5</v>
      </c>
      <c r="BE22" s="33" t="s">
        <v>156</v>
      </c>
      <c r="BF22">
        <v>12</v>
      </c>
      <c r="BG22">
        <v>5</v>
      </c>
      <c r="BH22">
        <v>1.6</v>
      </c>
      <c r="BJ22" s="33" t="s">
        <v>155</v>
      </c>
      <c r="BK22">
        <v>0.17880677613400625</v>
      </c>
      <c r="BL22">
        <v>0.34202365080524644</v>
      </c>
      <c r="BM22">
        <v>1.6</v>
      </c>
      <c r="BN22" t="s">
        <v>200</v>
      </c>
      <c r="BO22" s="33" t="s">
        <v>154</v>
      </c>
      <c r="BP22">
        <v>1.3643708508417864</v>
      </c>
      <c r="BQ22">
        <v>1.6447751322751323</v>
      </c>
    </row>
    <row r="23" spans="1:69">
      <c r="A23" s="78">
        <v>10</v>
      </c>
      <c r="B23" s="78">
        <v>10</v>
      </c>
      <c r="C23" s="78"/>
      <c r="D23" s="78">
        <v>1</v>
      </c>
      <c r="I23">
        <v>1.25</v>
      </c>
      <c r="K23">
        <v>10.100000000000001</v>
      </c>
      <c r="M23">
        <v>-3.7999999999999989</v>
      </c>
      <c r="U23">
        <v>0.796875</v>
      </c>
      <c r="X23" s="33" t="s">
        <v>154</v>
      </c>
      <c r="Y23">
        <v>2.0095370927782792</v>
      </c>
      <c r="Z23">
        <v>2.1566436251920122</v>
      </c>
      <c r="AE23" s="35"/>
      <c r="AF23" s="35" t="s">
        <v>152</v>
      </c>
      <c r="AG23" s="35" t="s">
        <v>153</v>
      </c>
      <c r="AH23">
        <v>1.5757575757575757</v>
      </c>
      <c r="AI23" t="s">
        <v>200</v>
      </c>
      <c r="AJ23" s="35"/>
      <c r="AK23" s="35" t="s">
        <v>152</v>
      </c>
      <c r="AL23" s="35" t="s">
        <v>153</v>
      </c>
      <c r="AP23" s="35"/>
      <c r="AQ23" s="35" t="s">
        <v>152</v>
      </c>
      <c r="AR23" s="35" t="s">
        <v>153</v>
      </c>
      <c r="BA23" s="33" t="s">
        <v>157</v>
      </c>
      <c r="BB23">
        <v>12</v>
      </c>
      <c r="BC23">
        <v>4</v>
      </c>
      <c r="BE23" s="33" t="s">
        <v>163</v>
      </c>
      <c r="BF23">
        <v>0</v>
      </c>
      <c r="BJ23" s="33" t="s">
        <v>156</v>
      </c>
      <c r="BK23">
        <v>10</v>
      </c>
      <c r="BL23">
        <v>8</v>
      </c>
      <c r="BO23" s="33" t="s">
        <v>155</v>
      </c>
      <c r="BP23">
        <v>0.27330159452846281</v>
      </c>
      <c r="BQ23">
        <v>0.15858057497690492</v>
      </c>
    </row>
    <row r="24" spans="1:69">
      <c r="A24" s="78">
        <v>10</v>
      </c>
      <c r="B24" s="78">
        <v>10</v>
      </c>
      <c r="C24" s="78"/>
      <c r="D24" s="78">
        <v>1</v>
      </c>
      <c r="I24">
        <v>1.08</v>
      </c>
      <c r="K24">
        <v>-9.5</v>
      </c>
      <c r="M24">
        <v>-4.4000000000000004</v>
      </c>
      <c r="U24" t="e">
        <v>#N/A</v>
      </c>
      <c r="X24" s="33" t="s">
        <v>155</v>
      </c>
      <c r="Y24">
        <v>3.6924777714014643</v>
      </c>
      <c r="Z24">
        <v>2.6465520093009465</v>
      </c>
      <c r="AE24" s="33" t="s">
        <v>154</v>
      </c>
      <c r="AF24">
        <v>1.2843056391674197</v>
      </c>
      <c r="AG24">
        <v>1.5153849846390171</v>
      </c>
      <c r="AJ24" s="33" t="s">
        <v>154</v>
      </c>
      <c r="AK24">
        <v>1.3392196906463616</v>
      </c>
      <c r="AL24">
        <v>1.6259469696969695</v>
      </c>
      <c r="AP24" s="33" t="s">
        <v>154</v>
      </c>
      <c r="AQ24">
        <v>1.4222829622512998</v>
      </c>
      <c r="AR24">
        <v>1.2106306116722785</v>
      </c>
      <c r="BA24" s="33" t="s">
        <v>158</v>
      </c>
      <c r="BB24">
        <v>1.5096710298519695</v>
      </c>
      <c r="BE24" s="33" t="s">
        <v>157</v>
      </c>
      <c r="BF24">
        <v>9</v>
      </c>
      <c r="BJ24" s="33" t="s">
        <v>157</v>
      </c>
      <c r="BK24">
        <v>9</v>
      </c>
      <c r="BL24">
        <v>7</v>
      </c>
      <c r="BO24" s="33" t="s">
        <v>156</v>
      </c>
      <c r="BP24">
        <v>15</v>
      </c>
      <c r="BQ24">
        <v>3</v>
      </c>
    </row>
    <row r="25" spans="1:69">
      <c r="A25" s="78">
        <v>10</v>
      </c>
      <c r="B25" s="78">
        <v>10</v>
      </c>
      <c r="C25" s="78"/>
      <c r="D25" s="78">
        <v>1</v>
      </c>
      <c r="U25">
        <v>1.3428571428571427</v>
      </c>
      <c r="V25" t="s">
        <v>200</v>
      </c>
      <c r="X25" s="33" t="s">
        <v>156</v>
      </c>
      <c r="Y25">
        <v>15</v>
      </c>
      <c r="Z25">
        <v>11</v>
      </c>
      <c r="AE25" s="33" t="s">
        <v>155</v>
      </c>
      <c r="AF25">
        <v>0.16931877338053683</v>
      </c>
      <c r="AG25">
        <v>0.25094512379272821</v>
      </c>
      <c r="AJ25" s="33" t="s">
        <v>155</v>
      </c>
      <c r="AK25">
        <v>0.21567008785063355</v>
      </c>
      <c r="AL25">
        <v>0.14644760818411529</v>
      </c>
      <c r="AP25" s="33" t="s">
        <v>155</v>
      </c>
      <c r="AQ25">
        <v>0.22135284517384715</v>
      </c>
      <c r="AR25">
        <v>0.15343807572929302</v>
      </c>
      <c r="BA25" t="s">
        <v>159</v>
      </c>
      <c r="BB25">
        <v>0.37008745047469993</v>
      </c>
      <c r="BE25" t="s">
        <v>164</v>
      </c>
      <c r="BF25">
        <v>0.9399597897622668</v>
      </c>
      <c r="BJ25" s="33" t="s">
        <v>158</v>
      </c>
      <c r="BK25">
        <v>0.52279067752487562</v>
      </c>
      <c r="BO25" s="33" t="s">
        <v>157</v>
      </c>
      <c r="BP25">
        <v>14</v>
      </c>
      <c r="BQ25">
        <v>2</v>
      </c>
    </row>
    <row r="26" spans="1:69" ht="14" thickBot="1">
      <c r="A26" s="78">
        <v>47</v>
      </c>
      <c r="B26" s="78">
        <v>44</v>
      </c>
      <c r="C26" s="78"/>
      <c r="D26" s="78">
        <v>0.93617021276595747</v>
      </c>
      <c r="U26">
        <v>1.9428571428571428</v>
      </c>
      <c r="V26" t="s">
        <v>200</v>
      </c>
      <c r="X26" s="33" t="s">
        <v>157</v>
      </c>
      <c r="Y26">
        <v>14</v>
      </c>
      <c r="Z26">
        <v>10</v>
      </c>
      <c r="AE26" s="33" t="s">
        <v>156</v>
      </c>
      <c r="AF26">
        <v>10</v>
      </c>
      <c r="AG26">
        <v>8</v>
      </c>
      <c r="AJ26" s="33" t="s">
        <v>156</v>
      </c>
      <c r="AK26">
        <v>15</v>
      </c>
      <c r="AL26">
        <v>3</v>
      </c>
      <c r="AP26" s="33" t="s">
        <v>156</v>
      </c>
      <c r="AQ26">
        <v>15</v>
      </c>
      <c r="AR26">
        <v>3</v>
      </c>
      <c r="BA26" s="34" t="s">
        <v>160</v>
      </c>
      <c r="BB26" s="34">
        <v>5.9117291091107189</v>
      </c>
      <c r="BC26" s="34"/>
      <c r="BE26" t="s">
        <v>165</v>
      </c>
      <c r="BF26">
        <v>0.18588965304222793</v>
      </c>
      <c r="BJ26" t="s">
        <v>159</v>
      </c>
      <c r="BK26">
        <v>0.17972458049575513</v>
      </c>
      <c r="BO26" s="33" t="s">
        <v>158</v>
      </c>
      <c r="BP26">
        <v>1.7234241619332344</v>
      </c>
    </row>
    <row r="27" spans="1:69" ht="14" thickBot="1">
      <c r="A27" s="78">
        <v>62</v>
      </c>
      <c r="B27" s="78">
        <v>52</v>
      </c>
      <c r="C27" s="78"/>
      <c r="D27" s="78">
        <v>0.83870967741935487</v>
      </c>
      <c r="K27" s="33" t="s">
        <v>291</v>
      </c>
      <c r="L27" s="33"/>
      <c r="U27">
        <v>1.6875</v>
      </c>
      <c r="X27" s="33" t="s">
        <v>158</v>
      </c>
      <c r="Y27">
        <v>1.3952031769731916</v>
      </c>
      <c r="AE27" s="33" t="s">
        <v>157</v>
      </c>
      <c r="AF27">
        <v>9</v>
      </c>
      <c r="AG27">
        <v>7</v>
      </c>
      <c r="AJ27" s="33" t="s">
        <v>157</v>
      </c>
      <c r="AK27">
        <v>14</v>
      </c>
      <c r="AL27">
        <v>2</v>
      </c>
      <c r="AP27" s="33" t="s">
        <v>157</v>
      </c>
      <c r="AQ27">
        <v>14</v>
      </c>
      <c r="AR27">
        <v>2</v>
      </c>
      <c r="BE27" t="s">
        <v>166</v>
      </c>
      <c r="BF27">
        <v>1.8331129326562374</v>
      </c>
      <c r="BJ27" s="34" t="s">
        <v>160</v>
      </c>
      <c r="BK27" s="34">
        <v>0.30369790105903477</v>
      </c>
      <c r="BL27" s="34"/>
      <c r="BO27" t="s">
        <v>159</v>
      </c>
      <c r="BP27">
        <v>0.42732858971650078</v>
      </c>
    </row>
    <row r="28" spans="1:69" ht="14" thickBot="1">
      <c r="A28" s="78">
        <v>64</v>
      </c>
      <c r="B28" s="78">
        <v>51</v>
      </c>
      <c r="C28" s="78"/>
      <c r="D28" s="78">
        <v>0.796875</v>
      </c>
      <c r="K28" t="s">
        <v>151</v>
      </c>
      <c r="U28">
        <v>2.03125</v>
      </c>
      <c r="X28" t="s">
        <v>159</v>
      </c>
      <c r="Y28">
        <v>0.30230041541838837</v>
      </c>
      <c r="AE28" s="33" t="s">
        <v>158</v>
      </c>
      <c r="AF28">
        <v>0.67472430155840823</v>
      </c>
      <c r="AJ28" s="33" t="s">
        <v>158</v>
      </c>
      <c r="AK28">
        <v>1.4726774340997848</v>
      </c>
      <c r="AP28" s="33" t="s">
        <v>158</v>
      </c>
      <c r="AQ28">
        <v>1.4426200545187653</v>
      </c>
      <c r="BE28" t="s">
        <v>167</v>
      </c>
      <c r="BF28">
        <v>0.37177930608445586</v>
      </c>
      <c r="BO28" s="34" t="s">
        <v>160</v>
      </c>
      <c r="BP28" s="34">
        <v>19.424384408210905</v>
      </c>
      <c r="BQ28" s="34"/>
    </row>
    <row r="29" spans="1:69" ht="14" thickBot="1">
      <c r="A29" s="78">
        <v>36</v>
      </c>
      <c r="B29" s="78">
        <v>27</v>
      </c>
      <c r="C29" s="78"/>
      <c r="D29" s="78">
        <v>0.75</v>
      </c>
      <c r="U29">
        <v>4.9000000000000004</v>
      </c>
      <c r="V29" t="s">
        <v>200</v>
      </c>
      <c r="X29" s="34" t="s">
        <v>160</v>
      </c>
      <c r="Y29" s="34">
        <v>2.8647276833645772</v>
      </c>
      <c r="Z29" s="34"/>
      <c r="AE29" t="s">
        <v>159</v>
      </c>
      <c r="AF29">
        <v>0.2850689580107596</v>
      </c>
      <c r="AJ29" t="s">
        <v>159</v>
      </c>
      <c r="AK29">
        <v>0.47695431681409273</v>
      </c>
      <c r="AP29" t="s">
        <v>159</v>
      </c>
      <c r="AQ29">
        <v>0.48365050760787803</v>
      </c>
      <c r="BE29" s="34" t="s">
        <v>168</v>
      </c>
      <c r="BF29" s="34">
        <v>2.2621571627982053</v>
      </c>
      <c r="BG29" s="34"/>
      <c r="BJ29" t="s">
        <v>256</v>
      </c>
    </row>
    <row r="30" spans="1:69" ht="14" thickBot="1">
      <c r="K30" s="35"/>
      <c r="L30" s="35"/>
      <c r="M30" s="35" t="s">
        <v>152</v>
      </c>
      <c r="N30" s="35" t="s">
        <v>153</v>
      </c>
      <c r="P30" t="s">
        <v>151</v>
      </c>
      <c r="U30">
        <v>1.5757575757575757</v>
      </c>
      <c r="AE30" s="34" t="s">
        <v>160</v>
      </c>
      <c r="AF30" s="34">
        <v>0.30369790105903477</v>
      </c>
      <c r="AG30" s="34"/>
      <c r="AJ30" s="34" t="s">
        <v>160</v>
      </c>
      <c r="AK30" s="34">
        <v>19.424384408210905</v>
      </c>
      <c r="AL30" s="34"/>
      <c r="AP30" s="34" t="s">
        <v>160</v>
      </c>
      <c r="AQ30" s="34">
        <v>19.424384408210905</v>
      </c>
      <c r="AR30" s="34"/>
      <c r="BO30" t="s">
        <v>256</v>
      </c>
    </row>
    <row r="31" spans="1:69" ht="14" thickBot="1">
      <c r="K31" s="33" t="s">
        <v>154</v>
      </c>
      <c r="L31" s="33"/>
      <c r="M31">
        <v>-3.6842105263157903</v>
      </c>
      <c r="N31">
        <v>-3.3285714285714287</v>
      </c>
      <c r="U31">
        <v>1</v>
      </c>
      <c r="X31" t="s">
        <v>256</v>
      </c>
      <c r="BJ31" s="35"/>
      <c r="BK31" s="35" t="s">
        <v>152</v>
      </c>
      <c r="BL31" s="35" t="s">
        <v>153</v>
      </c>
    </row>
    <row r="32" spans="1:69" ht="14" thickBot="1">
      <c r="K32" s="33" t="s">
        <v>155</v>
      </c>
      <c r="L32" s="33"/>
      <c r="M32">
        <v>316.37362573099404</v>
      </c>
      <c r="N32">
        <v>147.57238095238097</v>
      </c>
      <c r="P32" s="35"/>
      <c r="Q32" s="35" t="s">
        <v>152</v>
      </c>
      <c r="R32" s="35" t="s">
        <v>153</v>
      </c>
      <c r="AE32" t="s">
        <v>256</v>
      </c>
      <c r="AJ32" t="s">
        <v>256</v>
      </c>
      <c r="BJ32" s="33" t="s">
        <v>154</v>
      </c>
      <c r="BK32">
        <v>1.2888077486709386</v>
      </c>
      <c r="BL32">
        <v>1.5639763340928512</v>
      </c>
      <c r="BO32" s="35"/>
      <c r="BP32" s="35" t="s">
        <v>152</v>
      </c>
      <c r="BQ32" s="35" t="s">
        <v>153</v>
      </c>
    </row>
    <row r="33" spans="11:69" ht="14" thickBot="1">
      <c r="K33" s="33" t="s">
        <v>156</v>
      </c>
      <c r="L33" s="33"/>
      <c r="M33">
        <v>19</v>
      </c>
      <c r="N33">
        <v>7</v>
      </c>
      <c r="P33" s="33" t="s">
        <v>154</v>
      </c>
      <c r="Q33">
        <v>-14.242105263157892</v>
      </c>
      <c r="R33">
        <v>2.5571428571428565</v>
      </c>
      <c r="X33" s="35"/>
      <c r="Y33" s="35" t="s">
        <v>152</v>
      </c>
      <c r="Z33" s="35" t="s">
        <v>153</v>
      </c>
      <c r="AP33" t="s">
        <v>256</v>
      </c>
      <c r="BJ33" s="33" t="s">
        <v>155</v>
      </c>
      <c r="BK33">
        <v>0.17880677613400625</v>
      </c>
      <c r="BL33">
        <v>0.34202365080524644</v>
      </c>
      <c r="BO33" s="33" t="s">
        <v>154</v>
      </c>
      <c r="BP33">
        <v>1.3643708508417864</v>
      </c>
      <c r="BQ33">
        <v>1.6447751322751323</v>
      </c>
    </row>
    <row r="34" spans="11:69" ht="14" thickBot="1">
      <c r="K34" s="33" t="s">
        <v>157</v>
      </c>
      <c r="L34" s="33"/>
      <c r="M34">
        <v>18</v>
      </c>
      <c r="N34">
        <v>6</v>
      </c>
      <c r="P34" s="33" t="s">
        <v>155</v>
      </c>
      <c r="Q34">
        <v>2051.0647953216376</v>
      </c>
      <c r="R34">
        <v>393.62285714285713</v>
      </c>
      <c r="X34" s="33" t="s">
        <v>154</v>
      </c>
      <c r="Y34">
        <v>2.0095370927782792</v>
      </c>
      <c r="Z34">
        <v>2.1566436251920122</v>
      </c>
      <c r="AE34" s="35"/>
      <c r="AF34" s="35" t="s">
        <v>152</v>
      </c>
      <c r="AG34" s="35" t="s">
        <v>153</v>
      </c>
      <c r="AJ34" s="35"/>
      <c r="AK34" s="35" t="s">
        <v>152</v>
      </c>
      <c r="AL34" s="35" t="s">
        <v>153</v>
      </c>
      <c r="BJ34" s="33" t="s">
        <v>156</v>
      </c>
      <c r="BK34">
        <v>10</v>
      </c>
      <c r="BL34">
        <v>8</v>
      </c>
      <c r="BO34" s="33" t="s">
        <v>155</v>
      </c>
      <c r="BP34">
        <v>0.27330159452846281</v>
      </c>
      <c r="BQ34">
        <v>0.15858057497690492</v>
      </c>
    </row>
    <row r="35" spans="11:69">
      <c r="K35" s="33" t="s">
        <v>158</v>
      </c>
      <c r="L35" s="33"/>
      <c r="M35">
        <v>2.1438539087682149</v>
      </c>
      <c r="P35" s="33" t="s">
        <v>156</v>
      </c>
      <c r="Q35">
        <v>19</v>
      </c>
      <c r="R35">
        <v>7</v>
      </c>
      <c r="X35" s="33" t="s">
        <v>155</v>
      </c>
      <c r="Y35">
        <v>3.6924777714014643</v>
      </c>
      <c r="Z35">
        <v>2.6465520093009465</v>
      </c>
      <c r="AE35" s="33" t="s">
        <v>154</v>
      </c>
      <c r="AF35">
        <v>1.2843056391674197</v>
      </c>
      <c r="AG35">
        <v>1.5153849846390171</v>
      </c>
      <c r="AJ35" s="33" t="s">
        <v>154</v>
      </c>
      <c r="AK35">
        <v>1.3392196906463616</v>
      </c>
      <c r="AL35">
        <v>1.6259469696969695</v>
      </c>
      <c r="AP35" s="35"/>
      <c r="AQ35" s="35" t="s">
        <v>152</v>
      </c>
      <c r="AR35" s="35" t="s">
        <v>153</v>
      </c>
      <c r="BJ35" s="33" t="s">
        <v>163</v>
      </c>
      <c r="BK35">
        <v>0</v>
      </c>
      <c r="BO35" s="33" t="s">
        <v>156</v>
      </c>
      <c r="BP35">
        <v>15</v>
      </c>
      <c r="BQ35">
        <v>3</v>
      </c>
    </row>
    <row r="36" spans="11:69">
      <c r="K36" t="s">
        <v>159</v>
      </c>
      <c r="M36">
        <v>0.17590920724393119</v>
      </c>
      <c r="P36" s="33" t="s">
        <v>157</v>
      </c>
      <c r="Q36">
        <v>18</v>
      </c>
      <c r="R36">
        <v>6</v>
      </c>
      <c r="X36" s="33" t="s">
        <v>156</v>
      </c>
      <c r="Y36">
        <v>15</v>
      </c>
      <c r="Z36">
        <v>11</v>
      </c>
      <c r="AE36" s="33" t="s">
        <v>155</v>
      </c>
      <c r="AF36">
        <v>0.16931877338053683</v>
      </c>
      <c r="AG36">
        <v>0.25094512379272821</v>
      </c>
      <c r="AJ36" s="33" t="s">
        <v>155</v>
      </c>
      <c r="AK36">
        <v>0.21567008785063355</v>
      </c>
      <c r="AL36">
        <v>0.14644760818411529</v>
      </c>
      <c r="AP36" s="33" t="s">
        <v>154</v>
      </c>
      <c r="AQ36">
        <v>1.4222829622512998</v>
      </c>
      <c r="AR36">
        <v>1.2106306116722785</v>
      </c>
      <c r="BJ36" s="33" t="s">
        <v>157</v>
      </c>
      <c r="BK36">
        <v>12</v>
      </c>
      <c r="BO36" s="33" t="s">
        <v>163</v>
      </c>
      <c r="BP36">
        <v>0</v>
      </c>
    </row>
    <row r="37" spans="11:69" ht="14" thickBot="1">
      <c r="K37" s="34" t="s">
        <v>160</v>
      </c>
      <c r="L37" s="34"/>
      <c r="M37" s="34">
        <v>3.8957092981022172</v>
      </c>
      <c r="N37" s="34"/>
      <c r="P37" s="33" t="s">
        <v>158</v>
      </c>
      <c r="Q37">
        <v>5.2107360080902181</v>
      </c>
      <c r="X37" s="33" t="s">
        <v>163</v>
      </c>
      <c r="Y37">
        <v>0</v>
      </c>
      <c r="AE37" s="33" t="s">
        <v>156</v>
      </c>
      <c r="AF37">
        <v>10</v>
      </c>
      <c r="AG37">
        <v>8</v>
      </c>
      <c r="AJ37" s="33" t="s">
        <v>156</v>
      </c>
      <c r="AK37">
        <v>15</v>
      </c>
      <c r="AL37">
        <v>3</v>
      </c>
      <c r="AP37" s="33" t="s">
        <v>155</v>
      </c>
      <c r="AQ37">
        <v>0.22135284517384715</v>
      </c>
      <c r="AR37">
        <v>0.15343807572929302</v>
      </c>
      <c r="BJ37" t="s">
        <v>164</v>
      </c>
      <c r="BK37">
        <v>-1.117485900845222</v>
      </c>
      <c r="BO37" s="33" t="s">
        <v>157</v>
      </c>
      <c r="BP37">
        <v>4</v>
      </c>
    </row>
    <row r="38" spans="11:69">
      <c r="P38" t="s">
        <v>159</v>
      </c>
      <c r="Q38">
        <v>2.4898084880407172E-2</v>
      </c>
      <c r="X38" s="33" t="s">
        <v>157</v>
      </c>
      <c r="Y38">
        <v>23</v>
      </c>
      <c r="AE38" s="33" t="s">
        <v>163</v>
      </c>
      <c r="AF38">
        <v>0</v>
      </c>
      <c r="AJ38" s="33" t="s">
        <v>163</v>
      </c>
      <c r="AK38">
        <v>0</v>
      </c>
      <c r="AP38" s="33" t="s">
        <v>156</v>
      </c>
      <c r="AQ38">
        <v>15</v>
      </c>
      <c r="AR38">
        <v>3</v>
      </c>
      <c r="BJ38" t="s">
        <v>165</v>
      </c>
      <c r="BK38">
        <v>0.14283036220636441</v>
      </c>
      <c r="BO38" t="s">
        <v>164</v>
      </c>
      <c r="BP38">
        <v>-1.051743945609763</v>
      </c>
    </row>
    <row r="39" spans="11:69" ht="14" thickBot="1">
      <c r="K39" t="s">
        <v>256</v>
      </c>
      <c r="P39" s="34" t="s">
        <v>160</v>
      </c>
      <c r="Q39" s="34">
        <v>3.8957092981022172</v>
      </c>
      <c r="R39" s="34"/>
      <c r="X39" t="s">
        <v>164</v>
      </c>
      <c r="Y39">
        <v>-0.21085026468826676</v>
      </c>
      <c r="AE39" s="33" t="s">
        <v>157</v>
      </c>
      <c r="AF39">
        <v>14</v>
      </c>
      <c r="AJ39" s="33" t="s">
        <v>157</v>
      </c>
      <c r="AK39">
        <v>3</v>
      </c>
      <c r="AP39" s="33" t="s">
        <v>163</v>
      </c>
      <c r="AQ39">
        <v>0</v>
      </c>
      <c r="BJ39" t="s">
        <v>166</v>
      </c>
      <c r="BK39">
        <v>1.7822875556493194</v>
      </c>
      <c r="BO39" t="s">
        <v>165</v>
      </c>
      <c r="BP39">
        <v>0.17612828285517984</v>
      </c>
    </row>
    <row r="40" spans="11:69" ht="14" thickBot="1">
      <c r="X40" t="s">
        <v>165</v>
      </c>
      <c r="Y40">
        <v>0.4174305238841105</v>
      </c>
      <c r="AE40" t="s">
        <v>164</v>
      </c>
      <c r="AF40">
        <v>-1.051447235016193</v>
      </c>
      <c r="AJ40" t="s">
        <v>164</v>
      </c>
      <c r="AK40">
        <v>-1.1405951463100223</v>
      </c>
      <c r="AP40" s="33" t="s">
        <v>157</v>
      </c>
      <c r="AQ40">
        <v>3</v>
      </c>
      <c r="BJ40" t="s">
        <v>167</v>
      </c>
      <c r="BK40" s="82">
        <v>0.28566072441272883</v>
      </c>
      <c r="BO40" t="s">
        <v>166</v>
      </c>
      <c r="BP40">
        <v>2.1318467863266499</v>
      </c>
    </row>
    <row r="41" spans="11:69" ht="14" thickBot="1">
      <c r="K41" s="35"/>
      <c r="L41" s="35"/>
      <c r="M41" s="35" t="s">
        <v>152</v>
      </c>
      <c r="N41" s="35" t="s">
        <v>153</v>
      </c>
      <c r="X41" t="s">
        <v>166</v>
      </c>
      <c r="Y41">
        <v>1.7138715277470482</v>
      </c>
      <c r="AE41" t="s">
        <v>165</v>
      </c>
      <c r="AF41">
        <v>0.15543216860726136</v>
      </c>
      <c r="AJ41" t="s">
        <v>165</v>
      </c>
      <c r="AK41">
        <v>0.16842431264786129</v>
      </c>
      <c r="AP41" t="s">
        <v>164</v>
      </c>
      <c r="AQ41">
        <v>0.82446247518271054</v>
      </c>
      <c r="BJ41" s="34" t="s">
        <v>168</v>
      </c>
      <c r="BK41" s="34">
        <v>2.1788128296672284</v>
      </c>
      <c r="BL41" s="34"/>
      <c r="BO41" t="s">
        <v>167</v>
      </c>
      <c r="BP41" s="82">
        <v>0.35225656571035968</v>
      </c>
    </row>
    <row r="42" spans="11:69" ht="14" thickBot="1">
      <c r="K42" s="33" t="s">
        <v>154</v>
      </c>
      <c r="L42" s="33"/>
      <c r="M42">
        <v>-3.6842105263157903</v>
      </c>
      <c r="N42">
        <v>-3.3285714285714287</v>
      </c>
      <c r="P42" t="s">
        <v>161</v>
      </c>
      <c r="X42" t="s">
        <v>167</v>
      </c>
      <c r="Y42" s="82">
        <v>0.83486104776822101</v>
      </c>
      <c r="AE42" t="s">
        <v>166</v>
      </c>
      <c r="AF42">
        <v>1.7613101357748921</v>
      </c>
      <c r="AJ42" t="s">
        <v>166</v>
      </c>
      <c r="AK42">
        <v>2.3533634348018233</v>
      </c>
      <c r="AP42" t="s">
        <v>165</v>
      </c>
      <c r="AQ42">
        <v>0.23505765634941125</v>
      </c>
      <c r="BO42" s="34" t="s">
        <v>168</v>
      </c>
      <c r="BP42" s="34">
        <v>2.7764451051977934</v>
      </c>
      <c r="BQ42" s="34"/>
    </row>
    <row r="43" spans="11:69" ht="14" thickBot="1">
      <c r="K43" s="33" t="s">
        <v>155</v>
      </c>
      <c r="L43" s="33"/>
      <c r="M43">
        <v>316.37362573099404</v>
      </c>
      <c r="N43">
        <v>147.57238095238097</v>
      </c>
      <c r="X43" s="34" t="s">
        <v>168</v>
      </c>
      <c r="Y43" s="34">
        <v>2.0686576104190491</v>
      </c>
      <c r="Z43" s="34"/>
      <c r="AE43" t="s">
        <v>167</v>
      </c>
      <c r="AF43" s="82">
        <v>0.31086433721452272</v>
      </c>
      <c r="AJ43" t="s">
        <v>167</v>
      </c>
      <c r="AK43" s="82">
        <v>0.33684862529572257</v>
      </c>
      <c r="AP43" t="s">
        <v>166</v>
      </c>
      <c r="AQ43">
        <v>2.3533634348018233</v>
      </c>
    </row>
    <row r="44" spans="11:69" ht="14" thickBot="1">
      <c r="K44" s="33" t="s">
        <v>156</v>
      </c>
      <c r="L44" s="33"/>
      <c r="M44">
        <v>19</v>
      </c>
      <c r="N44">
        <v>7</v>
      </c>
      <c r="P44" s="35"/>
      <c r="Q44" s="35" t="s">
        <v>152</v>
      </c>
      <c r="R44" s="35" t="s">
        <v>153</v>
      </c>
      <c r="AE44" s="34" t="s">
        <v>168</v>
      </c>
      <c r="AF44" s="34">
        <v>2.1447866879178044</v>
      </c>
      <c r="AG44" s="34"/>
      <c r="AJ44" s="34" t="s">
        <v>168</v>
      </c>
      <c r="AK44" s="34">
        <v>3.1824463052837091</v>
      </c>
      <c r="AL44" s="34"/>
      <c r="AP44" t="s">
        <v>167</v>
      </c>
      <c r="AQ44">
        <v>0.47011531269882251</v>
      </c>
    </row>
    <row r="45" spans="11:69" ht="14" thickBot="1">
      <c r="K45" s="33" t="s">
        <v>163</v>
      </c>
      <c r="L45" s="33"/>
      <c r="M45">
        <v>0</v>
      </c>
      <c r="P45" s="33" t="s">
        <v>154</v>
      </c>
      <c r="Q45">
        <v>-14.242105263157892</v>
      </c>
      <c r="R45">
        <v>2.5571428571428565</v>
      </c>
      <c r="AP45" s="34" t="s">
        <v>168</v>
      </c>
      <c r="AQ45" s="34">
        <v>3.1824463052837091</v>
      </c>
      <c r="AR45" s="34"/>
    </row>
    <row r="46" spans="11:69">
      <c r="K46" s="33" t="s">
        <v>157</v>
      </c>
      <c r="L46" s="33"/>
      <c r="M46">
        <v>16</v>
      </c>
      <c r="P46" s="33" t="s">
        <v>155</v>
      </c>
      <c r="Q46">
        <v>2051.0647953216376</v>
      </c>
      <c r="R46">
        <v>393.62285714285713</v>
      </c>
    </row>
    <row r="47" spans="11:69">
      <c r="K47" t="s">
        <v>164</v>
      </c>
      <c r="M47">
        <v>-5.7896026973728601E-2</v>
      </c>
      <c r="P47" s="33" t="s">
        <v>156</v>
      </c>
      <c r="Q47">
        <v>19</v>
      </c>
      <c r="R47">
        <v>7</v>
      </c>
    </row>
    <row r="48" spans="11:69">
      <c r="K48" t="s">
        <v>165</v>
      </c>
      <c r="M48">
        <v>0.47727417462857058</v>
      </c>
      <c r="P48" s="33" t="s">
        <v>162</v>
      </c>
      <c r="Q48">
        <v>1636.7043107769425</v>
      </c>
    </row>
    <row r="49" spans="11:18">
      <c r="K49" t="s">
        <v>166</v>
      </c>
      <c r="M49">
        <v>1.7458836762762506</v>
      </c>
      <c r="P49" s="33" t="s">
        <v>163</v>
      </c>
      <c r="Q49">
        <v>0</v>
      </c>
    </row>
    <row r="50" spans="11:18">
      <c r="K50" t="s">
        <v>167</v>
      </c>
      <c r="M50" s="82">
        <v>0.95454834925714116</v>
      </c>
      <c r="P50" s="33" t="s">
        <v>157</v>
      </c>
      <c r="Q50">
        <v>24</v>
      </c>
    </row>
    <row r="51" spans="11:18" ht="14" thickBot="1">
      <c r="K51" s="34" t="s">
        <v>168</v>
      </c>
      <c r="L51" s="34"/>
      <c r="M51" s="34">
        <v>2.119905299221255</v>
      </c>
      <c r="N51" s="34"/>
      <c r="P51" t="s">
        <v>164</v>
      </c>
      <c r="Q51">
        <v>-0.93916927880723988</v>
      </c>
    </row>
    <row r="52" spans="11:18">
      <c r="P52" t="s">
        <v>165</v>
      </c>
      <c r="Q52">
        <v>0.17850026485202469</v>
      </c>
    </row>
    <row r="53" spans="11:18">
      <c r="P53" t="s">
        <v>166</v>
      </c>
      <c r="Q53">
        <v>1.7108820799094284</v>
      </c>
    </row>
    <row r="54" spans="11:18">
      <c r="P54" t="s">
        <v>167</v>
      </c>
      <c r="Q54" s="82">
        <v>0.35700052970404939</v>
      </c>
    </row>
    <row r="55" spans="11:18" ht="14" thickBot="1">
      <c r="P55" s="34" t="s">
        <v>168</v>
      </c>
      <c r="Q55" s="34">
        <v>2.0638985616280254</v>
      </c>
      <c r="R55" s="34"/>
    </row>
  </sheetData>
  <autoFilter ref="BM2:BN2" xr:uid="{EAD96614-29DA-4229-AF20-00CD9DB776EE}"/>
  <phoneticPr fontId="8"/>
  <conditionalFormatting sqref="AU3:AU22">
    <cfRule type="cellIs" dxfId="6" priority="1" operator="greaterThan">
      <formula>20</formula>
    </cfRule>
  </conditionalFormatting>
  <conditionalFormatting sqref="AV3:AV22">
    <cfRule type="cellIs" dxfId="5" priority="2" operator="greaterThan">
      <formula>45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3CD8-E9E0-41C5-B29C-4B514CEADCCE}">
  <sheetPr filterMode="1"/>
  <dimension ref="A1:DV33"/>
  <sheetViews>
    <sheetView zoomScale="115" workbookViewId="0">
      <selection activeCell="DU1" sqref="DU1"/>
    </sheetView>
  </sheetViews>
  <sheetFormatPr baseColWidth="10" defaultColWidth="8.83203125" defaultRowHeight="13"/>
  <sheetData>
    <row r="1" spans="1:126" ht="17">
      <c r="A1" s="1" t="s">
        <v>0</v>
      </c>
      <c r="B1" s="23" t="s">
        <v>137</v>
      </c>
      <c r="C1" s="23" t="s">
        <v>138</v>
      </c>
      <c r="D1" s="36" t="s">
        <v>173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13" t="s">
        <v>118</v>
      </c>
      <c r="W1" s="19" t="s">
        <v>118</v>
      </c>
      <c r="X1" s="13" t="s">
        <v>117</v>
      </c>
      <c r="Y1" s="19" t="s">
        <v>117</v>
      </c>
      <c r="Z1" s="13" t="s">
        <v>119</v>
      </c>
      <c r="AA1" s="19" t="s">
        <v>119</v>
      </c>
      <c r="AB1" s="13" t="s">
        <v>120</v>
      </c>
      <c r="AC1" s="19" t="s">
        <v>120</v>
      </c>
      <c r="AD1" s="13" t="s">
        <v>121</v>
      </c>
      <c r="AE1" s="19" t="s">
        <v>121</v>
      </c>
      <c r="AF1" s="13" t="s">
        <v>122</v>
      </c>
      <c r="AG1" s="19" t="s">
        <v>122</v>
      </c>
      <c r="AH1" s="13" t="s">
        <v>123</v>
      </c>
      <c r="AI1" s="19" t="s">
        <v>123</v>
      </c>
      <c r="AJ1" s="13" t="s">
        <v>124</v>
      </c>
      <c r="AK1" s="19" t="s">
        <v>124</v>
      </c>
      <c r="AL1" s="13" t="s">
        <v>125</v>
      </c>
      <c r="AM1" s="19" t="s">
        <v>125</v>
      </c>
      <c r="AN1" s="9" t="s">
        <v>18</v>
      </c>
      <c r="AO1" s="9" t="s">
        <v>19</v>
      </c>
      <c r="AP1" s="9" t="s">
        <v>20</v>
      </c>
      <c r="AQ1" s="9" t="s">
        <v>21</v>
      </c>
      <c r="AR1" s="9" t="s">
        <v>22</v>
      </c>
      <c r="AS1" s="9" t="s">
        <v>23</v>
      </c>
      <c r="AT1" s="9" t="s">
        <v>24</v>
      </c>
      <c r="AU1" s="9" t="s">
        <v>25</v>
      </c>
      <c r="AV1" s="9" t="s">
        <v>26</v>
      </c>
      <c r="AW1" s="9" t="s">
        <v>27</v>
      </c>
      <c r="AX1" s="9" t="s">
        <v>28</v>
      </c>
      <c r="AY1" s="9" t="s">
        <v>29</v>
      </c>
      <c r="AZ1" s="9" t="s">
        <v>30</v>
      </c>
      <c r="BA1" s="9" t="s">
        <v>31</v>
      </c>
      <c r="BB1" s="9" t="s">
        <v>32</v>
      </c>
      <c r="BC1" s="9" t="s">
        <v>33</v>
      </c>
      <c r="BD1" s="9" t="s">
        <v>34</v>
      </c>
      <c r="BE1" s="9" t="s">
        <v>35</v>
      </c>
      <c r="BF1" s="9" t="s">
        <v>36</v>
      </c>
      <c r="BG1" s="9" t="s">
        <v>37</v>
      </c>
      <c r="BH1" s="9" t="s">
        <v>38</v>
      </c>
      <c r="BI1" s="9" t="s">
        <v>39</v>
      </c>
      <c r="BJ1" s="9" t="s">
        <v>40</v>
      </c>
      <c r="BK1" s="9" t="s">
        <v>41</v>
      </c>
      <c r="BL1" s="9" t="s">
        <v>42</v>
      </c>
      <c r="BM1" s="9" t="s">
        <v>43</v>
      </c>
      <c r="BN1" s="9" t="s">
        <v>44</v>
      </c>
      <c r="BO1" s="9" t="s">
        <v>45</v>
      </c>
      <c r="BP1" s="9" t="s">
        <v>46</v>
      </c>
      <c r="BQ1" s="20" t="s">
        <v>126</v>
      </c>
      <c r="BR1" s="11" t="s">
        <v>126</v>
      </c>
      <c r="BS1" s="21" t="s">
        <v>127</v>
      </c>
      <c r="BT1" s="12" t="s">
        <v>127</v>
      </c>
      <c r="BU1" s="21" t="s">
        <v>128</v>
      </c>
      <c r="BV1" s="12" t="s">
        <v>128</v>
      </c>
      <c r="BW1" s="21" t="s">
        <v>129</v>
      </c>
      <c r="BX1" s="12" t="s">
        <v>129</v>
      </c>
      <c r="BY1" s="21" t="s">
        <v>130</v>
      </c>
      <c r="BZ1" s="12" t="s">
        <v>130</v>
      </c>
      <c r="CA1" s="21" t="s">
        <v>131</v>
      </c>
      <c r="CB1" s="22" t="s">
        <v>136</v>
      </c>
      <c r="CC1" s="10" t="s">
        <v>47</v>
      </c>
      <c r="CD1" s="10" t="s">
        <v>48</v>
      </c>
      <c r="CE1" s="10" t="s">
        <v>49</v>
      </c>
      <c r="CF1" s="10" t="s">
        <v>50</v>
      </c>
      <c r="CG1" s="10" t="s">
        <v>51</v>
      </c>
      <c r="CH1" s="10" t="s">
        <v>52</v>
      </c>
      <c r="CI1" s="10" t="s">
        <v>53</v>
      </c>
      <c r="CJ1" s="10" t="s">
        <v>54</v>
      </c>
      <c r="CK1" s="10" t="s">
        <v>55</v>
      </c>
      <c r="CL1" s="14" t="s">
        <v>56</v>
      </c>
      <c r="CM1" s="14" t="s">
        <v>57</v>
      </c>
      <c r="CN1" s="25" t="s">
        <v>132</v>
      </c>
      <c r="CO1" s="15" t="s">
        <v>132</v>
      </c>
      <c r="CP1" s="26" t="s">
        <v>133</v>
      </c>
      <c r="CQ1" s="16" t="s">
        <v>133</v>
      </c>
      <c r="CR1" s="26" t="s">
        <v>134</v>
      </c>
      <c r="CS1" s="16" t="s">
        <v>134</v>
      </c>
      <c r="CT1" s="26" t="s">
        <v>135</v>
      </c>
      <c r="CU1" s="16" t="s">
        <v>135</v>
      </c>
      <c r="CV1" s="28" t="s">
        <v>142</v>
      </c>
      <c r="CW1" s="28" t="s">
        <v>143</v>
      </c>
      <c r="CX1" s="28" t="s">
        <v>144</v>
      </c>
      <c r="CY1" s="27" t="s">
        <v>141</v>
      </c>
      <c r="CZ1" s="30" t="s">
        <v>145</v>
      </c>
      <c r="DA1" s="7" t="s">
        <v>116</v>
      </c>
      <c r="DB1" s="18" t="s">
        <v>59</v>
      </c>
      <c r="DC1" s="18" t="s">
        <v>60</v>
      </c>
      <c r="DD1" s="18" t="s">
        <v>61</v>
      </c>
      <c r="DE1" s="18" t="s">
        <v>62</v>
      </c>
      <c r="DF1" s="18" t="s">
        <v>63</v>
      </c>
      <c r="DG1" s="18" t="s">
        <v>64</v>
      </c>
      <c r="DH1" s="18" t="s">
        <v>65</v>
      </c>
      <c r="DI1" s="18" t="s">
        <v>66</v>
      </c>
      <c r="DJ1" s="17" t="s">
        <v>110</v>
      </c>
      <c r="DK1" s="17" t="s">
        <v>111</v>
      </c>
      <c r="DL1" s="62" t="s">
        <v>205</v>
      </c>
      <c r="DM1" s="62" t="s">
        <v>206</v>
      </c>
      <c r="DN1" s="62" t="s">
        <v>207</v>
      </c>
      <c r="DO1" s="58" t="s">
        <v>208</v>
      </c>
      <c r="DP1" s="46" t="s">
        <v>191</v>
      </c>
      <c r="DQ1" s="46" t="s">
        <v>193</v>
      </c>
      <c r="DR1" s="48" t="s">
        <v>229</v>
      </c>
      <c r="DS1" s="48" t="s">
        <v>230</v>
      </c>
      <c r="DT1" s="6" t="s">
        <v>112</v>
      </c>
      <c r="DU1" s="6" t="s">
        <v>113</v>
      </c>
      <c r="DV1" s="6" t="s">
        <v>114</v>
      </c>
    </row>
    <row r="2" spans="1:126" ht="14">
      <c r="A2" s="1">
        <v>291</v>
      </c>
      <c r="B2" s="24" t="s">
        <v>243</v>
      </c>
      <c r="C2" s="24">
        <v>35236</v>
      </c>
      <c r="D2" s="38">
        <f>DATEDIF(C2,$D$33,"Y")</f>
        <v>28</v>
      </c>
      <c r="E2" s="1">
        <f>IF(('[1]フォームの回答 1'!C2="そうだ"),1,(IF(('[1]フォームの回答 1'!C2="まぁそうだ"),2,(IF(('[1]フォームの回答 1'!C2="ややちがう"),3,(IF(('[1]フォームの回答 1'!C2="ちがう"),4,"")))))))</f>
        <v>3</v>
      </c>
      <c r="F2" s="1">
        <f>IF(('[1]フォームの回答 1'!D2="そうだ"),1,(IF(('[1]フォームの回答 1'!D2="まぁそうだ"),2,(IF(('[1]フォームの回答 1'!D2="ややちがう"),3,(IF(('[1]フォームの回答 1'!D2="ちがう"),4,"")))))))</f>
        <v>3</v>
      </c>
      <c r="G2" s="1">
        <f>IF(('[1]フォームの回答 1'!E2="そうだ"),1,(IF(('[1]フォームの回答 1'!E2="まぁそうだ"),2,(IF(('[1]フォームの回答 1'!E2="ややちがう"),3,(IF(('[1]フォームの回答 1'!E2="ちがう"),4,"")))))))</f>
        <v>3</v>
      </c>
      <c r="H2" s="1">
        <f>IF(('[1]フォームの回答 1'!F2="そうだ"),1,(IF(('[1]フォームの回答 1'!F2="まぁそうだ"),2,(IF(('[1]フォームの回答 1'!F2="ややちがう"),3,(IF(('[1]フォームの回答 1'!F2="ちがう"),4,"")))))))</f>
        <v>2</v>
      </c>
      <c r="I2" s="1">
        <f>IF(('[1]フォームの回答 1'!G2="そうだ"),1,(IF(('[1]フォームの回答 1'!G2="まぁそうだ"),2,(IF(('[1]フォームの回答 1'!G2="ややちがう"),3,(IF(('[1]フォームの回答 1'!G2="ちがう"),4,"")))))))</f>
        <v>1</v>
      </c>
      <c r="J2" s="1">
        <f>IF(('[1]フォームの回答 1'!H2="そうだ"),1,(IF(('[1]フォームの回答 1'!H2="まぁそうだ"),2,(IF(('[1]フォームの回答 1'!H2="ややちがう"),3,(IF(('[1]フォームの回答 1'!H2="ちがう"),4,"")))))))</f>
        <v>3</v>
      </c>
      <c r="K2" s="1">
        <f>IF(('[1]フォームの回答 1'!I2="そうだ"),1,(IF(('[1]フォームの回答 1'!I2="まぁそうだ"),2,(IF(('[1]フォームの回答 1'!I2="ややちがう"),3,(IF(('[1]フォームの回答 1'!I2="ちがう"),4,"")))))))</f>
        <v>4</v>
      </c>
      <c r="L2" s="1">
        <f>IF(('[1]フォームの回答 1'!J2="そうだ"),1,(IF(('[1]フォームの回答 1'!J2="まぁそうだ"),2,(IF(('[1]フォームの回答 1'!J2="ややちがう"),3,(IF(('[1]フォームの回答 1'!J2="ちがう"),4,"")))))))</f>
        <v>1</v>
      </c>
      <c r="M2" s="1">
        <f>IF(('[1]フォームの回答 1'!K2="そうだ"),1,(IF(('[1]フォームの回答 1'!K2="まぁそうだ"),2,(IF(('[1]フォームの回答 1'!K2="ややちがう"),3,(IF(('[1]フォームの回答 1'!K2="ちがう"),4,"")))))))</f>
        <v>2</v>
      </c>
      <c r="N2" s="1">
        <f>IF(('[1]フォームの回答 1'!L2="そうだ"),1,(IF(('[1]フォームの回答 1'!L2="まぁそうだ"),2,(IF(('[1]フォームの回答 1'!L2="ややちがう"),3,(IF(('[1]フォームの回答 1'!L2="ちがう"),4,"")))))))</f>
        <v>2</v>
      </c>
      <c r="O2" s="1">
        <f>IF(('[1]フォームの回答 1'!M2="そうだ"),1,(IF(('[1]フォームの回答 1'!M2="まぁそうだ"),2,(IF(('[1]フォームの回答 1'!M2="ややちがう"),3,(IF(('[1]フォームの回答 1'!M2="ちがう"),4,"")))))))</f>
        <v>4</v>
      </c>
      <c r="P2" s="1">
        <f>IF(('[1]フォームの回答 1'!N2="そうだ"),1,(IF(('[1]フォームの回答 1'!N2="まぁそうだ"),2,(IF(('[1]フォームの回答 1'!N2="ややちがう"),3,(IF(('[1]フォームの回答 1'!N2="ちがう"),4,"")))))))</f>
        <v>3</v>
      </c>
      <c r="Q2" s="1">
        <f>IF(('[1]フォームの回答 1'!O2="そうだ"),1,(IF(('[1]フォームの回答 1'!O2="まぁそうだ"),2,(IF(('[1]フォームの回答 1'!O2="ややちがう"),3,(IF(('[1]フォームの回答 1'!O2="ちがう"),4,"")))))))</f>
        <v>4</v>
      </c>
      <c r="R2" s="1">
        <f>IF(('[1]フォームの回答 1'!P2="そうだ"),1,(IF(('[1]フォームの回答 1'!P2="まぁそうだ"),2,(IF(('[1]フォームの回答 1'!P2="ややちがう"),3,(IF(('[1]フォームの回答 1'!P2="ちがう"),4,"")))))))</f>
        <v>2</v>
      </c>
      <c r="S2" s="1">
        <f>IF(('[1]フォームの回答 1'!Q2="そうだ"),1,(IF(('[1]フォームの回答 1'!Q2="まぁそうだ"),2,(IF(('[1]フォームの回答 1'!Q2="ややちがう"),3,(IF(('[1]フォームの回答 1'!Q2="ちがう"),4,"")))))))</f>
        <v>4</v>
      </c>
      <c r="T2" s="1">
        <f>IF(('[1]フォームの回答 1'!R2="そうだ"),1,(IF(('[1]フォームの回答 1'!R2="まぁそうだ"),2,(IF(('[1]フォームの回答 1'!R2="ややちがう"),3,(IF(('[1]フォームの回答 1'!R2="ちがう"),4,"")))))))</f>
        <v>1</v>
      </c>
      <c r="U2" s="1">
        <f>IF(('[1]フォームの回答 1'!S2="そうだ"),1,(IF(('[1]フォームの回答 1'!S2="まぁそうだ"),2,(IF(('[1]フォームの回答 1'!S2="ややちがう"),3,(IF(('[1]フォームの回答 1'!S2="ちがう"),4,"")))))))</f>
        <v>2</v>
      </c>
      <c r="V2" s="1">
        <f>15-($E2+$F2+$G2)</f>
        <v>6</v>
      </c>
      <c r="W2" s="1">
        <f t="shared" ref="W2:W31" si="0">IF(AND(B2="male",V2&lt;=5),1,(IF(AND(B2="male",V2&gt;=6,V2&lt;=7),2,(IF(AND(B2="male",V2&gt;=8,V2&lt;=9),3,(IF(AND(B2="male",V2&gt;=10,V2&lt;=11),4,IF(AND(B2="male",V2&gt;=12),5,IF(AND(B2="female",V2&lt;=4),1,(IF(AND(B2="female",V2&gt;=5,V2&lt;=6),2,(IF(AND(B2="female",V2&gt;=7,V2&lt;=9),3,(IF(AND(B2="female",V2&gt;=10,V2&lt;=11),4,IF(AND(B2="female",V2&gt;=12),5,""))))))))))))))))</f>
        <v>2</v>
      </c>
      <c r="X2" s="1">
        <f>15-($H2+$I2+$J2)</f>
        <v>9</v>
      </c>
      <c r="Y2" s="1">
        <f t="shared" ref="Y2:Y31" si="1">IF(AND(B2="male",X2&lt;=5),1,(IF(AND(B2="male",X2&gt;=6,X2&lt;=7),2,(IF(AND(B2="male",X2&gt;=8,X2&lt;=9),3,(IF(AND(B2="male",X2&gt;=10,X2&lt;=11),4,IF(AND(B2="male",X2&gt;=12),5,IF(AND(B2="female",X2&lt;=4),1,(IF(AND(B2="female",X2&gt;=5,X2&lt;=6),2,(IF(AND(B2="female",X2&gt;=7,X2&lt;=8),3,(IF(AND(B2="female",X2&gt;=9,X2&lt;=10),4,IF(AND(B2="female",X2&gt;=11),5,""))))))))))))))))</f>
        <v>3</v>
      </c>
      <c r="Z2" s="1">
        <f>5-$K2</f>
        <v>1</v>
      </c>
      <c r="AA2" s="1">
        <f>IF(Z2=1,2,IF(Z2=2,3,(IF(Z2=3,4,(IF(Z2=4,5,""))))))</f>
        <v>2</v>
      </c>
      <c r="AB2" s="1">
        <f>10-($P2+Q2)+$R2</f>
        <v>5</v>
      </c>
      <c r="AC2" s="1">
        <f>IF((AB2=3),1,(IF(AND(AB2&gt;=4,AB2&lt;=5),2,(IF(AND(AB2&gt;=6,AB2&lt;=7),3,(IF(AND(AB2&gt;=8,AB2&lt;=9),4,IF(AB2&gt;=10,5,""))))))))</f>
        <v>2</v>
      </c>
      <c r="AD2" s="1">
        <f>5-$S2</f>
        <v>1</v>
      </c>
      <c r="AE2" s="1">
        <f t="shared" ref="AE2:AE31" si="2">IF(AND(B2="male",AD2=1),2,IF(AND(B2="male",AD2=2),3,(IF(AND(B2="male",AD2=3),4,(IF(AND(B2="male",AD2=4),5,IF(AND(B2="female",AD2=1),1,IF(AND(B2="female",AD2=2),3,(IF(AND(B2="female",AD2=3),4,(IF(AND(B2="female",AD2=4),5,""))))))))))))</f>
        <v>2</v>
      </c>
      <c r="AF2" s="1">
        <f>15-($L2+$M2+$N2)</f>
        <v>10</v>
      </c>
      <c r="AG2" s="1">
        <f t="shared" ref="AG2:AG31" si="3">IF(AND(B2="male",AF2&lt;=4),5,(IF(AND(B2="male",AF2&gt;=5,AF2&lt;=6),4,(IF(AND(B2="male",AF2&gt;=7,AF2&lt;=8),3,(IF(AND(B2="male",AF2&gt;=9,AF2&lt;=10),2,IF(AND(B2="male",AF2&gt;=11),1,IF(AND(B2="female",AF2&lt;=3),5,(IF(AND(B2="female",AF2&gt;=4,AF2&lt;=5),4,(IF(AND(B2="female",AF2&gt;=6,AF2&lt;=8),3,(IF(AND(B2="female",AF2&gt;=9,AF2&lt;=10),2,IF(AND(B2="female",AF2&gt;=11),1,""))))))))))))))))</f>
        <v>2</v>
      </c>
      <c r="AH2" s="1">
        <f>$O2</f>
        <v>4</v>
      </c>
      <c r="AI2" s="1">
        <f>IF(AH2=1,5,IF(AH2=2,4,(IF(AH2=3,3,(IF(AH2=4,2,""))))))</f>
        <v>2</v>
      </c>
      <c r="AJ2" s="1">
        <f>5-$T2</f>
        <v>4</v>
      </c>
      <c r="AK2" s="1">
        <f>IF(AJ2=1,5,IF(AJ2=2,4,(IF(AJ2=3,3,(IF(AJ2=4,1,""))))))</f>
        <v>1</v>
      </c>
      <c r="AL2" s="1">
        <f>5-$U2</f>
        <v>3</v>
      </c>
      <c r="AM2" s="1">
        <f>IF(AL2=1,5,IF(AL2=2,4,(IF(AL2=3,3,(IF(AL2=4,1,""))))))</f>
        <v>3</v>
      </c>
      <c r="AN2" s="1">
        <f>IF(('[1]フォームの回答 1'!T2="ほとんどなかった"),1,(IF(('[1]フォームの回答 1'!T2="ときどきあった"),2,(IF(('[1]フォームの回答 1'!T2="しばしばあった"),3,(IF(('[1]フォームの回答 1'!T2="ほとんどいつもあった"),4,"")))))))</f>
        <v>4</v>
      </c>
      <c r="AO2" s="1">
        <f>IF(('[1]フォームの回答 1'!U2="ほとんどなかった"),1,(IF(('[1]フォームの回答 1'!U2="ときどきあった"),2,(IF(('[1]フォームの回答 1'!U2="しばしばあった"),3,(IF(('[1]フォームの回答 1'!U2="ほとんどいつもあった"),4,"")))))))</f>
        <v>4</v>
      </c>
      <c r="AP2" s="1">
        <f>IF(('[1]フォームの回答 1'!V2="ほとんどなかった"),1,(IF(('[1]フォームの回答 1'!V2="ときどきあった"),2,(IF(('[1]フォームの回答 1'!V2="しばしばあった"),3,(IF(('[1]フォームの回答 1'!V2="ほとんどいつもあった"),4,"")))))))</f>
        <v>4</v>
      </c>
      <c r="AQ2" s="1">
        <f>IF(('[1]フォームの回答 1'!W2="ほとんどなかった"),1,(IF(('[1]フォームの回答 1'!W2="ときどきあった"),2,(IF(('[1]フォームの回答 1'!W2="しばしばあった"),3,(IF(('[1]フォームの回答 1'!W2="ほとんどいつもあった"),4,"")))))))</f>
        <v>2</v>
      </c>
      <c r="AR2" s="1">
        <f>IF(('[1]フォームの回答 1'!X2="ほとんどなかった"),1,(IF(('[1]フォームの回答 1'!X2="ときどきあった"),2,(IF(('[1]フォームの回答 1'!X2="しばしばあった"),3,(IF(('[1]フォームの回答 1'!X2="ほとんどいつもあった"),4,"")))))))</f>
        <v>2</v>
      </c>
      <c r="AS2" s="1">
        <f>IF(('[1]フォームの回答 1'!Y2="ほとんどなかった"),1,(IF(('[1]フォームの回答 1'!Y2="ときどきあった"),2,(IF(('[1]フォームの回答 1'!Y2="しばしばあった"),3,(IF(('[1]フォームの回答 1'!Y2="ほとんどいつもあった"),4,"")))))))</f>
        <v>1</v>
      </c>
      <c r="AT2" s="1">
        <f>IF(('[1]フォームの回答 1'!Z2="ほとんどなかった"),1,(IF(('[1]フォームの回答 1'!Z2="ときどきあった"),2,(IF(('[1]フォームの回答 1'!Z2="しばしばあった"),3,(IF(('[1]フォームの回答 1'!Z2="ほとんどいつもあった"),4,"")))))))</f>
        <v>3</v>
      </c>
      <c r="AU2" s="1">
        <f>IF(('[1]フォームの回答 1'!AA2="ほとんどなかった"),1,(IF(('[1]フォームの回答 1'!AA2="ときどきあった"),2,(IF(('[1]フォームの回答 1'!AA2="しばしばあった"),3,(IF(('[1]フォームの回答 1'!AA2="ほとんどいつもあった"),4,"")))))))</f>
        <v>2</v>
      </c>
      <c r="AV2" s="1">
        <f>IF(('[1]フォームの回答 1'!AB2="ほとんどなかった"),1,(IF(('[1]フォームの回答 1'!AB2="ときどきばあった"),2,(IF(('[1]フォームの回答 1'!AB2="しばしばあった"),3,(IF(('[1]フォームの回答 1'!AB2="ほとんどいつもあった"),4,"")))))))</f>
        <v>3</v>
      </c>
      <c r="AW2" s="1">
        <f>IF(('[1]フォームの回答 1'!AC2="ほとんどなかった"),1,(IF(('[1]フォームの回答 1'!AC2="ときどきあった"),2,(IF(('[1]フォームの回答 1'!AC2="しばしばあった"),3,(IF(('[1]フォームの回答 1'!AC2="ほとんどいつもあった"),4,"")))))))</f>
        <v>2</v>
      </c>
      <c r="AX2" s="1">
        <f>IF(('[1]フォームの回答 1'!AD2="ほとんどなかった"),1,(IF(('[1]フォームの回答 1'!AD2="ときどきあった"),2,(IF(('[1]フォームの回答 1'!AD2="しばしばあった"),3,(IF(('[1]フォームの回答 1'!AD2="ほとんどいつもあった"),4,"")))))))</f>
        <v>2</v>
      </c>
      <c r="AY2" s="1">
        <f>IF(('[1]フォームの回答 1'!AE2="ほとんどなかった"),1,(IF(('[1]フォームの回答 1'!AE2="ときどきあった"),2,(IF(('[1]フォームの回答 1'!AE2="しばしばあった"),3,(IF(('[1]フォームの回答 1'!AE2="ほとんどいつもあった"),4,"")))))))</f>
        <v>1</v>
      </c>
      <c r="AZ2" s="1">
        <f>IF(('[1]フォームの回答 1'!AF2="ほとんどなかった"),1,(IF(('[1]フォームの回答 1'!AF2="ときどきあった"),2,(IF(('[1]フォームの回答 1'!AF2="しばしばあった"),3,(IF(('[1]フォームの回答 1'!AF2="ほとんどいつもあった"),4,"")))))))</f>
        <v>2</v>
      </c>
      <c r="BA2" s="1">
        <f>IF(('[1]フォームの回答 1'!AG2="ほとんどなかった"),1,(IF(('[1]フォームの回答 1'!AG2="ときどきあった"),2,(IF(('[1]フォームの回答 1'!AG2="しばしばあった"),3,(IF(('[1]フォームの回答 1'!AG2="ほとんどいつもあった"),4,"")))))))</f>
        <v>1</v>
      </c>
      <c r="BB2" s="1">
        <f>IF(('[1]フォームの回答 1'!AH2="ほとんどなかった"),1,(IF(('[1]フォームの回答 1'!AH2="ときどきあった"),2,(IF(('[1]フォームの回答 1'!AH2="しばしばあった"),3,(IF(('[1]フォームの回答 1'!AH2="ほとんどいつもあった"),4,"")))))))</f>
        <v>1</v>
      </c>
      <c r="BC2" s="1">
        <f>IF(('[1]フォームの回答 1'!AI2="ほとんどなかった"),1,(IF(('[1]フォームの回答 1'!AI2="ときどきあった"),2,(IF(('[1]フォームの回答 1'!AI2="しばしばあった"),3,(IF(('[1]フォームの回答 1'!AI2="ほとんどいつもあった"),4,"")))))))</f>
        <v>2</v>
      </c>
      <c r="BD2" s="1">
        <f>IF(('[1]フォームの回答 1'!AJ2="ほとんどなかった"),1,(IF(('[1]フォームの回答 1'!AJ2="ときどきあった"),2,(IF(('[1]フォームの回答 1'!AJ2="しばしばあった"),3,(IF(('[1]フォームの回答 1'!AJ2="ほとんどいつもあった"),4,"")))))))</f>
        <v>2</v>
      </c>
      <c r="BE2" s="1">
        <f>IF(('[1]フォームの回答 1'!AK2="ほとんどなかった"),1,(IF(('[1]フォームの回答 1'!AK2="ときどきあった"),2,(IF(('[1]フォームの回答 1'!AK2="しばしばあった"),3,(IF(('[1]フォームの回答 1'!AK2="ほとんどいつもあった"),4,"")))))))</f>
        <v>2</v>
      </c>
      <c r="BF2" s="1">
        <f>IF(('[1]フォームの回答 1'!AL2="ほとんどなかった"),1,(IF(('[1]フォームの回答 1'!AL2="ときどきあった"),2,(IF(('[1]フォームの回答 1'!AL2="しばしばあった"),3,(IF(('[1]フォームの回答 1'!AL2="ほとんどいつもあった"),4,"")))))))</f>
        <v>1</v>
      </c>
      <c r="BG2" s="1">
        <f>IF(('[1]フォームの回答 1'!AM2="ほとんどなかった"),1,(IF(('[1]フォームの回答 1'!AM2="ときどきあった"),2,(IF(('[1]フォームの回答 1'!AM2="しばしばあった"),3,(IF(('[1]フォームの回答 1'!AM2="ほとんどいつもあった"),4,"")))))))</f>
        <v>1</v>
      </c>
      <c r="BH2" s="1">
        <f>IF(('[1]フォームの回答 1'!AN2="ほとんどなかった"),1,(IF(('[1]フォームの回答 1'!AN2="ときどきあった"),2,(IF(('[1]フォームの回答 1'!AN2="しばしばあった"),3,(IF(('[1]フォームの回答 1'!AN2="ほとんどいつもあった"),4,"")))))))</f>
        <v>2</v>
      </c>
      <c r="BI2" s="1">
        <f>IF(('[1]フォームの回答 1'!AO2="ほとんどなかった"),1,(IF(('[1]フォームの回答 1'!AO2="ときどきあった"),2,(IF(('[1]フォームの回答 1'!AO2="しばしばあった"),3,(IF(('[1]フォームの回答 1'!AO2="ほとんどいつもあった"),4,"")))))))</f>
        <v>4</v>
      </c>
      <c r="BJ2" s="1">
        <f>IF(('[1]フォームの回答 1'!AP2="ほとんどなかった"),1,(IF(('[1]フォームの回答 1'!AP2="ときどきあった"),2,(IF(('[1]フォームの回答 1'!AP2="しばしばあった"),3,(IF(('[1]フォームの回答 1'!AP2="ほとんどいつもあった"),4,"")))))))</f>
        <v>1</v>
      </c>
      <c r="BK2" s="1">
        <f>IF(('[1]フォームの回答 1'!AQ2="ほとんどなかった"),1,(IF(('[1]フォームの回答 1'!AQ2="ときどきあった"),2,(IF(('[1]フォームの回答 1'!AQ2="しばしばあった"),3,(IF(('[1]フォームの回答 1'!AQ2="ほとんどいつもあった"),4,"")))))))</f>
        <v>1</v>
      </c>
      <c r="BL2" s="1">
        <f>IF(('[1]フォームの回答 1'!AR2="ほとんどなかった"),1,(IF(('[1]フォームの回答 1'!AR2="ときどきあった"),2,(IF(('[1]フォームの回答 1'!AR2="しばしばあった"),3,(IF(('[1]フォームの回答 1'!AR2="ほとんどいつもあった"),4,"")))))))</f>
        <v>1</v>
      </c>
      <c r="BM2" s="1">
        <f>IF(('[1]フォームの回答 1'!AS2="ほとんどなかった"),1,(IF(('[1]フォームの回答 1'!AS2="ときどきあった"),2,(IF(('[1]フォームの回答 1'!AS2="しばしばあった"),3,(IF(('[1]フォームの回答 1'!AS2="ほとんどいつもあった"),4,"")))))))</f>
        <v>2</v>
      </c>
      <c r="BN2" s="1">
        <f>IF(('[1]フォームの回答 1'!AT2="ほとんどなかった"),1,(IF(('[1]フォームの回答 1'!AT2="ときどきあった"),2,(IF(('[1]フォームの回答 1'!AT2="しばしばあった"),3,(IF(('[1]フォームの回答 1'!AT2="ほとんどいつもあった"),4,"")))))))</f>
        <v>1</v>
      </c>
      <c r="BO2" s="1">
        <f>IF(('[1]フォームの回答 1'!AU2="ほとんどなかった"),1,(IF(('[1]フォームの回答 1'!AU2="ときどきあった"),2,(IF(('[1]フォームの回答 1'!AU2="しばしばあった"),3,(IF(('[1]フォームの回答 1'!AU2="ほとんどいつもあった"),4,"")))))))</f>
        <v>2</v>
      </c>
      <c r="BP2" s="1">
        <f>IF(('[1]フォームの回答 1'!AV2="ほとんどなかった"),1,(IF(('[1]フォームの回答 1'!AV2="ときどきあった"),2,(IF(('[1]フォームの回答 1'!AV2="しばしばあった"),3,(IF(('[1]フォームの回答 1'!AV2="ほとんどいつもあった"),4,"")))))))</f>
        <v>1</v>
      </c>
      <c r="BQ2" s="1">
        <f>$AN2+$AO2+$AP2</f>
        <v>12</v>
      </c>
      <c r="BR2" s="1">
        <f>IF((BQ2=3),5,(IF(AND(BQ2&gt;=4,BQ2&lt;=5),4,(IF(AND(BQ2&gt;=6,BQ2&lt;=7),3,(IF(AND(BQ2&gt;=8,BQ2&lt;=9),2,IF(BQ2&gt;=10,1,""))))))))</f>
        <v>1</v>
      </c>
      <c r="BS2" s="1">
        <f>$AQ2+$AR2+$AS2</f>
        <v>5</v>
      </c>
      <c r="BT2" s="1">
        <f t="shared" ref="BT2:BT31" si="4">IF(AND(B2="male",BS2=3),1,(IF(AND(B2="male",BS2&gt;=4,BS2&lt;=5),2,(IF(AND(B2="male",BS2&gt;=6,BS2&lt;=7),3,(IF(AND(B2="male",BS2&gt;=8,BS2&lt;=9),4,IF(AND(B2="male",BS2&gt;=10),5,IF(AND(B2="female",BS2=3),1,(IF(AND(B2="female",BS2&gt;=4,BS2&lt;=5),2,(IF(AND(B2="female",BS2&gt;=6,BS2&lt;=8),3,(IF(AND(B2="female",BS2&gt;=9,BS2&lt;=10),4,IF(AND(B2="female",BS2&gt;=11),5,""))))))))))))))))</f>
        <v>2</v>
      </c>
      <c r="BU2" s="1">
        <f t="shared" ref="BU2:BU31" si="5">$AT2+$AU2+$AV2</f>
        <v>8</v>
      </c>
      <c r="BV2" s="1">
        <f t="shared" ref="BV2:BV31" si="6">IF(AND(B2="male",BU2=3),1,(IF(AND(B2="male",BU2=4),2,(IF(AND(B2="male",BU2&gt;=5,BU2&lt;=7),3,(IF(AND(B2="male",BU2&gt;=8,BU2&lt;=10),4,IF(AND(B2="male",BU2&gt;=11),5,IF(AND(B2="female",BU2=3),1,(IF(AND(B2="female",BU2&gt;=4,BU2&lt;=5),2,(IF(AND(B2="female",BU2&gt;=6,BU2&lt;=8),3,(IF(AND(B2="female",BU2&gt;=9,BU2&lt;=11),4,IF(AND(B2="female",BU2&gt;=12),5,""))))))))))))))))</f>
        <v>4</v>
      </c>
      <c r="BW2" s="1">
        <f>$AW2+$AX2+$AY2</f>
        <v>5</v>
      </c>
      <c r="BX2" s="1">
        <f t="shared" ref="BX2:BX31" si="7">IF(AND(B2="male",BW2=3),1,(IF(AND(B2="male",BW2=4),2,(IF(AND(B2="male",BW2&gt;=5,BW2&lt;=7),3,(IF(AND(B2="male",BW2&gt;=8,BW2&lt;=9),4,(IF(AND(B2="male",BW2&gt;=10),5,(IF(AND(B2="female",BW2=3),1,(IF(AND(B2="female",BW2=4),2,(IF(AND(B2="female",BW2&gt;=5,BW2&lt;=7),3,(IF(AND(B2="female",BW2&gt;=8,BW2&lt;=10),4,IF(AND(B2="female",BW2&gt;=11),5,""))))))))))))))))))</f>
        <v>3</v>
      </c>
      <c r="BY2" s="1">
        <f>SUM($AZ2:$BE2)</f>
        <v>10</v>
      </c>
      <c r="BZ2" s="1">
        <f t="shared" ref="BZ2:BZ31" si="8">IF(AND(B2="male",BY2=6),1,(IF(AND(B2="male",BY2&gt;=7,BY2&lt;=8),2,(IF(AND(B2="male",BY2&gt;=9,BY2&lt;=12),3,(IF(AND(B2="male",BY2&gt;=13,BY2&lt;=16),4,IF(AND(B2="male",BY2&gt;=17),5,IF(AND(B2="female",BY2=6),1,(IF(AND(B2="female",BY2&gt;=7,BY2&lt;=8),2,(IF(AND(B2="female",BY2&gt;=9,BY2&lt;=12),3,(IF(AND(B2="female",BY2&gt;=13,BY2&lt;=17),4,IF(AND(B2="female",BY2&gt;=18),5,""))))))))))))))))</f>
        <v>3</v>
      </c>
      <c r="CA2" s="1">
        <f>SUM($BF2:$BP2)</f>
        <v>17</v>
      </c>
      <c r="CB2" s="1">
        <f t="shared" ref="CB2:CB31" si="9">IF(AND(B2="male",CA2=11),1,(IF(AND(B2="male",CA2&gt;=12,CA2&lt;=15),2,(IF(AND(B2="male",CA2&gt;=16,CA2&lt;=21),3,(IF(AND(B2="male",CA2&gt;=22,CA2&lt;=26),4,IF(AND(B2="male",CA2&gt;=27),5,IF(AND(B2="female",CA2&lt;=13),1,(IF(AND(B2="female",CA2&gt;=14,CA2&lt;=17),2,(IF(AND(B2="female",CA2&gt;=18,CA2&lt;=23),3,(IF(AND(B2="female",CA2&gt;=24,CA2&lt;=29),4,IF(AND(B2="female",CA2&gt;=30),5,""))))))))))))))))</f>
        <v>3</v>
      </c>
      <c r="CC2" s="1">
        <f>IF(('[1]フォームの回答 1'!AW2="非常に"),1,(IF(('[1]フォームの回答 1'!AW2="かなり"),2,(IF(('[1]フォームの回答 1'!AW2="多少"),3,(IF(('[1]フォームの回答 1'!AW2="全くない"),4,"")))))))</f>
        <v>2</v>
      </c>
      <c r="CD2" s="1">
        <f>IF(('[1]フォームの回答 1'!AX2="非常に"),1,(IF(('[1]フォームの回答 1'!AX2="かなり"),2,(IF(('[1]フォームの回答 1'!AX2="多少"),3,(IF(('[1]フォームの回答 1'!AX2="全くない"),4,"")))))))</f>
        <v>3</v>
      </c>
      <c r="CE2" s="1">
        <f>IF(('[1]フォームの回答 1'!AY2="非常に"),1,(IF(('[1]フォームの回答 1'!AY2="かなり"),2,(IF(('[1]フォームの回答 1'!AY2="多少"),3,(IF(('[1]フォームの回答 1'!AY2="全くない"),4,"")))))))</f>
        <v>1</v>
      </c>
      <c r="CF2" s="1">
        <f>IF(('[1]フォームの回答 1'!AZ2="非常に"),1,(IF(('[1]フォームの回答 1'!AZ2="かなり"),2,(IF(('[1]フォームの回答 1'!AZ2="多少"),3,(IF(('[1]フォームの回答 1'!AZ2="全くない"),4,"")))))))</f>
        <v>1</v>
      </c>
      <c r="CG2" s="1">
        <f>IF(('[1]フォームの回答 1'!BA2="非常に"),1,(IF(('[1]フォームの回答 1'!BA2="かなり"),2,(IF(('[1]フォームの回答 1'!BA2="多少"),3,(IF(('[1]フォームの回答 1'!BA2="全くない"),4,"")))))))</f>
        <v>3</v>
      </c>
      <c r="CH2" s="1">
        <f>IF(('[1]フォームの回答 1'!BB2="非常に"),1,(IF(('[1]フォームの回答 1'!BB2="かなり"),2,(IF(('[1]フォームの回答 1'!BB2="多少"),3,(IF(('[1]フォームの回答 1'!BB2="全くない"),4,"")))))))</f>
        <v>1</v>
      </c>
      <c r="CI2" s="1">
        <f>IF(('[1]フォームの回答 1'!BC2="非常に"),1,(IF(('[1]フォームの回答 1'!BC2="かなり"),2,(IF(('[1]フォームの回答 1'!BC2="多少"),3,(IF(('[1]フォームの回答 1'!BC2="全くない"),4,"")))))))</f>
        <v>3</v>
      </c>
      <c r="CJ2" s="1">
        <f>IF(('[1]フォームの回答 1'!BD2="非常に"),1,(IF(('[1]フォームの回答 1'!BD2="かなり"),2,(IF(('[1]フォームの回答 1'!BD2="多少"),3,(IF(('[1]フォームの回答 1'!BD2="全くない"),4,"")))))))</f>
        <v>3</v>
      </c>
      <c r="CK2" s="1">
        <f>IF(('[1]フォームの回答 1'!BE2="非常に"),1,(IF(('[1]フォームの回答 1'!BE2="かなり"),2,(IF(('[1]フォームの回答 1'!BE2="多少"),3,(IF(('[1]フォームの回答 1'!BE2="全くない"),4,"")))))))</f>
        <v>1</v>
      </c>
      <c r="CL2" s="1">
        <f>IF(('[1]フォームの回答 1'!BF2="満足"),1,(IF(('[1]フォームの回答 1'!BF2="まぁ満足"),2,(IF(('[1]フォームの回答 1'!BF2="やや満足"),3,(IF(('[1]フォームの回答 1'!BF2="不満足"),4,"")))))))</f>
        <v>2</v>
      </c>
      <c r="CM2" s="1">
        <f>IF(('[1]フォームの回答 1'!BG2="満足"),1,(IF(('[1]フォームの回答 1'!BG2="まぁ満足"),2,(IF(('[1]フォームの回答 1'!BG2="やや満足"),3,(IF(('[1]フォームの回答 1'!BG2="不満足"),4,"")))))))</f>
        <v>2</v>
      </c>
      <c r="CN2" s="1">
        <f>15-($CC2+$CF2+$CI2)</f>
        <v>9</v>
      </c>
      <c r="CO2" s="1">
        <f t="shared" ref="CO2:CO31" si="10">IF(AND(B2="male",CN2&lt;=4),5,(IF(AND(B2="male",CN2&gt;=5,CN2&lt;=6),4,(IF(AND(B2="male",CN2&gt;=7,CN2&lt;=8),3,(IF(AND(B2="male",CN2&gt;=9,CN2&lt;=10),2,IF(AND(B2="male",CN2&gt;=11),1,IF(AND(B2="female",CN2&lt;=3),5,(IF(AND(B2="female",CN2&gt;=4,CN2&lt;=5),4,(IF(AND(B2="female",CN2&gt;=6,CN2&lt;=7),3,(IF(AND(B2="female",CN2&gt;=8,CN2&lt;=10),2,IF(AND(B2="female",CN2&gt;=11),1,""))))))))))))))))</f>
        <v>2</v>
      </c>
      <c r="CP2" s="1">
        <f>15-($CD2+$CG2+$CJ2)</f>
        <v>6</v>
      </c>
      <c r="CQ2" s="1">
        <f t="shared" ref="CQ2:CQ31" si="11">IF((CP2&lt;=5),5,(IF(AND(CP2&gt;=6,CP2&lt;=7),4,(IF(AND(CP2&gt;=8,CP2&lt;=9),3,(IF(AND(CP2&gt;=10,AF2&lt;=11),2,IF(AF2&gt;=12,1,""))))))))</f>
        <v>4</v>
      </c>
      <c r="CR2" s="1">
        <f>15-($CE2+$CH2+$CK2)</f>
        <v>12</v>
      </c>
      <c r="CS2" s="1">
        <f>IF((CR2&lt;=6),5,(IF(AND(CR2&gt;=7,CR2&lt;=8),4,IF((CR2=9),3,IF(AND(CR2&gt;=10,CR2&lt;=11),2,IF(CR2&gt;=12,1,""))))))</f>
        <v>1</v>
      </c>
      <c r="CT2" s="1">
        <f>10-($CL2+$CM2)</f>
        <v>6</v>
      </c>
      <c r="CU2" s="1">
        <f t="shared" ref="CU2:CU31" si="12">IF((CT2&lt;=3),5,(IF((CT2=4),4,IF(AND(CT2&gt;=5,CT2&lt;=6),3,IF((CT2=7),2,IF(CT2&gt;=8,1,""))))))</f>
        <v>3</v>
      </c>
      <c r="CV2" s="1">
        <f t="shared" ref="CV2:CV31" si="13">BR2+BT2+BV2+BX2+BZ2+CB2</f>
        <v>16</v>
      </c>
      <c r="CW2" s="1">
        <f t="shared" ref="CW2:CW31" si="14">W2+Y2+AA2+AC2+AE2+AG2+AI2+AK2+AM2</f>
        <v>19</v>
      </c>
      <c r="CX2" s="1">
        <f t="shared" ref="CX2:CX31" si="15">CO2+CQ2+CS2</f>
        <v>7</v>
      </c>
      <c r="CY2" s="29" t="str">
        <f>IF((CV2&gt;=24),"高",IF(AND(CV2&gt;=19,CV2&lt;=23,(CW2+CX2)&gt;=46),"高",IF(AND(CV2&gt;=19,CV2&lt;=23,(CW2+CX2)&gt;=12,(CW2+CX2)&lt;=45),"中①",IF(AND(CV2&gt;=6,CV2&lt;=18,(CW2+CX2)&gt;=46),"中②","低"))))</f>
        <v>低</v>
      </c>
      <c r="CZ2" s="1">
        <v>0.9</v>
      </c>
      <c r="DA2" s="2">
        <f t="shared" ref="DA2:DA31" si="16">1-CZ2</f>
        <v>9.9999999999999978E-2</v>
      </c>
      <c r="DB2" s="1">
        <f>IF(('[1]フォームの回答 1'!BI2="いつもより寝つきは良い"),0,(IF(('[1]フォームの回答 1'!BI2="いつもより少し時間がかかった"),1,(IF(('[1]フォームの回答 1'!BI2="いつもよりかなり時間がかかった"),2,(IF(('[1]フォームの回答 1'!BI2="いつもより非常に時間がかかった、あるいは全く眠れなかった"),3,"")))))))</f>
        <v>0</v>
      </c>
      <c r="DC2" s="1">
        <f>IF(('[1]フォームの回答 1'!BJ2="問題になるほどのことはなかった"),0,(IF(('[1]フォームの回答 1'!BJ2="少し困ることがある"),1,(IF(('[1]フォームの回答 1'!BJ2="かなり困っている"),2,(IF(('[1]フォームの回答 1'!BJ2="深刻な状態、あるいは全く眠れなかった"),3,"")))))))</f>
        <v>0</v>
      </c>
      <c r="DD2" s="1">
        <f>IF(('[1]フォームの回答 1'!BK2="そのようなことはなかった"),0,(IF(('[1]フォームの回答 1'!BK2="少し早かった"),1,(IF(('[1]フォームの回答 1'!BK2="かなり早かった"),2,(IF(('[1]フォームの回答 1'!BK2="非常に早かった、あるいは全く眠れなかった"),3,"")))))))</f>
        <v>0</v>
      </c>
      <c r="DE2" s="1">
        <f>IF(('[1]フォームの回答 1'!BL2="十分である"),0,(IF(('[1]フォームの回答 1'!BL2="少し足りない"),1,(IF(('[1]フォームの回答 1'!BL2="かなり足りない"),2,(IF(('[1]フォームの回答 1'!BL2="全く足りない、あるいは全く眠れなかった"),3,"")))))))</f>
        <v>0</v>
      </c>
      <c r="DF2" s="1">
        <f>IF(('[1]フォームの回答 1'!BM2="満足している"),0,(IF(('[1]フォームの回答 1'!BM2="少し不満である"),1,(IF(('[1]フォームの回答 1'!BM2="かなり不満である"),2,(IF(('[1]フォームの回答 1'!BM2="非常に不満である、あるいは全く眠れなかった"),3,"")))))))</f>
        <v>1</v>
      </c>
      <c r="DG2" s="1">
        <f>IF(('[1]フォームの回答 1'!BN2="いつもどおり"),0,(IF(('[1]フォームの回答 1'!BN2="少し滅入った"),1,(IF(('[1]フォームの回答 1'!BN2="かなり滅入った"),2,(IF(('[1]フォームの回答 1'!BN2="非常に滅入った"),3,"")))))))</f>
        <v>0</v>
      </c>
      <c r="DH2" s="1">
        <f>IF(('[1]フォームの回答 1'!BO2="いつもどおり"),0,(IF(('[1]フォームの回答 1'!BO2="少し低下した"),1,(IF(('[1]フォームの回答 1'!BO2="かなり低下した"),2,(IF(('[1]フォームの回答 1'!BO2="非常に低下した"),3,"")))))))</f>
        <v>0</v>
      </c>
      <c r="DI2" s="1">
        <f>IF(('[1]フォームの回答 1'!BP2="全くなかった"),0,(IF(('[1]フォームの回答 1'!BP2="少しあった"),1,(IF(('[1]フォームの回答 1'!BP2="かなりあった"),2,(IF(('[1]フォームの回答 1'!BP2="激しかった"),3,"")))))))</f>
        <v>1</v>
      </c>
      <c r="DJ2">
        <f>SUM(DB2:DI2)</f>
        <v>2</v>
      </c>
      <c r="DK2" s="4" t="str">
        <f>IF((DJ2&lt;=3),"低",(IF(AND(DJ2&gt;=4,DJ2&lt;=5),"中",(IF((DJ2&gt;=6),"高","")))))</f>
        <v>低</v>
      </c>
      <c r="DL2" s="5">
        <v>2.1</v>
      </c>
      <c r="DM2" s="5">
        <v>2.6</v>
      </c>
      <c r="DN2" s="5">
        <v>2.1</v>
      </c>
      <c r="DO2" s="5">
        <v>6.8000000000000007</v>
      </c>
      <c r="DP2" s="5"/>
      <c r="DQ2" s="5"/>
      <c r="DR2" s="43">
        <v>1.1919999999999999</v>
      </c>
      <c r="DS2" s="43">
        <v>174.74</v>
      </c>
      <c r="DT2" s="5">
        <v>0.68</v>
      </c>
      <c r="DU2" s="5">
        <v>34</v>
      </c>
      <c r="DV2" s="5" t="s">
        <v>115</v>
      </c>
    </row>
    <row r="3" spans="1:126" ht="14">
      <c r="A3" s="1">
        <v>292</v>
      </c>
      <c r="B3" s="24" t="s">
        <v>139</v>
      </c>
      <c r="C3" s="24">
        <v>36424</v>
      </c>
      <c r="D3" s="38">
        <f t="shared" ref="D3:D31" si="17">DATEDIF(C3,$D$33,"Y")</f>
        <v>24</v>
      </c>
      <c r="E3" s="1">
        <f>IF(('[1]フォームの回答 1'!C3="そうだ"),1,(IF(('[1]フォームの回答 1'!C3="まぁそうだ"),2,(IF(('[1]フォームの回答 1'!C3="ややちがう"),3,(IF(('[1]フォームの回答 1'!C3="ちがう"),4,"")))))))</f>
        <v>3</v>
      </c>
      <c r="F3" s="1">
        <f>IF(('[1]フォームの回答 1'!D3="そうだ"),1,(IF(('[1]フォームの回答 1'!D3="まぁそうだ"),2,(IF(('[1]フォームの回答 1'!D3="ややちがう"),3,(IF(('[1]フォームの回答 1'!D3="ちがう"),4,"")))))))</f>
        <v>3</v>
      </c>
      <c r="G3" s="1">
        <f>IF(('[1]フォームの回答 1'!E3="そうだ"),1,(IF(('[1]フォームの回答 1'!E3="まぁそうだ"),2,(IF(('[1]フォームの回答 1'!E3="ややちがう"),3,(IF(('[1]フォームの回答 1'!E3="ちがう"),4,"")))))))</f>
        <v>1</v>
      </c>
      <c r="H3" s="1">
        <f>IF(('[1]フォームの回答 1'!F3="そうだ"),1,(IF(('[1]フォームの回答 1'!F3="まぁそうだ"),2,(IF(('[1]フォームの回答 1'!F3="ややちがう"),3,(IF(('[1]フォームの回答 1'!F3="ちがう"),4,"")))))))</f>
        <v>1</v>
      </c>
      <c r="I3" s="1">
        <f>IF(('[1]フォームの回答 1'!G3="そうだ"),1,(IF(('[1]フォームの回答 1'!G3="まぁそうだ"),2,(IF(('[1]フォームの回答 1'!G3="ややちがう"),3,(IF(('[1]フォームの回答 1'!G3="ちがう"),4,"")))))))</f>
        <v>1</v>
      </c>
      <c r="J3" s="1">
        <f>IF(('[1]フォームの回答 1'!H3="そうだ"),1,(IF(('[1]フォームの回答 1'!H3="まぁそうだ"),2,(IF(('[1]フォームの回答 1'!H3="ややちがう"),3,(IF(('[1]フォームの回答 1'!H3="ちがう"),4,"")))))))</f>
        <v>2</v>
      </c>
      <c r="K3" s="1">
        <f>IF(('[1]フォームの回答 1'!I3="そうだ"),1,(IF(('[1]フォームの回答 1'!I3="まぁそうだ"),2,(IF(('[1]フォームの回答 1'!I3="ややちがう"),3,(IF(('[1]フォームの回答 1'!I3="ちがう"),4,"")))))))</f>
        <v>4</v>
      </c>
      <c r="L3" s="1">
        <f>IF(('[1]フォームの回答 1'!J3="そうだ"),1,(IF(('[1]フォームの回答 1'!J3="まぁそうだ"),2,(IF(('[1]フォームの回答 1'!J3="ややちがう"),3,(IF(('[1]フォームの回答 1'!J3="ちがう"),4,"")))))))</f>
        <v>3</v>
      </c>
      <c r="M3" s="1">
        <f>IF(('[1]フォームの回答 1'!K3="そうだ"),1,(IF(('[1]フォームの回答 1'!K3="まぁそうだ"),2,(IF(('[1]フォームの回答 1'!K3="ややちがう"),3,(IF(('[1]フォームの回答 1'!K3="ちがう"),4,"")))))))</f>
        <v>3</v>
      </c>
      <c r="N3" s="1">
        <f>IF(('[1]フォームの回答 1'!L3="そうだ"),1,(IF(('[1]フォームの回答 1'!L3="まぁそうだ"),2,(IF(('[1]フォームの回答 1'!L3="ややちがう"),3,(IF(('[1]フォームの回答 1'!L3="ちがう"),4,"")))))))</f>
        <v>3</v>
      </c>
      <c r="O3" s="1">
        <f>IF(('[1]フォームの回答 1'!M3="そうだ"),1,(IF(('[1]フォームの回答 1'!M3="まぁそうだ"),2,(IF(('[1]フォームの回答 1'!M3="ややちがう"),3,(IF(('[1]フォームの回答 1'!M3="ちがう"),4,"")))))))</f>
        <v>3</v>
      </c>
      <c r="P3" s="1">
        <f>IF(('[1]フォームの回答 1'!N3="そうだ"),1,(IF(('[1]フォームの回答 1'!N3="まぁそうだ"),2,(IF(('[1]フォームの回答 1'!N3="ややちがう"),3,(IF(('[1]フォームの回答 1'!N3="ちがう"),4,"")))))))</f>
        <v>4</v>
      </c>
      <c r="Q3" s="1">
        <f>IF(('[1]フォームの回答 1'!O3="そうだ"),1,(IF(('[1]フォームの回答 1'!O3="まぁそうだ"),2,(IF(('[1]フォームの回答 1'!O3="ややちがう"),3,(IF(('[1]フォームの回答 1'!O3="ちがう"),4,"")))))))</f>
        <v>4</v>
      </c>
      <c r="R3" s="1">
        <f>IF(('[1]フォームの回答 1'!P3="そうだ"),1,(IF(('[1]フォームの回答 1'!P3="まぁそうだ"),2,(IF(('[1]フォームの回答 1'!P3="ややちがう"),3,(IF(('[1]フォームの回答 1'!P3="ちがう"),4,"")))))))</f>
        <v>1</v>
      </c>
      <c r="S3" s="1">
        <f>IF(('[1]フォームの回答 1'!Q3="そうだ"),1,(IF(('[1]フォームの回答 1'!Q3="まぁそうだ"),2,(IF(('[1]フォームの回答 1'!Q3="ややちがう"),3,(IF(('[1]フォームの回答 1'!Q3="ちがう"),4,"")))))))</f>
        <v>3</v>
      </c>
      <c r="T3" s="1">
        <f>IF(('[1]フォームの回答 1'!R3="そうだ"),1,(IF(('[1]フォームの回答 1'!R3="まぁそうだ"),2,(IF(('[1]フォームの回答 1'!R3="ややちがう"),3,(IF(('[1]フォームの回答 1'!R3="ちがう"),4,"")))))))</f>
        <v>1</v>
      </c>
      <c r="U3" s="1">
        <f>IF(('[1]フォームの回答 1'!S3="そうだ"),1,(IF(('[1]フォームの回答 1'!S3="まぁそうだ"),2,(IF(('[1]フォームの回答 1'!S3="ややちがう"),3,(IF(('[1]フォームの回答 1'!S3="ちがう"),4,"")))))))</f>
        <v>1</v>
      </c>
      <c r="V3" s="1">
        <f t="shared" ref="V3:V31" si="18">15-($E3+$F3+$G3)</f>
        <v>8</v>
      </c>
      <c r="W3" s="1">
        <f t="shared" si="0"/>
        <v>3</v>
      </c>
      <c r="X3" s="1">
        <f t="shared" ref="X3:X31" si="19">15-($H3+$I3+$J3)</f>
        <v>11</v>
      </c>
      <c r="Y3" s="1">
        <f t="shared" si="1"/>
        <v>4</v>
      </c>
      <c r="Z3" s="1">
        <f t="shared" ref="Z3:Z31" si="20">5-$K3</f>
        <v>1</v>
      </c>
      <c r="AA3" s="1">
        <f t="shared" ref="AA3:AA31" si="21">IF(Z3=1,2,IF(Z3=2,3,(IF(Z3=3,4,(IF(Z3=4,5,""))))))</f>
        <v>2</v>
      </c>
      <c r="AB3" s="1">
        <f t="shared" ref="AB3:AB31" si="22">10-($P3+Q3)+$R3</f>
        <v>3</v>
      </c>
      <c r="AC3" s="1">
        <f t="shared" ref="AC3:AC31" si="23">IF((AB3=3),1,(IF(AND(AB3&gt;=4,AB3&lt;=5),2,(IF(AND(AB3&gt;=6,AB3&lt;=7),3,(IF(AND(AB3&gt;=8,AB3&lt;=9),4,IF(AB3&gt;=10,5,""))))))))</f>
        <v>1</v>
      </c>
      <c r="AD3" s="1">
        <f t="shared" ref="AD3:AD31" si="24">5-$S3</f>
        <v>2</v>
      </c>
      <c r="AE3" s="1">
        <f t="shared" si="2"/>
        <v>3</v>
      </c>
      <c r="AF3" s="1">
        <f t="shared" ref="AF3:AF31" si="25">15-($L3+$M3+$N3)</f>
        <v>6</v>
      </c>
      <c r="AG3" s="1">
        <f t="shared" si="3"/>
        <v>4</v>
      </c>
      <c r="AH3" s="1">
        <f t="shared" ref="AH3:AH31" si="26">$O3</f>
        <v>3</v>
      </c>
      <c r="AI3" s="1">
        <f t="shared" ref="AI3:AI31" si="27">IF(AH3=1,5,IF(AH3=2,4,(IF(AH3=3,3,(IF(AH3=4,2,""))))))</f>
        <v>3</v>
      </c>
      <c r="AJ3" s="1">
        <f t="shared" ref="AJ3:AJ31" si="28">5-$T3</f>
        <v>4</v>
      </c>
      <c r="AK3" s="1">
        <f t="shared" ref="AK3:AK31" si="29">IF(AJ3=1,5,IF(AJ3=2,4,(IF(AJ3=3,3,(IF(AJ3=4,1,""))))))</f>
        <v>1</v>
      </c>
      <c r="AL3" s="1">
        <f t="shared" ref="AL3:AL31" si="30">5-$U3</f>
        <v>4</v>
      </c>
      <c r="AM3" s="1">
        <f t="shared" ref="AM3:AM31" si="31">IF(AL3=1,5,IF(AL3=2,4,(IF(AL3=3,3,(IF(AL3=4,1,""))))))</f>
        <v>1</v>
      </c>
      <c r="AN3" s="1">
        <f>IF(('[1]フォームの回答 1'!T3="ほとんどなかった"),1,(IF(('[1]フォームの回答 1'!T3="ときどきあった"),2,(IF(('[1]フォームの回答 1'!T3="しばしばあった"),3,(IF(('[1]フォームの回答 1'!T3="ほとんどいつもあった"),4,"")))))))</f>
        <v>3</v>
      </c>
      <c r="AO3" s="1">
        <f>IF(('[1]フォームの回答 1'!U3="ほとんどなかった"),1,(IF(('[1]フォームの回答 1'!U3="ときどきあった"),2,(IF(('[1]フォームの回答 1'!U3="しばしばあった"),3,(IF(('[1]フォームの回答 1'!U3="ほとんどいつもあった"),4,"")))))))</f>
        <v>3</v>
      </c>
      <c r="AP3" s="1">
        <f>IF(('[1]フォームの回答 1'!V3="ほとんどなかった"),1,(IF(('[1]フォームの回答 1'!V3="ときどきあった"),2,(IF(('[1]フォームの回答 1'!V3="しばしばあった"),3,(IF(('[1]フォームの回答 1'!V3="ほとんどいつもあった"),4,"")))))))</f>
        <v>3</v>
      </c>
      <c r="AQ3" s="1">
        <f>IF(('[1]フォームの回答 1'!W3="ほとんどなかった"),1,(IF(('[1]フォームの回答 1'!W3="ときどきあった"),2,(IF(('[1]フォームの回答 1'!W3="しばしばあった"),3,(IF(('[1]フォームの回答 1'!W3="ほとんどいつもあった"),4,"")))))))</f>
        <v>1</v>
      </c>
      <c r="AR3" s="1">
        <f>IF(('[1]フォームの回答 1'!X3="ほとんどなかった"),1,(IF(('[1]フォームの回答 1'!X3="ときどきあった"),2,(IF(('[1]フォームの回答 1'!X3="しばしばあった"),3,(IF(('[1]フォームの回答 1'!X3="ほとんどいつもあった"),4,"")))))))</f>
        <v>2</v>
      </c>
      <c r="AS3" s="1">
        <f>IF(('[1]フォームの回答 1'!Y3="ほとんどなかった"),1,(IF(('[1]フォームの回答 1'!Y3="ときどきあった"),2,(IF(('[1]フォームの回答 1'!Y3="しばしばあった"),3,(IF(('[1]フォームの回答 1'!Y3="ほとんどいつもあった"),4,"")))))))</f>
        <v>1</v>
      </c>
      <c r="AT3" s="1">
        <f>IF(('[1]フォームの回答 1'!Z3="ほとんどなかった"),1,(IF(('[1]フォームの回答 1'!Z3="ときどきあった"),2,(IF(('[1]フォームの回答 1'!Z3="しばしばあった"),3,(IF(('[1]フォームの回答 1'!Z3="ほとんどいつもあった"),4,"")))))))</f>
        <v>2</v>
      </c>
      <c r="AU3" s="1">
        <f>IF(('[1]フォームの回答 1'!AA3="ほとんどなかった"),1,(IF(('[1]フォームの回答 1'!AA3="ときどきあった"),2,(IF(('[1]フォームの回答 1'!AA3="しばしばあった"),3,(IF(('[1]フォームの回答 1'!AA3="ほとんどいつもあった"),4,"")))))))</f>
        <v>2</v>
      </c>
      <c r="AV3" s="1">
        <f>IF(('[1]フォームの回答 1'!AB3="ほとんどなかった"),1,(IF(('[1]フォームの回答 1'!AB3="ときどきばあった"),2,(IF(('[1]フォームの回答 1'!AB3="しばしばあった"),3,(IF(('[1]フォームの回答 1'!AB3="ほとんどいつもあった"),4,"")))))))</f>
        <v>2</v>
      </c>
      <c r="AW3" s="1">
        <f>IF(('[1]フォームの回答 1'!AC3="ほとんどなかった"),1,(IF(('[1]フォームの回答 1'!AC3="ときどきあった"),2,(IF(('[1]フォームの回答 1'!AC3="しばしばあった"),3,(IF(('[1]フォームの回答 1'!AC3="ほとんどいつもあった"),4,"")))))))</f>
        <v>2</v>
      </c>
      <c r="AX3" s="1">
        <f>IF(('[1]フォームの回答 1'!AD3="ほとんどなかった"),1,(IF(('[1]フォームの回答 1'!AD3="ときどきあった"),2,(IF(('[1]フォームの回答 1'!AD3="しばしばあった"),3,(IF(('[1]フォームの回答 1'!AD3="ほとんどいつもあった"),4,"")))))))</f>
        <v>1</v>
      </c>
      <c r="AY3" s="1">
        <f>IF(('[1]フォームの回答 1'!AE3="ほとんどなかった"),1,(IF(('[1]フォームの回答 1'!AE3="ときどきあった"),2,(IF(('[1]フォームの回答 1'!AE3="しばしばあった"),3,(IF(('[1]フォームの回答 1'!AE3="ほとんどいつもあった"),4,"")))))))</f>
        <v>1</v>
      </c>
      <c r="AZ3" s="1">
        <f>IF(('[1]フォームの回答 1'!AF3="ほとんどなかった"),1,(IF(('[1]フォームの回答 1'!AF3="ときどきあった"),2,(IF(('[1]フォームの回答 1'!AF3="しばしばあった"),3,(IF(('[1]フォームの回答 1'!AF3="ほとんどいつもあった"),4,"")))))))</f>
        <v>1</v>
      </c>
      <c r="BA3" s="1">
        <f>IF(('[1]フォームの回答 1'!AG3="ほとんどなかった"),1,(IF(('[1]フォームの回答 1'!AG3="ときどきあった"),2,(IF(('[1]フォームの回答 1'!AG3="しばしばあった"),3,(IF(('[1]フォームの回答 1'!AG3="ほとんどいつもあった"),4,"")))))))</f>
        <v>1</v>
      </c>
      <c r="BB3" s="1">
        <f>IF(('[1]フォームの回答 1'!AH3="ほとんどなかった"),1,(IF(('[1]フォームの回答 1'!AH3="ときどきあった"),2,(IF(('[1]フォームの回答 1'!AH3="しばしばあった"),3,(IF(('[1]フォームの回答 1'!AH3="ほとんどいつもあった"),4,"")))))))</f>
        <v>1</v>
      </c>
      <c r="BC3" s="1">
        <f>IF(('[1]フォームの回答 1'!AI3="ほとんどなかった"),1,(IF(('[1]フォームの回答 1'!AI3="ときどきあった"),2,(IF(('[1]フォームの回答 1'!AI3="しばしばあった"),3,(IF(('[1]フォームの回答 1'!AI3="ほとんどいつもあった"),4,"")))))))</f>
        <v>1</v>
      </c>
      <c r="BD3" s="1">
        <f>IF(('[1]フォームの回答 1'!AJ3="ほとんどなかった"),1,(IF(('[1]フォームの回答 1'!AJ3="ときどきあった"),2,(IF(('[1]フォームの回答 1'!AJ3="しばしばあった"),3,(IF(('[1]フォームの回答 1'!AJ3="ほとんどいつもあった"),4,"")))))))</f>
        <v>1</v>
      </c>
      <c r="BE3" s="1">
        <f>IF(('[1]フォームの回答 1'!AK3="ほとんどなかった"),1,(IF(('[1]フォームの回答 1'!AK3="ときどきあった"),2,(IF(('[1]フォームの回答 1'!AK3="しばしばあった"),3,(IF(('[1]フォームの回答 1'!AK3="ほとんどいつもあった"),4,"")))))))</f>
        <v>1</v>
      </c>
      <c r="BF3" s="1">
        <f>IF(('[1]フォームの回答 1'!AL3="ほとんどなかった"),1,(IF(('[1]フォームの回答 1'!AL3="ときどきあった"),2,(IF(('[1]フォームの回答 1'!AL3="しばしばあった"),3,(IF(('[1]フォームの回答 1'!AL3="ほとんどいつもあった"),4,"")))))))</f>
        <v>1</v>
      </c>
      <c r="BG3" s="1">
        <f>IF(('[1]フォームの回答 1'!AM3="ほとんどなかった"),1,(IF(('[1]フォームの回答 1'!AM3="ときどきあった"),2,(IF(('[1]フォームの回答 1'!AM3="しばしばあった"),3,(IF(('[1]フォームの回答 1'!AM3="ほとんどいつもあった"),4,"")))))))</f>
        <v>1</v>
      </c>
      <c r="BH3" s="1">
        <f>IF(('[1]フォームの回答 1'!AN3="ほとんどなかった"),1,(IF(('[1]フォームの回答 1'!AN3="ときどきあった"),2,(IF(('[1]フォームの回答 1'!AN3="しばしばあった"),3,(IF(('[1]フォームの回答 1'!AN3="ほとんどいつもあった"),4,"")))))))</f>
        <v>3</v>
      </c>
      <c r="BI3" s="1">
        <f>IF(('[1]フォームの回答 1'!AO3="ほとんどなかった"),1,(IF(('[1]フォームの回答 1'!AO3="ときどきあった"),2,(IF(('[1]フォームの回答 1'!AO3="しばしばあった"),3,(IF(('[1]フォームの回答 1'!AO3="ほとんどいつもあった"),4,"")))))))</f>
        <v>3</v>
      </c>
      <c r="BJ3" s="1">
        <f>IF(('[1]フォームの回答 1'!AP3="ほとんどなかった"),1,(IF(('[1]フォームの回答 1'!AP3="ときどきあった"),2,(IF(('[1]フォームの回答 1'!AP3="しばしばあった"),3,(IF(('[1]フォームの回答 1'!AP3="ほとんどいつもあった"),4,"")))))))</f>
        <v>3</v>
      </c>
      <c r="BK3" s="1">
        <f>IF(('[1]フォームの回答 1'!AQ3="ほとんどなかった"),1,(IF(('[1]フォームの回答 1'!AQ3="ときどきあった"),2,(IF(('[1]フォームの回答 1'!AQ3="しばしばあった"),3,(IF(('[1]フォームの回答 1'!AQ3="ほとんどいつもあった"),4,"")))))))</f>
        <v>4</v>
      </c>
      <c r="BL3" s="1">
        <f>IF(('[1]フォームの回答 1'!AR3="ほとんどなかった"),1,(IF(('[1]フォームの回答 1'!AR3="ときどきあった"),2,(IF(('[1]フォームの回答 1'!AR3="しばしばあった"),3,(IF(('[1]フォームの回答 1'!AR3="ほとんどいつもあった"),4,"")))))))</f>
        <v>1</v>
      </c>
      <c r="BM3" s="1">
        <f>IF(('[1]フォームの回答 1'!AS3="ほとんどなかった"),1,(IF(('[1]フォームの回答 1'!AS3="ときどきあった"),2,(IF(('[1]フォームの回答 1'!AS3="しばしばあった"),3,(IF(('[1]フォームの回答 1'!AS3="ほとんどいつもあった"),4,"")))))))</f>
        <v>4</v>
      </c>
      <c r="BN3" s="1">
        <f>IF(('[1]フォームの回答 1'!AT3="ほとんどなかった"),1,(IF(('[1]フォームの回答 1'!AT3="ときどきあった"),2,(IF(('[1]フォームの回答 1'!AT3="しばしばあった"),3,(IF(('[1]フォームの回答 1'!AT3="ほとんどいつもあった"),4,"")))))))</f>
        <v>1</v>
      </c>
      <c r="BO3" s="1">
        <f>IF(('[1]フォームの回答 1'!AU3="ほとんどなかった"),1,(IF(('[1]フォームの回答 1'!AU3="ときどきあった"),2,(IF(('[1]フォームの回答 1'!AU3="しばしばあった"),3,(IF(('[1]フォームの回答 1'!AU3="ほとんどいつもあった"),4,"")))))))</f>
        <v>4</v>
      </c>
      <c r="BP3" s="1">
        <f>IF(('[1]フォームの回答 1'!AV3="ほとんどなかった"),1,(IF(('[1]フォームの回答 1'!AV3="ときどきあった"),2,(IF(('[1]フォームの回答 1'!AV3="しばしばあった"),3,(IF(('[1]フォームの回答 1'!AV3="ほとんどいつもあった"),4,"")))))))</f>
        <v>3</v>
      </c>
      <c r="BQ3" s="1">
        <f t="shared" ref="BQ3:BQ31" si="32">$AN3+$AO3+$AP3</f>
        <v>9</v>
      </c>
      <c r="BR3" s="1">
        <f t="shared" ref="BR3:BR31" si="33">IF((BQ3=3),5,(IF(AND(BQ3&gt;=4,BQ3&lt;=5),4,(IF(AND(BQ3&gt;=6,BQ3&lt;=7),3,(IF(AND(BQ3&gt;=8,BQ3&lt;=9),2,IF(BQ3&gt;=10,1,""))))))))</f>
        <v>2</v>
      </c>
      <c r="BS3" s="1">
        <f t="shared" ref="BS3:BS31" si="34">$AQ3+$AR3+$AS3</f>
        <v>4</v>
      </c>
      <c r="BT3" s="1">
        <f t="shared" si="4"/>
        <v>2</v>
      </c>
      <c r="BU3" s="1">
        <f t="shared" si="5"/>
        <v>6</v>
      </c>
      <c r="BV3" s="1">
        <f t="shared" si="6"/>
        <v>3</v>
      </c>
      <c r="BW3" s="1">
        <f t="shared" ref="BW3:BW31" si="35">$AW3+$AX3+$AY3</f>
        <v>4</v>
      </c>
      <c r="BX3" s="1">
        <f t="shared" si="7"/>
        <v>2</v>
      </c>
      <c r="BY3" s="1">
        <f t="shared" ref="BY3:BY31" si="36">SUM($AZ3:$BE3)</f>
        <v>6</v>
      </c>
      <c r="BZ3" s="1">
        <f t="shared" si="8"/>
        <v>1</v>
      </c>
      <c r="CA3" s="1">
        <f t="shared" ref="CA3:CA31" si="37">SUM($BF3:$BP3)</f>
        <v>28</v>
      </c>
      <c r="CB3" s="1">
        <f t="shared" si="9"/>
        <v>5</v>
      </c>
      <c r="CC3" s="1">
        <f>IF(('[1]フォームの回答 1'!AW3="非常に"),1,(IF(('[1]フォームの回答 1'!AW3="かなり"),2,(IF(('[1]フォームの回答 1'!AW3="多少"),3,(IF(('[1]フォームの回答 1'!AW3="全くない"),4,"")))))))</f>
        <v>2</v>
      </c>
      <c r="CD3" s="1">
        <f>IF(('[1]フォームの回答 1'!AX3="非常に"),1,(IF(('[1]フォームの回答 1'!AX3="かなり"),2,(IF(('[1]フォームの回答 1'!AX3="多少"),3,(IF(('[1]フォームの回答 1'!AX3="全くない"),4,"")))))))</f>
        <v>1</v>
      </c>
      <c r="CE3" s="1">
        <f>IF(('[1]フォームの回答 1'!AY3="非常に"),1,(IF(('[1]フォームの回答 1'!AY3="かなり"),2,(IF(('[1]フォームの回答 1'!AY3="多少"),3,(IF(('[1]フォームの回答 1'!AY3="全くない"),4,"")))))))</f>
        <v>1</v>
      </c>
      <c r="CF3" s="1">
        <f>IF(('[1]フォームの回答 1'!AZ3="非常に"),1,(IF(('[1]フォームの回答 1'!AZ3="かなり"),2,(IF(('[1]フォームの回答 1'!AZ3="多少"),3,(IF(('[1]フォームの回答 1'!AZ3="全くない"),4,"")))))))</f>
        <v>1</v>
      </c>
      <c r="CG3" s="1">
        <f>IF(('[1]フォームの回答 1'!BA3="非常に"),1,(IF(('[1]フォームの回答 1'!BA3="かなり"),2,(IF(('[1]フォームの回答 1'!BA3="多少"),3,(IF(('[1]フォームの回答 1'!BA3="全くない"),4,"")))))))</f>
        <v>1</v>
      </c>
      <c r="CH3" s="1">
        <f>IF(('[1]フォームの回答 1'!BB3="非常に"),1,(IF(('[1]フォームの回答 1'!BB3="かなり"),2,(IF(('[1]フォームの回答 1'!BB3="多少"),3,(IF(('[1]フォームの回答 1'!BB3="全くない"),4,"")))))))</f>
        <v>1</v>
      </c>
      <c r="CI3" s="1">
        <f>IF(('[1]フォームの回答 1'!BC3="非常に"),1,(IF(('[1]フォームの回答 1'!BC3="かなり"),2,(IF(('[1]フォームの回答 1'!BC3="多少"),3,(IF(('[1]フォームの回答 1'!BC3="全くない"),4,"")))))))</f>
        <v>1</v>
      </c>
      <c r="CJ3" s="1">
        <f>IF(('[1]フォームの回答 1'!BD3="非常に"),1,(IF(('[1]フォームの回答 1'!BD3="かなり"),2,(IF(('[1]フォームの回答 1'!BD3="多少"),3,(IF(('[1]フォームの回答 1'!BD3="全くない"),4,"")))))))</f>
        <v>1</v>
      </c>
      <c r="CK3" s="1">
        <f>IF(('[1]フォームの回答 1'!BE3="非常に"),1,(IF(('[1]フォームの回答 1'!BE3="かなり"),2,(IF(('[1]フォームの回答 1'!BE3="多少"),3,(IF(('[1]フォームの回答 1'!BE3="全くない"),4,"")))))))</f>
        <v>1</v>
      </c>
      <c r="CL3" s="1">
        <f>IF(('[1]フォームの回答 1'!BF3="満足"),1,(IF(('[1]フォームの回答 1'!BF3="まぁ満足"),2,(IF(('[1]フォームの回答 1'!BF3="やや満足"),3,(IF(('[1]フォームの回答 1'!BF3="不満足"),4,"")))))))</f>
        <v>1</v>
      </c>
      <c r="CM3" s="1">
        <f>IF(('[1]フォームの回答 1'!BG3="満足"),1,(IF(('[1]フォームの回答 1'!BG3="まぁ満足"),2,(IF(('[1]フォームの回答 1'!BG3="やや満足"),3,(IF(('[1]フォームの回答 1'!BG3="不満足"),4,"")))))))</f>
        <v>1</v>
      </c>
      <c r="CN3" s="1">
        <f t="shared" ref="CN3:CN31" si="38">15-($CC3+$CF3+$CI3)</f>
        <v>11</v>
      </c>
      <c r="CO3" s="1">
        <f t="shared" si="10"/>
        <v>1</v>
      </c>
      <c r="CP3" s="1">
        <f t="shared" ref="CP3:CP31" si="39">15-($CD3+$CG3+$CJ3)</f>
        <v>12</v>
      </c>
      <c r="CQ3" s="1">
        <f t="shared" si="11"/>
        <v>2</v>
      </c>
      <c r="CR3" s="1">
        <f t="shared" ref="CR3:CR31" si="40">15-($CE3+$CH3+$CK3)</f>
        <v>12</v>
      </c>
      <c r="CS3" s="1">
        <f t="shared" ref="CS3:CS31" si="41">IF((CR3&lt;=6),5,(IF(AND(CR3&gt;=7,CR3&lt;=8),4,IF((CR3=9),3,IF(AND(CR3&gt;=10,CR3&lt;=11),2,IF(CR3&gt;=12,1,""))))))</f>
        <v>1</v>
      </c>
      <c r="CT3" s="1">
        <f t="shared" ref="CT3:CT31" si="42">10-($CL3+$CM3)</f>
        <v>8</v>
      </c>
      <c r="CU3" s="1">
        <f t="shared" si="12"/>
        <v>1</v>
      </c>
      <c r="CV3" s="1">
        <f t="shared" si="13"/>
        <v>15</v>
      </c>
      <c r="CW3" s="1">
        <f t="shared" si="14"/>
        <v>22</v>
      </c>
      <c r="CX3" s="1">
        <f t="shared" si="15"/>
        <v>4</v>
      </c>
      <c r="CY3" s="29" t="str">
        <f t="shared" ref="CY3:CY31" si="43">IF((CV3&gt;=24),"高",IF(AND(CV3&gt;=19,CV3&lt;=23,(CW3+CX3)&gt;=46),"高",IF(AND(CV3&gt;=19,CV3&lt;=23,(CW3+CX3)&gt;=12,(CW3+CX3)&lt;=45),"中①",IF(AND(CV3&gt;=6,CV3&lt;=18,(CW3+CX3)&gt;=46),"中②","低"))))</f>
        <v>低</v>
      </c>
      <c r="CZ3" s="1">
        <v>0.7</v>
      </c>
      <c r="DA3" s="2">
        <f t="shared" si="16"/>
        <v>0.30000000000000004</v>
      </c>
      <c r="DB3" s="1">
        <f>IF(('[1]フォームの回答 1'!BI3="いつもより寝つきは良い"),0,(IF(('[1]フォームの回答 1'!BI3="いつもより少し時間がかかった"),1,(IF(('[1]フォームの回答 1'!BI3="いつもよりかなり時間がかかった"),2,(IF(('[1]フォームの回答 1'!BI3="いつもより非常に時間がかかった、あるいは全く眠れなかった"),3,"")))))))</f>
        <v>2</v>
      </c>
      <c r="DC3" s="1">
        <f>IF(('[1]フォームの回答 1'!BJ3="問題になるほどのことはなかった"),0,(IF(('[1]フォームの回答 1'!BJ3="少し困ることがある"),1,(IF(('[1]フォームの回答 1'!BJ3="かなり困っている"),2,(IF(('[1]フォームの回答 1'!BJ3="深刻な状態、あるいは全く眠れなかった"),3,"")))))))</f>
        <v>2</v>
      </c>
      <c r="DD3" s="1">
        <f>IF(('[1]フォームの回答 1'!BK3="そのようなことはなかった"),0,(IF(('[1]フォームの回答 1'!BK3="少し早かった"),1,(IF(('[1]フォームの回答 1'!BK3="かなり早かった"),2,(IF(('[1]フォームの回答 1'!BK3="非常に早かった、あるいは全く眠れなかった"),3,"")))))))</f>
        <v>0</v>
      </c>
      <c r="DE3" s="1">
        <f>IF(('[1]フォームの回答 1'!BL3="十分である"),0,(IF(('[1]フォームの回答 1'!BL3="少し足りない"),1,(IF(('[1]フォームの回答 1'!BL3="かなり足りない"),2,(IF(('[1]フォームの回答 1'!BL3="全く足りない、あるいは全く眠れなかった"),3,"")))))))</f>
        <v>1</v>
      </c>
      <c r="DF3" s="1">
        <f>IF(('[1]フォームの回答 1'!BM3="満足している"),0,(IF(('[1]フォームの回答 1'!BM3="少し不満である"),1,(IF(('[1]フォームの回答 1'!BM3="かなり不満である"),2,(IF(('[1]フォームの回答 1'!BM3="非常に不満である、あるいは全く眠れなかった"),3,"")))))))</f>
        <v>2</v>
      </c>
      <c r="DG3" s="1">
        <f>IF(('[1]フォームの回答 1'!BN3="いつもどおり"),0,(IF(('[1]フォームの回答 1'!BN3="少し滅入った"),1,(IF(('[1]フォームの回答 1'!BN3="かなり滅入った"),2,(IF(('[1]フォームの回答 1'!BN3="非常に滅入った"),3,"")))))))</f>
        <v>0</v>
      </c>
      <c r="DH3" s="1">
        <f>IF(('[1]フォームの回答 1'!BO3="いつもどおり"),0,(IF(('[1]フォームの回答 1'!BO3="少し低下した"),1,(IF(('[1]フォームの回答 1'!BO3="かなり低下した"),2,(IF(('[1]フォームの回答 1'!BO3="非常に低下した"),3,"")))))))</f>
        <v>0</v>
      </c>
      <c r="DI3" s="1">
        <f>IF(('[1]フォームの回答 1'!BP3="全くなかった"),0,(IF(('[1]フォームの回答 1'!BP3="少しあった"),1,(IF(('[1]フォームの回答 1'!BP3="かなりあった"),2,(IF(('[1]フォームの回答 1'!BP3="激しかった"),3,"")))))))</f>
        <v>1</v>
      </c>
      <c r="DJ3">
        <f t="shared" ref="DJ3:DJ31" si="44">SUM(DB3:DI3)</f>
        <v>8</v>
      </c>
      <c r="DK3" s="4" t="str">
        <f t="shared" ref="DK3:DK31" si="45">IF((DJ3&lt;=3),"低",(IF(AND(DJ3&gt;=4,DJ3&lt;=5),"中",(IF((DJ3&gt;=6),"高","")))))</f>
        <v>高</v>
      </c>
      <c r="DL3" s="5">
        <v>0</v>
      </c>
      <c r="DM3" s="5">
        <v>0</v>
      </c>
      <c r="DN3" s="5">
        <v>4.9000000000000004</v>
      </c>
      <c r="DO3" s="5">
        <v>4.9000000000000004</v>
      </c>
      <c r="DP3" s="5"/>
      <c r="DQ3" s="5"/>
      <c r="DR3" s="43">
        <v>0.73599999999999999</v>
      </c>
      <c r="DS3" s="43">
        <v>142.71</v>
      </c>
      <c r="DT3" s="5">
        <v>0.52</v>
      </c>
      <c r="DU3" s="5">
        <v>26</v>
      </c>
      <c r="DV3" s="5" t="s">
        <v>115</v>
      </c>
    </row>
    <row r="4" spans="1:126" ht="14">
      <c r="A4" s="1">
        <v>293</v>
      </c>
      <c r="B4" s="24" t="s">
        <v>139</v>
      </c>
      <c r="C4" s="24">
        <v>33759</v>
      </c>
      <c r="D4" s="38">
        <f t="shared" si="17"/>
        <v>32</v>
      </c>
      <c r="E4" s="1">
        <f>IF(('[1]フォームの回答 1'!C4="そうだ"),1,(IF(('[1]フォームの回答 1'!C4="まぁそうだ"),2,(IF(('[1]フォームの回答 1'!C4="ややちがう"),3,(IF(('[1]フォームの回答 1'!C4="ちがう"),4,"")))))))</f>
        <v>3</v>
      </c>
      <c r="F4" s="1">
        <f>IF(('[1]フォームの回答 1'!D4="そうだ"),1,(IF(('[1]フォームの回答 1'!D4="まぁそうだ"),2,(IF(('[1]フォームの回答 1'!D4="ややちがう"),3,(IF(('[1]フォームの回答 1'!D4="ちがう"),4,"")))))))</f>
        <v>2</v>
      </c>
      <c r="G4" s="1">
        <f>IF(('[1]フォームの回答 1'!E4="そうだ"),1,(IF(('[1]フォームの回答 1'!E4="まぁそうだ"),2,(IF(('[1]フォームの回答 1'!E4="ややちがう"),3,(IF(('[1]フォームの回答 1'!E4="ちがう"),4,"")))))))</f>
        <v>1</v>
      </c>
      <c r="H4" s="1">
        <f>IF(('[1]フォームの回答 1'!F4="そうだ"),1,(IF(('[1]フォームの回答 1'!F4="まぁそうだ"),2,(IF(('[1]フォームの回答 1'!F4="ややちがう"),3,(IF(('[1]フォームの回答 1'!F4="ちがう"),4,"")))))))</f>
        <v>2</v>
      </c>
      <c r="I4" s="1">
        <f>IF(('[1]フォームの回答 1'!G4="そうだ"),1,(IF(('[1]フォームの回答 1'!G4="まぁそうだ"),2,(IF(('[1]フォームの回答 1'!G4="ややちがう"),3,(IF(('[1]フォームの回答 1'!G4="ちがう"),4,"")))))))</f>
        <v>2</v>
      </c>
      <c r="J4" s="1">
        <f>IF(('[1]フォームの回答 1'!H4="そうだ"),1,(IF(('[1]フォームの回答 1'!H4="まぁそうだ"),2,(IF(('[1]フォームの回答 1'!H4="ややちがう"),3,(IF(('[1]フォームの回答 1'!H4="ちがう"),4,"")))))))</f>
        <v>3</v>
      </c>
      <c r="K4" s="1">
        <f>IF(('[1]フォームの回答 1'!I4="そうだ"),1,(IF(('[1]フォームの回答 1'!I4="まぁそうだ"),2,(IF(('[1]フォームの回答 1'!I4="ややちがう"),3,(IF(('[1]フォームの回答 1'!I4="ちがう"),4,"")))))))</f>
        <v>4</v>
      </c>
      <c r="L4" s="1">
        <f>IF(('[1]フォームの回答 1'!J4="そうだ"),1,(IF(('[1]フォームの回答 1'!J4="まぁそうだ"),2,(IF(('[1]フォームの回答 1'!J4="ややちがう"),3,(IF(('[1]フォームの回答 1'!J4="ちがう"),4,"")))))))</f>
        <v>2</v>
      </c>
      <c r="M4" s="1">
        <f>IF(('[1]フォームの回答 1'!K4="そうだ"),1,(IF(('[1]フォームの回答 1'!K4="まぁそうだ"),2,(IF(('[1]フォームの回答 1'!K4="ややちがう"),3,(IF(('[1]フォームの回答 1'!K4="ちがう"),4,"")))))))</f>
        <v>2</v>
      </c>
      <c r="N4" s="1">
        <f>IF(('[1]フォームの回答 1'!L4="そうだ"),1,(IF(('[1]フォームの回答 1'!L4="まぁそうだ"),2,(IF(('[1]フォームの回答 1'!L4="ややちがう"),3,(IF(('[1]フォームの回答 1'!L4="ちがう"),4,"")))))))</f>
        <v>3</v>
      </c>
      <c r="O4" s="1">
        <f>IF(('[1]フォームの回答 1'!M4="そうだ"),1,(IF(('[1]フォームの回答 1'!M4="まぁそうだ"),2,(IF(('[1]フォームの回答 1'!M4="ややちがう"),3,(IF(('[1]フォームの回答 1'!M4="ちがう"),4,"")))))))</f>
        <v>3</v>
      </c>
      <c r="P4" s="1">
        <f>IF(('[1]フォームの回答 1'!N4="そうだ"),1,(IF(('[1]フォームの回答 1'!N4="まぁそうだ"),2,(IF(('[1]フォームの回答 1'!N4="ややちがう"),3,(IF(('[1]フォームの回答 1'!N4="ちがう"),4,"")))))))</f>
        <v>2</v>
      </c>
      <c r="Q4" s="1">
        <f>IF(('[1]フォームの回答 1'!O4="そうだ"),1,(IF(('[1]フォームの回答 1'!O4="まぁそうだ"),2,(IF(('[1]フォームの回答 1'!O4="ややちがう"),3,(IF(('[1]フォームの回答 1'!O4="ちがう"),4,"")))))))</f>
        <v>4</v>
      </c>
      <c r="R4" s="1">
        <f>IF(('[1]フォームの回答 1'!P4="そうだ"),1,(IF(('[1]フォームの回答 1'!P4="まぁそうだ"),2,(IF(('[1]フォームの回答 1'!P4="ややちがう"),3,(IF(('[1]フォームの回答 1'!P4="ちがう"),4,"")))))))</f>
        <v>1</v>
      </c>
      <c r="S4" s="1">
        <f>IF(('[1]フォームの回答 1'!Q4="そうだ"),1,(IF(('[1]フォームの回答 1'!Q4="まぁそうだ"),2,(IF(('[1]フォームの回答 1'!Q4="ややちがう"),3,(IF(('[1]フォームの回答 1'!Q4="ちがう"),4,"")))))))</f>
        <v>2</v>
      </c>
      <c r="T4" s="1">
        <f>IF(('[1]フォームの回答 1'!R4="そうだ"),1,(IF(('[1]フォームの回答 1'!R4="まぁそうだ"),2,(IF(('[1]フォームの回答 1'!R4="ややちがう"),3,(IF(('[1]フォームの回答 1'!R4="ちがう"),4,"")))))))</f>
        <v>2</v>
      </c>
      <c r="U4" s="1">
        <f>IF(('[1]フォームの回答 1'!S4="そうだ"),1,(IF(('[1]フォームの回答 1'!S4="まぁそうだ"),2,(IF(('[1]フォームの回答 1'!S4="ややちがう"),3,(IF(('[1]フォームの回答 1'!S4="ちがう"),4,"")))))))</f>
        <v>3</v>
      </c>
      <c r="V4" s="1">
        <f t="shared" si="18"/>
        <v>9</v>
      </c>
      <c r="W4" s="1">
        <f t="shared" si="0"/>
        <v>3</v>
      </c>
      <c r="X4" s="1">
        <f t="shared" si="19"/>
        <v>8</v>
      </c>
      <c r="Y4" s="1">
        <f t="shared" si="1"/>
        <v>3</v>
      </c>
      <c r="Z4" s="1">
        <f t="shared" si="20"/>
        <v>1</v>
      </c>
      <c r="AA4" s="1">
        <f t="shared" si="21"/>
        <v>2</v>
      </c>
      <c r="AB4" s="1">
        <f t="shared" si="22"/>
        <v>5</v>
      </c>
      <c r="AC4" s="1">
        <f t="shared" si="23"/>
        <v>2</v>
      </c>
      <c r="AD4" s="1">
        <f t="shared" si="24"/>
        <v>3</v>
      </c>
      <c r="AE4" s="1">
        <f t="shared" si="2"/>
        <v>4</v>
      </c>
      <c r="AF4" s="1">
        <f t="shared" si="25"/>
        <v>8</v>
      </c>
      <c r="AG4" s="1">
        <f t="shared" si="3"/>
        <v>3</v>
      </c>
      <c r="AH4" s="1">
        <f t="shared" si="26"/>
        <v>3</v>
      </c>
      <c r="AI4" s="1">
        <f t="shared" si="27"/>
        <v>3</v>
      </c>
      <c r="AJ4" s="1">
        <f t="shared" si="28"/>
        <v>3</v>
      </c>
      <c r="AK4" s="1">
        <f t="shared" si="29"/>
        <v>3</v>
      </c>
      <c r="AL4" s="1">
        <f t="shared" si="30"/>
        <v>2</v>
      </c>
      <c r="AM4" s="1">
        <f t="shared" si="31"/>
        <v>4</v>
      </c>
      <c r="AN4" s="1">
        <f>IF(('[1]フォームの回答 1'!T4="ほとんどなかった"),1,(IF(('[1]フォームの回答 1'!T4="ときどきあった"),2,(IF(('[1]フォームの回答 1'!T4="しばしばあった"),3,(IF(('[1]フォームの回答 1'!T4="ほとんどいつもあった"),4,"")))))))</f>
        <v>1</v>
      </c>
      <c r="AO4" s="1">
        <f>IF(('[1]フォームの回答 1'!U4="ほとんどなかった"),1,(IF(('[1]フォームの回答 1'!U4="ときどきあった"),2,(IF(('[1]フォームの回答 1'!U4="しばしばあった"),3,(IF(('[1]フォームの回答 1'!U4="ほとんどいつもあった"),4,"")))))))</f>
        <v>1</v>
      </c>
      <c r="AP4" s="1">
        <f>IF(('[1]フォームの回答 1'!V4="ほとんどなかった"),1,(IF(('[1]フォームの回答 1'!V4="ときどきあった"),2,(IF(('[1]フォームの回答 1'!V4="しばしばあった"),3,(IF(('[1]フォームの回答 1'!V4="ほとんどいつもあった"),4,"")))))))</f>
        <v>1</v>
      </c>
      <c r="AQ4" s="1">
        <f>IF(('[1]フォームの回答 1'!W4="ほとんどなかった"),1,(IF(('[1]フォームの回答 1'!W4="ときどきあった"),2,(IF(('[1]フォームの回答 1'!W4="しばしばあった"),3,(IF(('[1]フォームの回答 1'!W4="ほとんどいつもあった"),4,"")))))))</f>
        <v>2</v>
      </c>
      <c r="AR4" s="1">
        <f>IF(('[1]フォームの回答 1'!X4="ほとんどなかった"),1,(IF(('[1]フォームの回答 1'!X4="ときどきあった"),2,(IF(('[1]フォームの回答 1'!X4="しばしばあった"),3,(IF(('[1]フォームの回答 1'!X4="ほとんどいつもあった"),4,"")))))))</f>
        <v>2</v>
      </c>
      <c r="AS4" s="1">
        <f>IF(('[1]フォームの回答 1'!Y4="ほとんどなかった"),1,(IF(('[1]フォームの回答 1'!Y4="ときどきあった"),2,(IF(('[1]フォームの回答 1'!Y4="しばしばあった"),3,(IF(('[1]フォームの回答 1'!Y4="ほとんどいつもあった"),4,"")))))))</f>
        <v>2</v>
      </c>
      <c r="AT4" s="1">
        <f>IF(('[1]フォームの回答 1'!Z4="ほとんどなかった"),1,(IF(('[1]フォームの回答 1'!Z4="ときどきあった"),2,(IF(('[1]フォームの回答 1'!Z4="しばしばあった"),3,(IF(('[1]フォームの回答 1'!Z4="ほとんどいつもあった"),4,"")))))))</f>
        <v>3</v>
      </c>
      <c r="AU4" s="1">
        <f>IF(('[1]フォームの回答 1'!AA4="ほとんどなかった"),1,(IF(('[1]フォームの回答 1'!AA4="ときどきあった"),2,(IF(('[1]フォームの回答 1'!AA4="しばしばあった"),3,(IF(('[1]フォームの回答 1'!AA4="ほとんどいつもあった"),4,"")))))))</f>
        <v>4</v>
      </c>
      <c r="AV4" s="1">
        <f>IF(('[1]フォームの回答 1'!AB4="ほとんどなかった"),1,(IF(('[1]フォームの回答 1'!AB4="ときどきばあった"),2,(IF(('[1]フォームの回答 1'!AB4="しばしばあった"),3,(IF(('[1]フォームの回答 1'!AB4="ほとんどいつもあった"),4,"")))))))</f>
        <v>4</v>
      </c>
      <c r="AW4" s="1">
        <f>IF(('[1]フォームの回答 1'!AC4="ほとんどなかった"),1,(IF(('[1]フォームの回答 1'!AC4="ときどきあった"),2,(IF(('[1]フォームの回答 1'!AC4="しばしばあった"),3,(IF(('[1]フォームの回答 1'!AC4="ほとんどいつもあった"),4,"")))))))</f>
        <v>2</v>
      </c>
      <c r="AX4" s="1">
        <f>IF(('[1]フォームの回答 1'!AD4="ほとんどなかった"),1,(IF(('[1]フォームの回答 1'!AD4="ときどきあった"),2,(IF(('[1]フォームの回答 1'!AD4="しばしばあった"),3,(IF(('[1]フォームの回答 1'!AD4="ほとんどいつもあった"),4,"")))))))</f>
        <v>3</v>
      </c>
      <c r="AY4" s="1">
        <f>IF(('[1]フォームの回答 1'!AE4="ほとんどなかった"),1,(IF(('[1]フォームの回答 1'!AE4="ときどきあった"),2,(IF(('[1]フォームの回答 1'!AE4="しばしばあった"),3,(IF(('[1]フォームの回答 1'!AE4="ほとんどいつもあった"),4,"")))))))</f>
        <v>3</v>
      </c>
      <c r="AZ4" s="1">
        <f>IF(('[1]フォームの回答 1'!AF4="ほとんどなかった"),1,(IF(('[1]フォームの回答 1'!AF4="ときどきあった"),2,(IF(('[1]フォームの回答 1'!AF4="しばしばあった"),3,(IF(('[1]フォームの回答 1'!AF4="ほとんどいつもあった"),4,"")))))))</f>
        <v>3</v>
      </c>
      <c r="BA4" s="1">
        <f>IF(('[1]フォームの回答 1'!AG4="ほとんどなかった"),1,(IF(('[1]フォームの回答 1'!AG4="ときどきあった"),2,(IF(('[1]フォームの回答 1'!AG4="しばしばあった"),3,(IF(('[1]フォームの回答 1'!AG4="ほとんどいつもあった"),4,"")))))))</f>
        <v>4</v>
      </c>
      <c r="BB4" s="1">
        <f>IF(('[1]フォームの回答 1'!AH4="ほとんどなかった"),1,(IF(('[1]フォームの回答 1'!AH4="ときどきあった"),2,(IF(('[1]フォームの回答 1'!AH4="しばしばあった"),3,(IF(('[1]フォームの回答 1'!AH4="ほとんどいつもあった"),4,"")))))))</f>
        <v>4</v>
      </c>
      <c r="BC4" s="1">
        <f>IF(('[1]フォームの回答 1'!AI4="ほとんどなかった"),1,(IF(('[1]フォームの回答 1'!AI4="ときどきあった"),2,(IF(('[1]フォームの回答 1'!AI4="しばしばあった"),3,(IF(('[1]フォームの回答 1'!AI4="ほとんどいつもあった"),4,"")))))))</f>
        <v>3</v>
      </c>
      <c r="BD4" s="1">
        <f>IF(('[1]フォームの回答 1'!AJ4="ほとんどなかった"),1,(IF(('[1]フォームの回答 1'!AJ4="ときどきあった"),2,(IF(('[1]フォームの回答 1'!AJ4="しばしばあった"),3,(IF(('[1]フォームの回答 1'!AJ4="ほとんどいつもあった"),4,"")))))))</f>
        <v>2</v>
      </c>
      <c r="BE4" s="1">
        <f>IF(('[1]フォームの回答 1'!AK4="ほとんどなかった"),1,(IF(('[1]フォームの回答 1'!AK4="ときどきあった"),2,(IF(('[1]フォームの回答 1'!AK4="しばしばあった"),3,(IF(('[1]フォームの回答 1'!AK4="ほとんどいつもあった"),4,"")))))))</f>
        <v>3</v>
      </c>
      <c r="BF4" s="1">
        <f>IF(('[1]フォームの回答 1'!AL4="ほとんどなかった"),1,(IF(('[1]フォームの回答 1'!AL4="ときどきあった"),2,(IF(('[1]フォームの回答 1'!AL4="しばしばあった"),3,(IF(('[1]フォームの回答 1'!AL4="ほとんどいつもあった"),4,"")))))))</f>
        <v>1</v>
      </c>
      <c r="BG4" s="1">
        <f>IF(('[1]フォームの回答 1'!AM4="ほとんどなかった"),1,(IF(('[1]フォームの回答 1'!AM4="ときどきあった"),2,(IF(('[1]フォームの回答 1'!AM4="しばしばあった"),3,(IF(('[1]フォームの回答 1'!AM4="ほとんどいつもあった"),4,"")))))))</f>
        <v>2</v>
      </c>
      <c r="BH4" s="1">
        <f>IF(('[1]フォームの回答 1'!AN4="ほとんどなかった"),1,(IF(('[1]フォームの回答 1'!AN4="ときどきあった"),2,(IF(('[1]フォームの回答 1'!AN4="しばしばあった"),3,(IF(('[1]フォームの回答 1'!AN4="ほとんどいつもあった"),4,"")))))))</f>
        <v>2</v>
      </c>
      <c r="BI4" s="1">
        <f>IF(('[1]フォームの回答 1'!AO4="ほとんどなかった"),1,(IF(('[1]フォームの回答 1'!AO4="ときどきあった"),2,(IF(('[1]フォームの回答 1'!AO4="しばしばあった"),3,(IF(('[1]フォームの回答 1'!AO4="ほとんどいつもあった"),4,"")))))))</f>
        <v>3</v>
      </c>
      <c r="BJ4" s="1">
        <f>IF(('[1]フォームの回答 1'!AP4="ほとんどなかった"),1,(IF(('[1]フォームの回答 1'!AP4="ときどきあった"),2,(IF(('[1]フォームの回答 1'!AP4="しばしばあった"),3,(IF(('[1]フォームの回答 1'!AP4="ほとんどいつもあった"),4,"")))))))</f>
        <v>2</v>
      </c>
      <c r="BK4" s="1">
        <f>IF(('[1]フォームの回答 1'!AQ4="ほとんどなかった"),1,(IF(('[1]フォームの回答 1'!AQ4="ときどきあった"),2,(IF(('[1]フォームの回答 1'!AQ4="しばしばあった"),3,(IF(('[1]フォームの回答 1'!AQ4="ほとんどいつもあった"),4,"")))))))</f>
        <v>3</v>
      </c>
      <c r="BL4" s="1">
        <f>IF(('[1]フォームの回答 1'!AR4="ほとんどなかった"),1,(IF(('[1]フォームの回答 1'!AR4="ときどきあった"),2,(IF(('[1]フォームの回答 1'!AR4="しばしばあった"),3,(IF(('[1]フォームの回答 1'!AR4="ほとんどいつもあった"),4,"")))))))</f>
        <v>2</v>
      </c>
      <c r="BM4" s="1">
        <f>IF(('[1]フォームの回答 1'!AS4="ほとんどなかった"),1,(IF(('[1]フォームの回答 1'!AS4="ときどきあった"),2,(IF(('[1]フォームの回答 1'!AS4="しばしばあった"),3,(IF(('[1]フォームの回答 1'!AS4="ほとんどいつもあった"),4,"")))))))</f>
        <v>3</v>
      </c>
      <c r="BN4" s="1">
        <f>IF(('[1]フォームの回答 1'!AT4="ほとんどなかった"),1,(IF(('[1]フォームの回答 1'!AT4="ときどきあった"),2,(IF(('[1]フォームの回答 1'!AT4="しばしばあった"),3,(IF(('[1]フォームの回答 1'!AT4="ほとんどいつもあった"),4,"")))))))</f>
        <v>4</v>
      </c>
      <c r="BO4" s="1">
        <f>IF(('[1]フォームの回答 1'!AU4="ほとんどなかった"),1,(IF(('[1]フォームの回答 1'!AU4="ときどきあった"),2,(IF(('[1]フォームの回答 1'!AU4="しばしばあった"),3,(IF(('[1]フォームの回答 1'!AU4="ほとんどいつもあった"),4,"")))))))</f>
        <v>2</v>
      </c>
      <c r="BP4" s="1">
        <f>IF(('[1]フォームの回答 1'!AV4="ほとんどなかった"),1,(IF(('[1]フォームの回答 1'!AV4="ときどきあった"),2,(IF(('[1]フォームの回答 1'!AV4="しばしばあった"),3,(IF(('[1]フォームの回答 1'!AV4="ほとんどいつもあった"),4,"")))))))</f>
        <v>2</v>
      </c>
      <c r="BQ4" s="1">
        <f t="shared" si="32"/>
        <v>3</v>
      </c>
      <c r="BR4" s="1">
        <f t="shared" si="33"/>
        <v>5</v>
      </c>
      <c r="BS4" s="1">
        <f t="shared" si="34"/>
        <v>6</v>
      </c>
      <c r="BT4" s="1">
        <f t="shared" si="4"/>
        <v>3</v>
      </c>
      <c r="BU4" s="1">
        <f t="shared" si="5"/>
        <v>11</v>
      </c>
      <c r="BV4" s="1">
        <f t="shared" si="6"/>
        <v>5</v>
      </c>
      <c r="BW4" s="1">
        <f t="shared" si="35"/>
        <v>8</v>
      </c>
      <c r="BX4" s="1">
        <f t="shared" si="7"/>
        <v>4</v>
      </c>
      <c r="BY4" s="1">
        <f t="shared" si="36"/>
        <v>19</v>
      </c>
      <c r="BZ4" s="1">
        <f t="shared" si="8"/>
        <v>5</v>
      </c>
      <c r="CA4" s="1">
        <f t="shared" si="37"/>
        <v>26</v>
      </c>
      <c r="CB4" s="1">
        <f t="shared" si="9"/>
        <v>4</v>
      </c>
      <c r="CC4" s="1">
        <f>IF(('[1]フォームの回答 1'!AW4="非常に"),1,(IF(('[1]フォームの回答 1'!AW4="かなり"),2,(IF(('[1]フォームの回答 1'!AW4="多少"),3,(IF(('[1]フォームの回答 1'!AW4="全くない"),4,"")))))))</f>
        <v>2</v>
      </c>
      <c r="CD4" s="1">
        <f>IF(('[1]フォームの回答 1'!AX4="非常に"),1,(IF(('[1]フォームの回答 1'!AX4="かなり"),2,(IF(('[1]フォームの回答 1'!AX4="多少"),3,(IF(('[1]フォームの回答 1'!AX4="全くない"),4,"")))))))</f>
        <v>2</v>
      </c>
      <c r="CE4" s="1">
        <f>IF(('[1]フォームの回答 1'!AY4="非常に"),1,(IF(('[1]フォームの回答 1'!AY4="かなり"),2,(IF(('[1]フォームの回答 1'!AY4="多少"),3,(IF(('[1]フォームの回答 1'!AY4="全くない"),4,"")))))))</f>
        <v>2</v>
      </c>
      <c r="CF4" s="1">
        <f>IF(('[1]フォームの回答 1'!AZ4="非常に"),1,(IF(('[1]フォームの回答 1'!AZ4="かなり"),2,(IF(('[1]フォームの回答 1'!AZ4="多少"),3,(IF(('[1]フォームの回答 1'!AZ4="全くない"),4,"")))))))</f>
        <v>2</v>
      </c>
      <c r="CG4" s="1">
        <f>IF(('[1]フォームの回答 1'!BA4="非常に"),1,(IF(('[1]フォームの回答 1'!BA4="かなり"),2,(IF(('[1]フォームの回答 1'!BA4="多少"),3,(IF(('[1]フォームの回答 1'!BA4="全くない"),4,"")))))))</f>
        <v>2</v>
      </c>
      <c r="CH4" s="1">
        <f>IF(('[1]フォームの回答 1'!BB4="非常に"),1,(IF(('[1]フォームの回答 1'!BB4="かなり"),2,(IF(('[1]フォームの回答 1'!BB4="多少"),3,(IF(('[1]フォームの回答 1'!BB4="全くない"),4,"")))))))</f>
        <v>2</v>
      </c>
      <c r="CI4" s="1">
        <f>IF(('[1]フォームの回答 1'!BC4="非常に"),1,(IF(('[1]フォームの回答 1'!BC4="かなり"),2,(IF(('[1]フォームの回答 1'!BC4="多少"),3,(IF(('[1]フォームの回答 1'!BC4="全くない"),4,"")))))))</f>
        <v>3</v>
      </c>
      <c r="CJ4" s="1">
        <f>IF(('[1]フォームの回答 1'!BD4="非常に"),1,(IF(('[1]フォームの回答 1'!BD4="かなり"),2,(IF(('[1]フォームの回答 1'!BD4="多少"),3,(IF(('[1]フォームの回答 1'!BD4="全くない"),4,"")))))))</f>
        <v>2</v>
      </c>
      <c r="CK4" s="1">
        <f>IF(('[1]フォームの回答 1'!BE4="非常に"),1,(IF(('[1]フォームの回答 1'!BE4="かなり"),2,(IF(('[1]フォームの回答 1'!BE4="多少"),3,(IF(('[1]フォームの回答 1'!BE4="全くない"),4,"")))))))</f>
        <v>2</v>
      </c>
      <c r="CL4" s="1">
        <f>IF(('[1]フォームの回答 1'!BF4="満足"),1,(IF(('[1]フォームの回答 1'!BF4="まぁ満足"),2,(IF(('[1]フォームの回答 1'!BF4="やや満足"),3,(IF(('[1]フォームの回答 1'!BF4="不満足"),4,"")))))))</f>
        <v>3</v>
      </c>
      <c r="CM4" s="1">
        <f>IF(('[1]フォームの回答 1'!BG4="満足"),1,(IF(('[1]フォームの回答 1'!BG4="まぁ満足"),2,(IF(('[1]フォームの回答 1'!BG4="やや満足"),3,(IF(('[1]フォームの回答 1'!BG4="不満足"),4,"")))))))</f>
        <v>3</v>
      </c>
      <c r="CN4" s="1">
        <f t="shared" si="38"/>
        <v>8</v>
      </c>
      <c r="CO4" s="1">
        <f t="shared" si="10"/>
        <v>3</v>
      </c>
      <c r="CP4" s="1">
        <f t="shared" si="39"/>
        <v>9</v>
      </c>
      <c r="CQ4" s="1">
        <f t="shared" si="11"/>
        <v>3</v>
      </c>
      <c r="CR4" s="1">
        <f t="shared" si="40"/>
        <v>9</v>
      </c>
      <c r="CS4" s="1">
        <f t="shared" si="41"/>
        <v>3</v>
      </c>
      <c r="CT4" s="1">
        <f t="shared" si="42"/>
        <v>4</v>
      </c>
      <c r="CU4" s="1">
        <f t="shared" si="12"/>
        <v>4</v>
      </c>
      <c r="CV4" s="1">
        <f t="shared" si="13"/>
        <v>26</v>
      </c>
      <c r="CW4" s="1">
        <f t="shared" si="14"/>
        <v>27</v>
      </c>
      <c r="CX4" s="1">
        <f t="shared" si="15"/>
        <v>9</v>
      </c>
      <c r="CY4" s="29" t="str">
        <f t="shared" si="43"/>
        <v>高</v>
      </c>
      <c r="CZ4" s="1">
        <v>0.6</v>
      </c>
      <c r="DA4" s="2">
        <f t="shared" si="16"/>
        <v>0.4</v>
      </c>
      <c r="DB4" s="1">
        <f>IF(('[1]フォームの回答 1'!BI4="いつもより寝つきは良い"),0,(IF(('[1]フォームの回答 1'!BI4="いつもより少し時間がかかった"),1,(IF(('[1]フォームの回答 1'!BI4="いつもよりかなり時間がかかった"),2,(IF(('[1]フォームの回答 1'!BI4="いつもより非常に時間がかかった、あるいは全く眠れなかった"),3,"")))))))</f>
        <v>0</v>
      </c>
      <c r="DC4" s="1">
        <f>IF(('[1]フォームの回答 1'!BJ4="問題になるほどのことはなかった"),0,(IF(('[1]フォームの回答 1'!BJ4="少し困ることがある"),1,(IF(('[1]フォームの回答 1'!BJ4="かなり困っている"),2,(IF(('[1]フォームの回答 1'!BJ4="深刻な状態、あるいは全く眠れなかった"),3,"")))))))</f>
        <v>0</v>
      </c>
      <c r="DD4" s="1">
        <f>IF(('[1]フォームの回答 1'!BK4="そのようなことはなかった"),0,(IF(('[1]フォームの回答 1'!BK4="少し早かった"),1,(IF(('[1]フォームの回答 1'!BK4="かなり早かった"),2,(IF(('[1]フォームの回答 1'!BK4="非常に早かった、あるいは全く眠れなかった"),3,"")))))))</f>
        <v>1</v>
      </c>
      <c r="DE4" s="1">
        <f>IF(('[1]フォームの回答 1'!BL4="十分である"),0,(IF(('[1]フォームの回答 1'!BL4="少し足りない"),1,(IF(('[1]フォームの回答 1'!BL4="かなり足りない"),2,(IF(('[1]フォームの回答 1'!BL4="全く足りない、あるいは全く眠れなかった"),3,"")))))))</f>
        <v>2</v>
      </c>
      <c r="DF4" s="1">
        <f>IF(('[1]フォームの回答 1'!BM4="満足している"),0,(IF(('[1]フォームの回答 1'!BM4="少し不満である"),1,(IF(('[1]フォームの回答 1'!BM4="かなり不満である"),2,(IF(('[1]フォームの回答 1'!BM4="非常に不満である、あるいは全く眠れなかった"),3,"")))))))</f>
        <v>1</v>
      </c>
      <c r="DG4" s="1">
        <f>IF(('[1]フォームの回答 1'!BN4="いつもどおり"),0,(IF(('[1]フォームの回答 1'!BN4="少し滅入った"),1,(IF(('[1]フォームの回答 1'!BN4="かなり滅入った"),2,(IF(('[1]フォームの回答 1'!BN4="非常に滅入った"),3,"")))))))</f>
        <v>1</v>
      </c>
      <c r="DH4" s="1">
        <f>IF(('[1]フォームの回答 1'!BO4="いつもどおり"),0,(IF(('[1]フォームの回答 1'!BO4="少し低下した"),1,(IF(('[1]フォームの回答 1'!BO4="かなり低下した"),2,(IF(('[1]フォームの回答 1'!BO4="非常に低下した"),3,"")))))))</f>
        <v>1</v>
      </c>
      <c r="DI4" s="1">
        <f>IF(('[1]フォームの回答 1'!BP4="全くなかった"),0,(IF(('[1]フォームの回答 1'!BP4="少しあった"),1,(IF(('[1]フォームの回答 1'!BP4="かなりあった"),2,(IF(('[1]フォームの回答 1'!BP4="激しかった"),3,"")))))))</f>
        <v>2</v>
      </c>
      <c r="DJ4">
        <f t="shared" si="44"/>
        <v>8</v>
      </c>
      <c r="DK4" s="4" t="str">
        <f t="shared" si="45"/>
        <v>高</v>
      </c>
      <c r="DL4" s="5">
        <v>6.3</v>
      </c>
      <c r="DM4" s="5">
        <v>7.2</v>
      </c>
      <c r="DN4" s="5">
        <v>13.1</v>
      </c>
      <c r="DO4" s="5">
        <v>26.6</v>
      </c>
      <c r="DP4" s="5"/>
      <c r="DQ4" s="5"/>
      <c r="DR4" s="43">
        <v>0.54</v>
      </c>
      <c r="DS4" s="43">
        <v>62.17</v>
      </c>
      <c r="DT4" s="5">
        <v>0.87</v>
      </c>
      <c r="DU4" s="5">
        <v>44</v>
      </c>
      <c r="DV4" s="5" t="s">
        <v>115</v>
      </c>
    </row>
    <row r="5" spans="1:126" ht="14" hidden="1">
      <c r="A5" s="1">
        <v>294</v>
      </c>
      <c r="B5" s="24" t="s">
        <v>139</v>
      </c>
      <c r="C5" s="24">
        <v>35587</v>
      </c>
      <c r="D5" s="38">
        <f t="shared" si="17"/>
        <v>27</v>
      </c>
      <c r="E5" s="1">
        <f>IF(('[1]フォームの回答 1'!C5="そうだ"),1,(IF(('[1]フォームの回答 1'!C5="まぁそうだ"),2,(IF(('[1]フォームの回答 1'!C5="ややちがう"),3,(IF(('[1]フォームの回答 1'!C5="ちがう"),4,"")))))))</f>
        <v>3</v>
      </c>
      <c r="F5" s="1">
        <f>IF(('[1]フォームの回答 1'!D5="そうだ"),1,(IF(('[1]フォームの回答 1'!D5="まぁそうだ"),2,(IF(('[1]フォームの回答 1'!D5="ややちがう"),3,(IF(('[1]フォームの回答 1'!D5="ちがう"),4,"")))))))</f>
        <v>2</v>
      </c>
      <c r="G5" s="1">
        <f>IF(('[1]フォームの回答 1'!E5="そうだ"),1,(IF(('[1]フォームの回答 1'!E5="まぁそうだ"),2,(IF(('[1]フォームの回答 1'!E5="ややちがう"),3,(IF(('[1]フォームの回答 1'!E5="ちがう"),4,"")))))))</f>
        <v>3</v>
      </c>
      <c r="H5" s="1">
        <f>IF(('[1]フォームの回答 1'!F5="そうだ"),1,(IF(('[1]フォームの回答 1'!F5="まぁそうだ"),2,(IF(('[1]フォームの回答 1'!F5="ややちがう"),3,(IF(('[1]フォームの回答 1'!F5="ちがう"),4,"")))))))</f>
        <v>2</v>
      </c>
      <c r="I5" s="1">
        <f>IF(('[1]フォームの回答 1'!G5="そうだ"),1,(IF(('[1]フォームの回答 1'!G5="まぁそうだ"),2,(IF(('[1]フォームの回答 1'!G5="ややちがう"),3,(IF(('[1]フォームの回答 1'!G5="ちがう"),4,"")))))))</f>
        <v>1</v>
      </c>
      <c r="J5" s="1">
        <f>IF(('[1]フォームの回答 1'!H5="そうだ"),1,(IF(('[1]フォームの回答 1'!H5="まぁそうだ"),2,(IF(('[1]フォームの回答 1'!H5="ややちがう"),3,(IF(('[1]フォームの回答 1'!H5="ちがう"),4,"")))))))</f>
        <v>3</v>
      </c>
      <c r="K5" s="1">
        <f>IF(('[1]フォームの回答 1'!I5="そうだ"),1,(IF(('[1]フォームの回答 1'!I5="まぁそうだ"),2,(IF(('[1]フォームの回答 1'!I5="ややちがう"),3,(IF(('[1]フォームの回答 1'!I5="ちがう"),4,"")))))))</f>
        <v>4</v>
      </c>
      <c r="L5" s="1">
        <f>IF(('[1]フォームの回答 1'!J5="そうだ"),1,(IF(('[1]フォームの回答 1'!J5="まぁそうだ"),2,(IF(('[1]フォームの回答 1'!J5="ややちがう"),3,(IF(('[1]フォームの回答 1'!J5="ちがう"),4,"")))))))</f>
        <v>2</v>
      </c>
      <c r="M5" s="1">
        <f>IF(('[1]フォームの回答 1'!K5="そうだ"),1,(IF(('[1]フォームの回答 1'!K5="まぁそうだ"),2,(IF(('[1]フォームの回答 1'!K5="ややちがう"),3,(IF(('[1]フォームの回答 1'!K5="ちがう"),4,"")))))))</f>
        <v>2</v>
      </c>
      <c r="N5" s="1">
        <f>IF(('[1]フォームの回答 1'!L5="そうだ"),1,(IF(('[1]フォームの回答 1'!L5="まぁそうだ"),2,(IF(('[1]フォームの回答 1'!L5="ややちがう"),3,(IF(('[1]フォームの回答 1'!L5="ちがう"),4,"")))))))</f>
        <v>3</v>
      </c>
      <c r="O5" s="1">
        <f>IF(('[1]フォームの回答 1'!M5="そうだ"),1,(IF(('[1]フォームの回答 1'!M5="まぁそうだ"),2,(IF(('[1]フォームの回答 1'!M5="ややちがう"),3,(IF(('[1]フォームの回答 1'!M5="ちがう"),4,"")))))))</f>
        <v>4</v>
      </c>
      <c r="P5" s="1">
        <f>IF(('[1]フォームの回答 1'!N5="そうだ"),1,(IF(('[1]フォームの回答 1'!N5="まぁそうだ"),2,(IF(('[1]フォームの回答 1'!N5="ややちがう"),3,(IF(('[1]フォームの回答 1'!N5="ちがう"),4,"")))))))</f>
        <v>3</v>
      </c>
      <c r="Q5" s="1">
        <f>IF(('[1]フォームの回答 1'!O5="そうだ"),1,(IF(('[1]フォームの回答 1'!O5="まぁそうだ"),2,(IF(('[1]フォームの回答 1'!O5="ややちがう"),3,(IF(('[1]フォームの回答 1'!O5="ちがう"),4,"")))))))</f>
        <v>3</v>
      </c>
      <c r="R5" s="1">
        <f>IF(('[1]フォームの回答 1'!P5="そうだ"),1,(IF(('[1]フォームの回答 1'!P5="まぁそうだ"),2,(IF(('[1]フォームの回答 1'!P5="ややちがう"),3,(IF(('[1]フォームの回答 1'!P5="ちがう"),4,"")))))))</f>
        <v>2</v>
      </c>
      <c r="S5" s="1">
        <f>IF(('[1]フォームの回答 1'!Q5="そうだ"),1,(IF(('[1]フォームの回答 1'!Q5="まぁそうだ"),2,(IF(('[1]フォームの回答 1'!Q5="ややちがう"),3,(IF(('[1]フォームの回答 1'!Q5="ちがう"),4,"")))))))</f>
        <v>3</v>
      </c>
      <c r="T5" s="1">
        <f>IF(('[1]フォームの回答 1'!R5="そうだ"),1,(IF(('[1]フォームの回答 1'!R5="まぁそうだ"),2,(IF(('[1]フォームの回答 1'!R5="ややちがう"),3,(IF(('[1]フォームの回答 1'!R5="ちがう"),4,"")))))))</f>
        <v>1</v>
      </c>
      <c r="U5" s="1">
        <f>IF(('[1]フォームの回答 1'!S5="そうだ"),1,(IF(('[1]フォームの回答 1'!S5="まぁそうだ"),2,(IF(('[1]フォームの回答 1'!S5="ややちがう"),3,(IF(('[1]フォームの回答 1'!S5="ちがう"),4,"")))))))</f>
        <v>2</v>
      </c>
      <c r="V5" s="1">
        <f t="shared" si="18"/>
        <v>7</v>
      </c>
      <c r="W5" s="1">
        <f t="shared" si="0"/>
        <v>2</v>
      </c>
      <c r="X5" s="1">
        <f t="shared" si="19"/>
        <v>9</v>
      </c>
      <c r="Y5" s="1">
        <f t="shared" si="1"/>
        <v>3</v>
      </c>
      <c r="Z5" s="1">
        <f t="shared" si="20"/>
        <v>1</v>
      </c>
      <c r="AA5" s="1">
        <f t="shared" si="21"/>
        <v>2</v>
      </c>
      <c r="AB5" s="1">
        <f t="shared" si="22"/>
        <v>6</v>
      </c>
      <c r="AC5" s="1">
        <f t="shared" si="23"/>
        <v>3</v>
      </c>
      <c r="AD5" s="1">
        <f t="shared" si="24"/>
        <v>2</v>
      </c>
      <c r="AE5" s="1">
        <f t="shared" si="2"/>
        <v>3</v>
      </c>
      <c r="AF5" s="1">
        <f t="shared" si="25"/>
        <v>8</v>
      </c>
      <c r="AG5" s="1">
        <f t="shared" si="3"/>
        <v>3</v>
      </c>
      <c r="AH5" s="1">
        <f t="shared" si="26"/>
        <v>4</v>
      </c>
      <c r="AI5" s="1">
        <f t="shared" si="27"/>
        <v>2</v>
      </c>
      <c r="AJ5" s="1">
        <f t="shared" si="28"/>
        <v>4</v>
      </c>
      <c r="AK5" s="1">
        <f t="shared" si="29"/>
        <v>1</v>
      </c>
      <c r="AL5" s="1">
        <f t="shared" si="30"/>
        <v>3</v>
      </c>
      <c r="AM5" s="1">
        <f t="shared" si="31"/>
        <v>3</v>
      </c>
      <c r="AN5" s="1">
        <f>IF(('[1]フォームの回答 1'!T5="ほとんどなかった"),1,(IF(('[1]フォームの回答 1'!T5="ときどきあった"),2,(IF(('[1]フォームの回答 1'!T5="しばしばあった"),3,(IF(('[1]フォームの回答 1'!T5="ほとんどいつもあった"),4,"")))))))</f>
        <v>2</v>
      </c>
      <c r="AO5" s="1">
        <f>IF(('[1]フォームの回答 1'!U5="ほとんどなかった"),1,(IF(('[1]フォームの回答 1'!U5="ときどきあった"),2,(IF(('[1]フォームの回答 1'!U5="しばしばあった"),3,(IF(('[1]フォームの回答 1'!U5="ほとんどいつもあった"),4,"")))))))</f>
        <v>2</v>
      </c>
      <c r="AP5" s="1">
        <f>IF(('[1]フォームの回答 1'!V5="ほとんどなかった"),1,(IF(('[1]フォームの回答 1'!V5="ときどきあった"),2,(IF(('[1]フォームの回答 1'!V5="しばしばあった"),3,(IF(('[1]フォームの回答 1'!V5="ほとんどいつもあった"),4,"")))))))</f>
        <v>2</v>
      </c>
      <c r="AQ5" s="1">
        <f>IF(('[1]フォームの回答 1'!W5="ほとんどなかった"),1,(IF(('[1]フォームの回答 1'!W5="ときどきあった"),2,(IF(('[1]フォームの回答 1'!W5="しばしばあった"),3,(IF(('[1]フォームの回答 1'!W5="ほとんどいつもあった"),4,"")))))))</f>
        <v>1</v>
      </c>
      <c r="AR5" s="1">
        <f>IF(('[1]フォームの回答 1'!X5="ほとんどなかった"),1,(IF(('[1]フォームの回答 1'!X5="ときどきあった"),2,(IF(('[1]フォームの回答 1'!X5="しばしばあった"),3,(IF(('[1]フォームの回答 1'!X5="ほとんどいつもあった"),4,"")))))))</f>
        <v>2</v>
      </c>
      <c r="AS5" s="1">
        <f>IF(('[1]フォームの回答 1'!Y5="ほとんどなかった"),1,(IF(('[1]フォームの回答 1'!Y5="ときどきあった"),2,(IF(('[1]フォームの回答 1'!Y5="しばしばあった"),3,(IF(('[1]フォームの回答 1'!Y5="ほとんどいつもあった"),4,"")))))))</f>
        <v>2</v>
      </c>
      <c r="AT5" s="1">
        <f>IF(('[1]フォームの回答 1'!Z5="ほとんどなかった"),1,(IF(('[1]フォームの回答 1'!Z5="ときどきあった"),2,(IF(('[1]フォームの回答 1'!Z5="しばしばあった"),3,(IF(('[1]フォームの回答 1'!Z5="ほとんどいつもあった"),4,"")))))))</f>
        <v>3</v>
      </c>
      <c r="AU5" s="1">
        <f>IF(('[1]フォームの回答 1'!AA5="ほとんどなかった"),1,(IF(('[1]フォームの回答 1'!AA5="ときどきあった"),2,(IF(('[1]フォームの回答 1'!AA5="しばしばあった"),3,(IF(('[1]フォームの回答 1'!AA5="ほとんどいつもあった"),4,"")))))))</f>
        <v>3</v>
      </c>
      <c r="AV5" s="1">
        <f>IF(('[1]フォームの回答 1'!AB5="ほとんどなかった"),1,(IF(('[1]フォームの回答 1'!AB5="ときどきばあった"),2,(IF(('[1]フォームの回答 1'!AB5="しばしばあった"),3,(IF(('[1]フォームの回答 1'!AB5="ほとんどいつもあった"),4,"")))))))</f>
        <v>4</v>
      </c>
      <c r="AW5" s="1">
        <f>IF(('[1]フォームの回答 1'!AC5="ほとんどなかった"),1,(IF(('[1]フォームの回答 1'!AC5="ときどきあった"),2,(IF(('[1]フォームの回答 1'!AC5="しばしばあった"),3,(IF(('[1]フォームの回答 1'!AC5="ほとんどいつもあった"),4,"")))))))</f>
        <v>2</v>
      </c>
      <c r="AX5" s="1">
        <f>IF(('[1]フォームの回答 1'!AD5="ほとんどなかった"),1,(IF(('[1]フォームの回答 1'!AD5="ときどきあった"),2,(IF(('[1]フォームの回答 1'!AD5="しばしばあった"),3,(IF(('[1]フォームの回答 1'!AD5="ほとんどいつもあった"),4,"")))))))</f>
        <v>4</v>
      </c>
      <c r="AY5" s="1">
        <f>IF(('[1]フォームの回答 1'!AE5="ほとんどなかった"),1,(IF(('[1]フォームの回答 1'!AE5="ときどきあった"),2,(IF(('[1]フォームの回答 1'!AE5="しばしばあった"),3,(IF(('[1]フォームの回答 1'!AE5="ほとんどいつもあった"),4,"")))))))</f>
        <v>3</v>
      </c>
      <c r="AZ5" s="1">
        <f>IF(('[1]フォームの回答 1'!AF5="ほとんどなかった"),1,(IF(('[1]フォームの回答 1'!AF5="ときどきあった"),2,(IF(('[1]フォームの回答 1'!AF5="しばしばあった"),3,(IF(('[1]フォームの回答 1'!AF5="ほとんどいつもあった"),4,"")))))))</f>
        <v>3</v>
      </c>
      <c r="BA5" s="1">
        <f>IF(('[1]フォームの回答 1'!AG5="ほとんどなかった"),1,(IF(('[1]フォームの回答 1'!AG5="ときどきあった"),2,(IF(('[1]フォームの回答 1'!AG5="しばしばあった"),3,(IF(('[1]フォームの回答 1'!AG5="ほとんどいつもあった"),4,"")))))))</f>
        <v>3</v>
      </c>
      <c r="BB5" s="1">
        <f>IF(('[1]フォームの回答 1'!AH5="ほとんどなかった"),1,(IF(('[1]フォームの回答 1'!AH5="ときどきあった"),2,(IF(('[1]フォームの回答 1'!AH5="しばしばあった"),3,(IF(('[1]フォームの回答 1'!AH5="ほとんどいつもあった"),4,"")))))))</f>
        <v>3</v>
      </c>
      <c r="BC5" s="1">
        <f>IF(('[1]フォームの回答 1'!AI5="ほとんどなかった"),1,(IF(('[1]フォームの回答 1'!AI5="ときどきあった"),2,(IF(('[1]フォームの回答 1'!AI5="しばしばあった"),3,(IF(('[1]フォームの回答 1'!AI5="ほとんどいつもあった"),4,"")))))))</f>
        <v>3</v>
      </c>
      <c r="BD5" s="1">
        <f>IF(('[1]フォームの回答 1'!AJ5="ほとんどなかった"),1,(IF(('[1]フォームの回答 1'!AJ5="ときどきあった"),2,(IF(('[1]フォームの回答 1'!AJ5="しばしばあった"),3,(IF(('[1]フォームの回答 1'!AJ5="ほとんどいつもあった"),4,"")))))))</f>
        <v>2</v>
      </c>
      <c r="BE5" s="1">
        <f>IF(('[1]フォームの回答 1'!AK5="ほとんどなかった"),1,(IF(('[1]フォームの回答 1'!AK5="ときどきあった"),2,(IF(('[1]フォームの回答 1'!AK5="しばしばあった"),3,(IF(('[1]フォームの回答 1'!AK5="ほとんどいつもあった"),4,"")))))))</f>
        <v>2</v>
      </c>
      <c r="BF5" s="1">
        <f>IF(('[1]フォームの回答 1'!AL5="ほとんどなかった"),1,(IF(('[1]フォームの回答 1'!AL5="ときどきあった"),2,(IF(('[1]フォームの回答 1'!AL5="しばしばあった"),3,(IF(('[1]フォームの回答 1'!AL5="ほとんどいつもあった"),4,"")))))))</f>
        <v>1</v>
      </c>
      <c r="BG5" s="1">
        <f>IF(('[1]フォームの回答 1'!AM5="ほとんどなかった"),1,(IF(('[1]フォームの回答 1'!AM5="ときどきあった"),2,(IF(('[1]フォームの回答 1'!AM5="しばしばあった"),3,(IF(('[1]フォームの回答 1'!AM5="ほとんどいつもあった"),4,"")))))))</f>
        <v>2</v>
      </c>
      <c r="BH5" s="1">
        <f>IF(('[1]フォームの回答 1'!AN5="ほとんどなかった"),1,(IF(('[1]フォームの回答 1'!AN5="ときどきあった"),2,(IF(('[1]フォームの回答 1'!AN5="しばしばあった"),3,(IF(('[1]フォームの回答 1'!AN5="ほとんどいつもあった"),4,"")))))))</f>
        <v>3</v>
      </c>
      <c r="BI5" s="1">
        <f>IF(('[1]フォームの回答 1'!AO5="ほとんどなかった"),1,(IF(('[1]フォームの回答 1'!AO5="ときどきあった"),2,(IF(('[1]フォームの回答 1'!AO5="しばしばあった"),3,(IF(('[1]フォームの回答 1'!AO5="ほとんどいつもあった"),4,"")))))))</f>
        <v>4</v>
      </c>
      <c r="BJ5" s="1">
        <f>IF(('[1]フォームの回答 1'!AP5="ほとんどなかった"),1,(IF(('[1]フォームの回答 1'!AP5="ときどきあった"),2,(IF(('[1]フォームの回答 1'!AP5="しばしばあった"),3,(IF(('[1]フォームの回答 1'!AP5="ほとんどいつもあった"),4,"")))))))</f>
        <v>1</v>
      </c>
      <c r="BK5" s="1">
        <f>IF(('[1]フォームの回答 1'!AQ5="ほとんどなかった"),1,(IF(('[1]フォームの回答 1'!AQ5="ときどきあった"),2,(IF(('[1]フォームの回答 1'!AQ5="しばしばあった"),3,(IF(('[1]フォームの回答 1'!AQ5="ほとんどいつもあった"),4,"")))))))</f>
        <v>3</v>
      </c>
      <c r="BL5" s="1">
        <f>IF(('[1]フォームの回答 1'!AR5="ほとんどなかった"),1,(IF(('[1]フォームの回答 1'!AR5="ときどきあった"),2,(IF(('[1]フォームの回答 1'!AR5="しばしばあった"),3,(IF(('[1]フォームの回答 1'!AR5="ほとんどいつもあった"),4,"")))))))</f>
        <v>1</v>
      </c>
      <c r="BM5" s="1">
        <f>IF(('[1]フォームの回答 1'!AS5="ほとんどなかった"),1,(IF(('[1]フォームの回答 1'!AS5="ときどきあった"),2,(IF(('[1]フォームの回答 1'!AS5="しばしばあった"),3,(IF(('[1]フォームの回答 1'!AS5="ほとんどいつもあった"),4,"")))))))</f>
        <v>2</v>
      </c>
      <c r="BN5" s="1">
        <f>IF(('[1]フォームの回答 1'!AT5="ほとんどなかった"),1,(IF(('[1]フォームの回答 1'!AT5="ときどきあった"),2,(IF(('[1]フォームの回答 1'!AT5="しばしばあった"),3,(IF(('[1]フォームの回答 1'!AT5="ほとんどいつもあった"),4,"")))))))</f>
        <v>2</v>
      </c>
      <c r="BO5" s="1">
        <f>IF(('[1]フォームの回答 1'!AU5="ほとんどなかった"),1,(IF(('[1]フォームの回答 1'!AU5="ときどきあった"),2,(IF(('[1]フォームの回答 1'!AU5="しばしばあった"),3,(IF(('[1]フォームの回答 1'!AU5="ほとんどいつもあった"),4,"")))))))</f>
        <v>2</v>
      </c>
      <c r="BP5" s="1">
        <f>IF(('[1]フォームの回答 1'!AV5="ほとんどなかった"),1,(IF(('[1]フォームの回答 1'!AV5="ときどきあった"),2,(IF(('[1]フォームの回答 1'!AV5="しばしばあった"),3,(IF(('[1]フォームの回答 1'!AV5="ほとんどいつもあった"),4,"")))))))</f>
        <v>3</v>
      </c>
      <c r="BQ5" s="1">
        <f t="shared" si="32"/>
        <v>6</v>
      </c>
      <c r="BR5" s="1">
        <f t="shared" si="33"/>
        <v>3</v>
      </c>
      <c r="BS5" s="1">
        <f t="shared" si="34"/>
        <v>5</v>
      </c>
      <c r="BT5" s="1">
        <f t="shared" si="4"/>
        <v>2</v>
      </c>
      <c r="BU5" s="1">
        <f t="shared" si="5"/>
        <v>10</v>
      </c>
      <c r="BV5" s="1">
        <f t="shared" si="6"/>
        <v>4</v>
      </c>
      <c r="BW5" s="1">
        <f t="shared" si="35"/>
        <v>9</v>
      </c>
      <c r="BX5" s="1">
        <f t="shared" si="7"/>
        <v>4</v>
      </c>
      <c r="BY5" s="1">
        <f t="shared" si="36"/>
        <v>16</v>
      </c>
      <c r="BZ5" s="1">
        <f t="shared" si="8"/>
        <v>4</v>
      </c>
      <c r="CA5" s="1">
        <f t="shared" si="37"/>
        <v>24</v>
      </c>
      <c r="CB5" s="1">
        <f t="shared" si="9"/>
        <v>4</v>
      </c>
      <c r="CC5" s="1">
        <f>IF(('[1]フォームの回答 1'!AW5="非常に"),1,(IF(('[1]フォームの回答 1'!AW5="かなり"),2,(IF(('[1]フォームの回答 1'!AW5="多少"),3,(IF(('[1]フォームの回答 1'!AW5="全くない"),4,"")))))))</f>
        <v>3</v>
      </c>
      <c r="CD5" s="1">
        <f>IF(('[1]フォームの回答 1'!AX5="非常に"),1,(IF(('[1]フォームの回答 1'!AX5="かなり"),2,(IF(('[1]フォームの回答 1'!AX5="多少"),3,(IF(('[1]フォームの回答 1'!AX5="全くない"),4,"")))))))</f>
        <v>3</v>
      </c>
      <c r="CE5" s="1">
        <f>IF(('[1]フォームの回答 1'!AY5="非常に"),1,(IF(('[1]フォームの回答 1'!AY5="かなり"),2,(IF(('[1]フォームの回答 1'!AY5="多少"),3,(IF(('[1]フォームの回答 1'!AY5="全くない"),4,"")))))))</f>
        <v>2</v>
      </c>
      <c r="CF5" s="1">
        <f>IF(('[1]フォームの回答 1'!AZ5="非常に"),1,(IF(('[1]フォームの回答 1'!AZ5="かなり"),2,(IF(('[1]フォームの回答 1'!AZ5="多少"),3,(IF(('[1]フォームの回答 1'!AZ5="全くない"),4,"")))))))</f>
        <v>2</v>
      </c>
      <c r="CG5" s="1">
        <f>IF(('[1]フォームの回答 1'!BA5="非常に"),1,(IF(('[1]フォームの回答 1'!BA5="かなり"),2,(IF(('[1]フォームの回答 1'!BA5="多少"),3,(IF(('[1]フォームの回答 1'!BA5="全くない"),4,"")))))))</f>
        <v>3</v>
      </c>
      <c r="CH5" s="1">
        <f>IF(('[1]フォームの回答 1'!BB5="非常に"),1,(IF(('[1]フォームの回答 1'!BB5="かなり"),2,(IF(('[1]フォームの回答 1'!BB5="多少"),3,(IF(('[1]フォームの回答 1'!BB5="全くない"),4,"")))))))</f>
        <v>3</v>
      </c>
      <c r="CI5" s="1">
        <f>IF(('[1]フォームの回答 1'!BC5="非常に"),1,(IF(('[1]フォームの回答 1'!BC5="かなり"),2,(IF(('[1]フォームの回答 1'!BC5="多少"),3,(IF(('[1]フォームの回答 1'!BC5="全くない"),4,"")))))))</f>
        <v>2</v>
      </c>
      <c r="CJ5" s="1">
        <f>IF(('[1]フォームの回答 1'!BD5="非常に"),1,(IF(('[1]フォームの回答 1'!BD5="かなり"),2,(IF(('[1]フォームの回答 1'!BD5="多少"),3,(IF(('[1]フォームの回答 1'!BD5="全くない"),4,"")))))))</f>
        <v>3</v>
      </c>
      <c r="CK5" s="1">
        <f>IF(('[1]フォームの回答 1'!BE5="非常に"),1,(IF(('[1]フォームの回答 1'!BE5="かなり"),2,(IF(('[1]フォームの回答 1'!BE5="多少"),3,(IF(('[1]フォームの回答 1'!BE5="全くない"),4,"")))))))</f>
        <v>3</v>
      </c>
      <c r="CL5" s="1">
        <f>IF(('[1]フォームの回答 1'!BF5="満足"),1,(IF(('[1]フォームの回答 1'!BF5="まぁ満足"),2,(IF(('[1]フォームの回答 1'!BF5="やや満足"),3,(IF(('[1]フォームの回答 1'!BF5="不満足"),4,"")))))))</f>
        <v>3</v>
      </c>
      <c r="CM5" s="1">
        <f>IF(('[1]フォームの回答 1'!BG5="満足"),1,(IF(('[1]フォームの回答 1'!BG5="まぁ満足"),2,(IF(('[1]フォームの回答 1'!BG5="やや満足"),3,(IF(('[1]フォームの回答 1'!BG5="不満足"),4,"")))))))</f>
        <v>3</v>
      </c>
      <c r="CN5" s="1">
        <f t="shared" si="38"/>
        <v>8</v>
      </c>
      <c r="CO5" s="1">
        <f t="shared" si="10"/>
        <v>3</v>
      </c>
      <c r="CP5" s="1">
        <f t="shared" si="39"/>
        <v>6</v>
      </c>
      <c r="CQ5" s="1">
        <f t="shared" si="11"/>
        <v>4</v>
      </c>
      <c r="CR5" s="1">
        <f t="shared" si="40"/>
        <v>7</v>
      </c>
      <c r="CS5" s="1">
        <f t="shared" si="41"/>
        <v>4</v>
      </c>
      <c r="CT5" s="1">
        <f t="shared" si="42"/>
        <v>4</v>
      </c>
      <c r="CU5" s="1">
        <f t="shared" si="12"/>
        <v>4</v>
      </c>
      <c r="CV5" s="1">
        <f t="shared" si="13"/>
        <v>21</v>
      </c>
      <c r="CW5" s="1">
        <f t="shared" si="14"/>
        <v>22</v>
      </c>
      <c r="CX5" s="1">
        <f t="shared" si="15"/>
        <v>11</v>
      </c>
      <c r="CY5" s="29" t="str">
        <f t="shared" si="43"/>
        <v>中①</v>
      </c>
      <c r="CZ5" s="1">
        <v>0.6</v>
      </c>
      <c r="DA5" s="2">
        <f t="shared" si="16"/>
        <v>0.4</v>
      </c>
      <c r="DB5" s="1">
        <f>IF(('[1]フォームの回答 1'!BI5="いつもより寝つきは良い"),0,(IF(('[1]フォームの回答 1'!BI5="いつもより少し時間がかかった"),1,(IF(('[1]フォームの回答 1'!BI5="いつもよりかなり時間がかかった"),2,(IF(('[1]フォームの回答 1'!BI5="いつもより非常に時間がかかった、あるいは全く眠れなかった"),3,"")))))))</f>
        <v>1</v>
      </c>
      <c r="DC5" s="1">
        <f>IF(('[1]フォームの回答 1'!BJ5="問題になるほどのことはなかった"),0,(IF(('[1]フォームの回答 1'!BJ5="少し困ることがある"),1,(IF(('[1]フォームの回答 1'!BJ5="かなり困っている"),2,(IF(('[1]フォームの回答 1'!BJ5="深刻な状態、あるいは全く眠れなかった"),3,"")))))))</f>
        <v>1</v>
      </c>
      <c r="DD5" s="1">
        <f>IF(('[1]フォームの回答 1'!BK5="そのようなことはなかった"),0,(IF(('[1]フォームの回答 1'!BK5="少し早かった"),1,(IF(('[1]フォームの回答 1'!BK5="かなり早かった"),2,(IF(('[1]フォームの回答 1'!BK5="非常に早かった、あるいは全く眠れなかった"),3,"")))))))</f>
        <v>0</v>
      </c>
      <c r="DE5" s="1">
        <f>IF(('[1]フォームの回答 1'!BL5="十分である"),0,(IF(('[1]フォームの回答 1'!BL5="少し足りない"),1,(IF(('[1]フォームの回答 1'!BL5="かなり足りない"),2,(IF(('[1]フォームの回答 1'!BL5="全く足りない、あるいは全く眠れなかった"),3,"")))))))</f>
        <v>2</v>
      </c>
      <c r="DF5" s="1">
        <f>IF(('[1]フォームの回答 1'!BM5="満足している"),0,(IF(('[1]フォームの回答 1'!BM5="少し不満である"),1,(IF(('[1]フォームの回答 1'!BM5="かなり不満である"),2,(IF(('[1]フォームの回答 1'!BM5="非常に不満である、あるいは全く眠れなかった"),3,"")))))))</f>
        <v>2</v>
      </c>
      <c r="DG5" s="1">
        <f>IF(('[1]フォームの回答 1'!BN5="いつもどおり"),0,(IF(('[1]フォームの回答 1'!BN5="少し滅入った"),1,(IF(('[1]フォームの回答 1'!BN5="かなり滅入った"),2,(IF(('[1]フォームの回答 1'!BN5="非常に滅入った"),3,"")))))))</f>
        <v>1</v>
      </c>
      <c r="DH5" s="1">
        <f>IF(('[1]フォームの回答 1'!BO5="いつもどおり"),0,(IF(('[1]フォームの回答 1'!BO5="少し低下した"),1,(IF(('[1]フォームの回答 1'!BO5="かなり低下した"),2,(IF(('[1]フォームの回答 1'!BO5="非常に低下した"),3,"")))))))</f>
        <v>1</v>
      </c>
      <c r="DI5" s="1">
        <f>IF(('[1]フォームの回答 1'!BP5="全くなかった"),0,(IF(('[1]フォームの回答 1'!BP5="少しあった"),1,(IF(('[1]フォームの回答 1'!BP5="かなりあった"),2,(IF(('[1]フォームの回答 1'!BP5="激しかった"),3,"")))))))</f>
        <v>2</v>
      </c>
      <c r="DJ5">
        <f t="shared" si="44"/>
        <v>10</v>
      </c>
      <c r="DK5" s="4" t="str">
        <f t="shared" si="45"/>
        <v>高</v>
      </c>
      <c r="DL5" s="5">
        <v>0</v>
      </c>
      <c r="DM5" s="5">
        <v>5.4</v>
      </c>
      <c r="DN5" s="5">
        <v>3.6</v>
      </c>
      <c r="DO5" s="5">
        <v>9</v>
      </c>
      <c r="DP5" s="5"/>
      <c r="DQ5" s="5" t="s">
        <v>200</v>
      </c>
      <c r="DR5" s="43">
        <v>0.35599999999999998</v>
      </c>
      <c r="DS5" s="43">
        <v>59.28</v>
      </c>
      <c r="DT5" s="5">
        <v>0.6</v>
      </c>
      <c r="DU5" s="5">
        <v>10</v>
      </c>
      <c r="DV5" s="5" t="s">
        <v>115</v>
      </c>
    </row>
    <row r="6" spans="1:126" ht="14">
      <c r="A6" s="1">
        <v>295</v>
      </c>
      <c r="B6" s="24" t="s">
        <v>139</v>
      </c>
      <c r="C6" s="24">
        <v>31132</v>
      </c>
      <c r="D6" s="38">
        <f t="shared" si="17"/>
        <v>39</v>
      </c>
      <c r="E6" s="1">
        <f>IF(('[1]フォームの回答 1'!C6="そうだ"),1,(IF(('[1]フォームの回答 1'!C6="まぁそうだ"),2,(IF(('[1]フォームの回答 1'!C6="ややちがう"),3,(IF(('[1]フォームの回答 1'!C6="ちがう"),4,"")))))))</f>
        <v>2</v>
      </c>
      <c r="F6" s="1">
        <f>IF(('[1]フォームの回答 1'!D6="そうだ"),1,(IF(('[1]フォームの回答 1'!D6="まぁそうだ"),2,(IF(('[1]フォームの回答 1'!D6="ややちがう"),3,(IF(('[1]フォームの回答 1'!D6="ちがう"),4,"")))))))</f>
        <v>2</v>
      </c>
      <c r="G6" s="1">
        <f>IF(('[1]フォームの回答 1'!E6="そうだ"),1,(IF(('[1]フォームの回答 1'!E6="まぁそうだ"),2,(IF(('[1]フォームの回答 1'!E6="ややちがう"),3,(IF(('[1]フォームの回答 1'!E6="ちがう"),4,"")))))))</f>
        <v>2</v>
      </c>
      <c r="H6" s="1">
        <f>IF(('[1]フォームの回答 1'!F6="そうだ"),1,(IF(('[1]フォームの回答 1'!F6="まぁそうだ"),2,(IF(('[1]フォームの回答 1'!F6="ややちがう"),3,(IF(('[1]フォームの回答 1'!F6="ちがう"),4,"")))))))</f>
        <v>2</v>
      </c>
      <c r="I6" s="1">
        <f>IF(('[1]フォームの回答 1'!G6="そうだ"),1,(IF(('[1]フォームの回答 1'!G6="まぁそうだ"),2,(IF(('[1]フォームの回答 1'!G6="ややちがう"),3,(IF(('[1]フォームの回答 1'!G6="ちがう"),4,"")))))))</f>
        <v>3</v>
      </c>
      <c r="J6" s="1">
        <f>IF(('[1]フォームの回答 1'!H6="そうだ"),1,(IF(('[1]フォームの回答 1'!H6="まぁそうだ"),2,(IF(('[1]フォームの回答 1'!H6="ややちがう"),3,(IF(('[1]フォームの回答 1'!H6="ちがう"),4,"")))))))</f>
        <v>1</v>
      </c>
      <c r="K6" s="1">
        <f>IF(('[1]フォームの回答 1'!I6="そうだ"),1,(IF(('[1]フォームの回答 1'!I6="まぁそうだ"),2,(IF(('[1]フォームの回答 1'!I6="ややちがう"),3,(IF(('[1]フォームの回答 1'!I6="ちがう"),4,"")))))))</f>
        <v>3</v>
      </c>
      <c r="L6" s="1">
        <f>IF(('[1]フォームの回答 1'!J6="そうだ"),1,(IF(('[1]フォームの回答 1'!J6="まぁそうだ"),2,(IF(('[1]フォームの回答 1'!J6="ややちがう"),3,(IF(('[1]フォームの回答 1'!J6="ちがう"),4,"")))))))</f>
        <v>3</v>
      </c>
      <c r="M6" s="1">
        <f>IF(('[1]フォームの回答 1'!K6="そうだ"),1,(IF(('[1]フォームの回答 1'!K6="まぁそうだ"),2,(IF(('[1]フォームの回答 1'!K6="ややちがう"),3,(IF(('[1]フォームの回答 1'!K6="ちがう"),4,"")))))))</f>
        <v>3</v>
      </c>
      <c r="N6" s="1">
        <f>IF(('[1]フォームの回答 1'!L6="そうだ"),1,(IF(('[1]フォームの回答 1'!L6="まぁそうだ"),2,(IF(('[1]フォームの回答 1'!L6="ややちがう"),3,(IF(('[1]フォームの回答 1'!L6="ちがう"),4,"")))))))</f>
        <v>3</v>
      </c>
      <c r="O6" s="1">
        <f>IF(('[1]フォームの回答 1'!M6="そうだ"),1,(IF(('[1]フォームの回答 1'!M6="まぁそうだ"),2,(IF(('[1]フォームの回答 1'!M6="ややちがう"),3,(IF(('[1]フォームの回答 1'!M6="ちがう"),4,"")))))))</f>
        <v>2</v>
      </c>
      <c r="P6" s="1">
        <f>IF(('[1]フォームの回答 1'!N6="そうだ"),1,(IF(('[1]フォームの回答 1'!N6="まぁそうだ"),2,(IF(('[1]フォームの回答 1'!N6="ややちがう"),3,(IF(('[1]フォームの回答 1'!N6="ちがう"),4,"")))))))</f>
        <v>4</v>
      </c>
      <c r="Q6" s="1">
        <f>IF(('[1]フォームの回答 1'!O6="そうだ"),1,(IF(('[1]フォームの回答 1'!O6="まぁそうだ"),2,(IF(('[1]フォームの回答 1'!O6="ややちがう"),3,(IF(('[1]フォームの回答 1'!O6="ちがう"),4,"")))))))</f>
        <v>3</v>
      </c>
      <c r="R6" s="1">
        <f>IF(('[1]フォームの回答 1'!P6="そうだ"),1,(IF(('[1]フォームの回答 1'!P6="まぁそうだ"),2,(IF(('[1]フォームの回答 1'!P6="ややちがう"),3,(IF(('[1]フォームの回答 1'!P6="ちがう"),4,"")))))))</f>
        <v>2</v>
      </c>
      <c r="S6" s="1">
        <f>IF(('[1]フォームの回答 1'!Q6="そうだ"),1,(IF(('[1]フォームの回答 1'!Q6="まぁそうだ"),2,(IF(('[1]フォームの回答 1'!Q6="ややちがう"),3,(IF(('[1]フォームの回答 1'!Q6="ちがう"),4,"")))))))</f>
        <v>4</v>
      </c>
      <c r="T6" s="1">
        <f>IF(('[1]フォームの回答 1'!R6="そうだ"),1,(IF(('[1]フォームの回答 1'!R6="まぁそうだ"),2,(IF(('[1]フォームの回答 1'!R6="ややちがう"),3,(IF(('[1]フォームの回答 1'!R6="ちがう"),4,"")))))))</f>
        <v>2</v>
      </c>
      <c r="U6" s="1">
        <f>IF(('[1]フォームの回答 1'!S6="そうだ"),1,(IF(('[1]フォームの回答 1'!S6="まぁそうだ"),2,(IF(('[1]フォームの回答 1'!S6="ややちがう"),3,(IF(('[1]フォームの回答 1'!S6="ちがう"),4,"")))))))</f>
        <v>2</v>
      </c>
      <c r="V6" s="1">
        <f t="shared" si="18"/>
        <v>9</v>
      </c>
      <c r="W6" s="1">
        <f t="shared" si="0"/>
        <v>3</v>
      </c>
      <c r="X6" s="1">
        <f t="shared" si="19"/>
        <v>9</v>
      </c>
      <c r="Y6" s="1">
        <f t="shared" si="1"/>
        <v>3</v>
      </c>
      <c r="Z6" s="1">
        <f t="shared" si="20"/>
        <v>2</v>
      </c>
      <c r="AA6" s="1">
        <f t="shared" si="21"/>
        <v>3</v>
      </c>
      <c r="AB6" s="1">
        <f t="shared" si="22"/>
        <v>5</v>
      </c>
      <c r="AC6" s="1">
        <f t="shared" si="23"/>
        <v>2</v>
      </c>
      <c r="AD6" s="1">
        <f t="shared" si="24"/>
        <v>1</v>
      </c>
      <c r="AE6" s="1">
        <f t="shared" si="2"/>
        <v>2</v>
      </c>
      <c r="AF6" s="1">
        <f t="shared" si="25"/>
        <v>6</v>
      </c>
      <c r="AG6" s="1">
        <f t="shared" si="3"/>
        <v>4</v>
      </c>
      <c r="AH6" s="1">
        <f t="shared" si="26"/>
        <v>2</v>
      </c>
      <c r="AI6" s="1">
        <f t="shared" si="27"/>
        <v>4</v>
      </c>
      <c r="AJ6" s="1">
        <f t="shared" si="28"/>
        <v>3</v>
      </c>
      <c r="AK6" s="1">
        <f t="shared" si="29"/>
        <v>3</v>
      </c>
      <c r="AL6" s="1">
        <f t="shared" si="30"/>
        <v>3</v>
      </c>
      <c r="AM6" s="1">
        <f t="shared" si="31"/>
        <v>3</v>
      </c>
      <c r="AN6" s="1">
        <f>IF(('[1]フォームの回答 1'!T6="ほとんどなかった"),1,(IF(('[1]フォームの回答 1'!T6="ときどきあった"),2,(IF(('[1]フォームの回答 1'!T6="しばしばあった"),3,(IF(('[1]フォームの回答 1'!T6="ほとんどいつもあった"),4,"")))))))</f>
        <v>1</v>
      </c>
      <c r="AO6" s="1">
        <f>IF(('[1]フォームの回答 1'!U6="ほとんどなかった"),1,(IF(('[1]フォームの回答 1'!U6="ときどきあった"),2,(IF(('[1]フォームの回答 1'!U6="しばしばあった"),3,(IF(('[1]フォームの回答 1'!U6="ほとんどいつもあった"),4,"")))))))</f>
        <v>1</v>
      </c>
      <c r="AP6" s="1">
        <f>IF(('[1]フォームの回答 1'!V6="ほとんどなかった"),1,(IF(('[1]フォームの回答 1'!V6="ときどきあった"),2,(IF(('[1]フォームの回答 1'!V6="しばしばあった"),3,(IF(('[1]フォームの回答 1'!V6="ほとんどいつもあった"),4,"")))))))</f>
        <v>1</v>
      </c>
      <c r="AQ6" s="1">
        <f>IF(('[1]フォームの回答 1'!W6="ほとんどなかった"),1,(IF(('[1]フォームの回答 1'!W6="ときどきあった"),2,(IF(('[1]フォームの回答 1'!W6="しばしばあった"),3,(IF(('[1]フォームの回答 1'!W6="ほとんどいつもあった"),4,"")))))))</f>
        <v>2</v>
      </c>
      <c r="AR6" s="1">
        <f>IF(('[1]フォームの回答 1'!X6="ほとんどなかった"),1,(IF(('[1]フォームの回答 1'!X6="ときどきあった"),2,(IF(('[1]フォームの回答 1'!X6="しばしばあった"),3,(IF(('[1]フォームの回答 1'!X6="ほとんどいつもあった"),4,"")))))))</f>
        <v>2</v>
      </c>
      <c r="AS6" s="1">
        <f>IF(('[1]フォームの回答 1'!Y6="ほとんどなかった"),1,(IF(('[1]フォームの回答 1'!Y6="ときどきあった"),2,(IF(('[1]フォームの回答 1'!Y6="しばしばあった"),3,(IF(('[1]フォームの回答 1'!Y6="ほとんどいつもあった"),4,"")))))))</f>
        <v>3</v>
      </c>
      <c r="AT6" s="1">
        <f>IF(('[1]フォームの回答 1'!Z6="ほとんどなかった"),1,(IF(('[1]フォームの回答 1'!Z6="ときどきあった"),2,(IF(('[1]フォームの回答 1'!Z6="しばしばあった"),3,(IF(('[1]フォームの回答 1'!Z6="ほとんどいつもあった"),4,"")))))))</f>
        <v>4</v>
      </c>
      <c r="AU6" s="1">
        <f>IF(('[1]フォームの回答 1'!AA6="ほとんどなかった"),1,(IF(('[1]フォームの回答 1'!AA6="ときどきあった"),2,(IF(('[1]フォームの回答 1'!AA6="しばしばあった"),3,(IF(('[1]フォームの回答 1'!AA6="ほとんどいつもあった"),4,"")))))))</f>
        <v>3</v>
      </c>
      <c r="AV6" s="1">
        <f>IF(('[1]フォームの回答 1'!AB6="ほとんどなかった"),1,(IF(('[1]フォームの回答 1'!AB6="ときどきばあった"),2,(IF(('[1]フォームの回答 1'!AB6="しばしばあった"),3,(IF(('[1]フォームの回答 1'!AB6="ほとんどいつもあった"),4,"")))))))</f>
        <v>1</v>
      </c>
      <c r="AW6" s="1">
        <f>IF(('[1]フォームの回答 1'!AC6="ほとんどなかった"),1,(IF(('[1]フォームの回答 1'!AC6="ときどきあった"),2,(IF(('[1]フォームの回答 1'!AC6="しばしばあった"),3,(IF(('[1]フォームの回答 1'!AC6="ほとんどいつもあった"),4,"")))))))</f>
        <v>3</v>
      </c>
      <c r="AX6" s="1">
        <f>IF(('[1]フォームの回答 1'!AD6="ほとんどなかった"),1,(IF(('[1]フォームの回答 1'!AD6="ときどきあった"),2,(IF(('[1]フォームの回答 1'!AD6="しばしばあった"),3,(IF(('[1]フォームの回答 1'!AD6="ほとんどいつもあった"),4,"")))))))</f>
        <v>4</v>
      </c>
      <c r="AY6" s="1">
        <f>IF(('[1]フォームの回答 1'!AE6="ほとんどなかった"),1,(IF(('[1]フォームの回答 1'!AE6="ときどきあった"),2,(IF(('[1]フォームの回答 1'!AE6="しばしばあった"),3,(IF(('[1]フォームの回答 1'!AE6="ほとんどいつもあった"),4,"")))))))</f>
        <v>3</v>
      </c>
      <c r="AZ6" s="1">
        <f>IF(('[1]フォームの回答 1'!AF6="ほとんどなかった"),1,(IF(('[1]フォームの回答 1'!AF6="ときどきあった"),2,(IF(('[1]フォームの回答 1'!AF6="しばしばあった"),3,(IF(('[1]フォームの回答 1'!AF6="ほとんどいつもあった"),4,"")))))))</f>
        <v>2</v>
      </c>
      <c r="BA6" s="1">
        <f>IF(('[1]フォームの回答 1'!AG6="ほとんどなかった"),1,(IF(('[1]フォームの回答 1'!AG6="ときどきあった"),2,(IF(('[1]フォームの回答 1'!AG6="しばしばあった"),3,(IF(('[1]フォームの回答 1'!AG6="ほとんどいつもあった"),4,"")))))))</f>
        <v>1</v>
      </c>
      <c r="BB6" s="1">
        <f>IF(('[1]フォームの回答 1'!AH6="ほとんどなかった"),1,(IF(('[1]フォームの回答 1'!AH6="ときどきあった"),2,(IF(('[1]フォームの回答 1'!AH6="しばしばあった"),3,(IF(('[1]フォームの回答 1'!AH6="ほとんどいつもあった"),4,"")))))))</f>
        <v>2</v>
      </c>
      <c r="BC6" s="1">
        <f>IF(('[1]フォームの回答 1'!AI6="ほとんどなかった"),1,(IF(('[1]フォームの回答 1'!AI6="ときどきあった"),2,(IF(('[1]フォームの回答 1'!AI6="しばしばあった"),3,(IF(('[1]フォームの回答 1'!AI6="ほとんどいつもあった"),4,"")))))))</f>
        <v>3</v>
      </c>
      <c r="BD6" s="1">
        <f>IF(('[1]フォームの回答 1'!AJ6="ほとんどなかった"),1,(IF(('[1]フォームの回答 1'!AJ6="ときどきあった"),2,(IF(('[1]フォームの回答 1'!AJ6="しばしばあった"),3,(IF(('[1]フォームの回答 1'!AJ6="ほとんどいつもあった"),4,"")))))))</f>
        <v>1</v>
      </c>
      <c r="BE6" s="1">
        <f>IF(('[1]フォームの回答 1'!AK6="ほとんどなかった"),1,(IF(('[1]フォームの回答 1'!AK6="ときどきあった"),2,(IF(('[1]フォームの回答 1'!AK6="しばしばあった"),3,(IF(('[1]フォームの回答 1'!AK6="ほとんどいつもあった"),4,"")))))))</f>
        <v>1</v>
      </c>
      <c r="BF6" s="1">
        <f>IF(('[1]フォームの回答 1'!AL6="ほとんどなかった"),1,(IF(('[1]フォームの回答 1'!AL6="ときどきあった"),2,(IF(('[1]フォームの回答 1'!AL6="しばしばあった"),3,(IF(('[1]フォームの回答 1'!AL6="ほとんどいつもあった"),4,"")))))))</f>
        <v>1</v>
      </c>
      <c r="BG6" s="1">
        <f>IF(('[1]フォームの回答 1'!AM6="ほとんどなかった"),1,(IF(('[1]フォームの回答 1'!AM6="ときどきあった"),2,(IF(('[1]フォームの回答 1'!AM6="しばしばあった"),3,(IF(('[1]フォームの回答 1'!AM6="ほとんどいつもあった"),4,"")))))))</f>
        <v>2</v>
      </c>
      <c r="BH6" s="1">
        <f>IF(('[1]フォームの回答 1'!AN6="ほとんどなかった"),1,(IF(('[1]フォームの回答 1'!AN6="ときどきあった"),2,(IF(('[1]フォームの回答 1'!AN6="しばしばあった"),3,(IF(('[1]フォームの回答 1'!AN6="ほとんどいつもあった"),4,"")))))))</f>
        <v>2</v>
      </c>
      <c r="BI6" s="1">
        <f>IF(('[1]フォームの回答 1'!AO6="ほとんどなかった"),1,(IF(('[1]フォームの回答 1'!AO6="ときどきあった"),2,(IF(('[1]フォームの回答 1'!AO6="しばしばあった"),3,(IF(('[1]フォームの回答 1'!AO6="ほとんどいつもあった"),4,"")))))))</f>
        <v>4</v>
      </c>
      <c r="BJ6" s="1">
        <f>IF(('[1]フォームの回答 1'!AP6="ほとんどなかった"),1,(IF(('[1]フォームの回答 1'!AP6="ときどきあった"),2,(IF(('[1]フォームの回答 1'!AP6="しばしばあった"),3,(IF(('[1]フォームの回答 1'!AP6="ほとんどいつもあった"),4,"")))))))</f>
        <v>1</v>
      </c>
      <c r="BK6" s="1">
        <f>IF(('[1]フォームの回答 1'!AQ6="ほとんどなかった"),1,(IF(('[1]フォームの回答 1'!AQ6="ときどきあった"),2,(IF(('[1]フォームの回答 1'!AQ6="しばしばあった"),3,(IF(('[1]フォームの回答 1'!AQ6="ほとんどいつもあった"),4,"")))))))</f>
        <v>3</v>
      </c>
      <c r="BL6" s="1">
        <f>IF(('[1]フォームの回答 1'!AR6="ほとんどなかった"),1,(IF(('[1]フォームの回答 1'!AR6="ときどきあった"),2,(IF(('[1]フォームの回答 1'!AR6="しばしばあった"),3,(IF(('[1]フォームの回答 1'!AR6="ほとんどいつもあった"),4,"")))))))</f>
        <v>2</v>
      </c>
      <c r="BM6" s="1">
        <f>IF(('[1]フォームの回答 1'!AS6="ほとんどなかった"),1,(IF(('[1]フォームの回答 1'!AS6="ときどきあった"),2,(IF(('[1]フォームの回答 1'!AS6="しばしばあった"),3,(IF(('[1]フォームの回答 1'!AS6="ほとんどいつもあった"),4,"")))))))</f>
        <v>1</v>
      </c>
      <c r="BN6" s="1">
        <f>IF(('[1]フォームの回答 1'!AT6="ほとんどなかった"),1,(IF(('[1]フォームの回答 1'!AT6="ときどきあった"),2,(IF(('[1]フォームの回答 1'!AT6="しばしばあった"),3,(IF(('[1]フォームの回答 1'!AT6="ほとんどいつもあった"),4,"")))))))</f>
        <v>2</v>
      </c>
      <c r="BO6" s="1">
        <f>IF(('[1]フォームの回答 1'!AU6="ほとんどなかった"),1,(IF(('[1]フォームの回答 1'!AU6="ときどきあった"),2,(IF(('[1]フォームの回答 1'!AU6="しばしばあった"),3,(IF(('[1]フォームの回答 1'!AU6="ほとんどいつもあった"),4,"")))))))</f>
        <v>1</v>
      </c>
      <c r="BP6" s="1">
        <f>IF(('[1]フォームの回答 1'!AV6="ほとんどなかった"),1,(IF(('[1]フォームの回答 1'!AV6="ときどきあった"),2,(IF(('[1]フォームの回答 1'!AV6="しばしばあった"),3,(IF(('[1]フォームの回答 1'!AV6="ほとんどいつもあった"),4,"")))))))</f>
        <v>3</v>
      </c>
      <c r="BQ6" s="1">
        <f t="shared" si="32"/>
        <v>3</v>
      </c>
      <c r="BR6" s="1">
        <f t="shared" si="33"/>
        <v>5</v>
      </c>
      <c r="BS6" s="1">
        <f t="shared" si="34"/>
        <v>7</v>
      </c>
      <c r="BT6" s="1">
        <f t="shared" si="4"/>
        <v>3</v>
      </c>
      <c r="BU6" s="1">
        <f t="shared" si="5"/>
        <v>8</v>
      </c>
      <c r="BV6" s="1">
        <f t="shared" si="6"/>
        <v>4</v>
      </c>
      <c r="BW6" s="1">
        <f t="shared" si="35"/>
        <v>10</v>
      </c>
      <c r="BX6" s="1">
        <f t="shared" si="7"/>
        <v>5</v>
      </c>
      <c r="BY6" s="1">
        <f t="shared" si="36"/>
        <v>10</v>
      </c>
      <c r="BZ6" s="1">
        <f t="shared" si="8"/>
        <v>3</v>
      </c>
      <c r="CA6" s="1">
        <f t="shared" si="37"/>
        <v>22</v>
      </c>
      <c r="CB6" s="1">
        <f t="shared" si="9"/>
        <v>4</v>
      </c>
      <c r="CC6" s="1">
        <f>IF(('[1]フォームの回答 1'!AW6="非常に"),1,(IF(('[1]フォームの回答 1'!AW6="かなり"),2,(IF(('[1]フォームの回答 1'!AW6="多少"),3,(IF(('[1]フォームの回答 1'!AW6="全くない"),4,"")))))))</f>
        <v>2</v>
      </c>
      <c r="CD6" s="1">
        <f>IF(('[1]フォームの回答 1'!AX6="非常に"),1,(IF(('[1]フォームの回答 1'!AX6="かなり"),2,(IF(('[1]フォームの回答 1'!AX6="多少"),3,(IF(('[1]フォームの回答 1'!AX6="全くない"),4,"")))))))</f>
        <v>1</v>
      </c>
      <c r="CE6" s="1">
        <f>IF(('[1]フォームの回答 1'!AY6="非常に"),1,(IF(('[1]フォームの回答 1'!AY6="かなり"),2,(IF(('[1]フォームの回答 1'!AY6="多少"),3,(IF(('[1]フォームの回答 1'!AY6="全くない"),4,"")))))))</f>
        <v>2</v>
      </c>
      <c r="CF6" s="1">
        <f>IF(('[1]フォームの回答 1'!AZ6="非常に"),1,(IF(('[1]フォームの回答 1'!AZ6="かなり"),2,(IF(('[1]フォームの回答 1'!AZ6="多少"),3,(IF(('[1]フォームの回答 1'!AZ6="全くない"),4,"")))))))</f>
        <v>2</v>
      </c>
      <c r="CG6" s="1">
        <f>IF(('[1]フォームの回答 1'!BA6="非常に"),1,(IF(('[1]フォームの回答 1'!BA6="かなり"),2,(IF(('[1]フォームの回答 1'!BA6="多少"),3,(IF(('[1]フォームの回答 1'!BA6="全くない"),4,"")))))))</f>
        <v>2</v>
      </c>
      <c r="CH6" s="1">
        <f>IF(('[1]フォームの回答 1'!BB6="非常に"),1,(IF(('[1]フォームの回答 1'!BB6="かなり"),2,(IF(('[1]フォームの回答 1'!BB6="多少"),3,(IF(('[1]フォームの回答 1'!BB6="全くない"),4,"")))))))</f>
        <v>2</v>
      </c>
      <c r="CI6" s="1">
        <f>IF(('[1]フォームの回答 1'!BC6="非常に"),1,(IF(('[1]フォームの回答 1'!BC6="かなり"),2,(IF(('[1]フォームの回答 1'!BC6="多少"),3,(IF(('[1]フォームの回答 1'!BC6="全くない"),4,"")))))))</f>
        <v>4</v>
      </c>
      <c r="CJ6" s="1">
        <f>IF(('[1]フォームの回答 1'!BD6="非常に"),1,(IF(('[1]フォームの回答 1'!BD6="かなり"),2,(IF(('[1]フォームの回答 1'!BD6="多少"),3,(IF(('[1]フォームの回答 1'!BD6="全くない"),4,"")))))))</f>
        <v>3</v>
      </c>
      <c r="CK6" s="1">
        <f>IF(('[1]フォームの回答 1'!BE6="非常に"),1,(IF(('[1]フォームの回答 1'!BE6="かなり"),2,(IF(('[1]フォームの回答 1'!BE6="多少"),3,(IF(('[1]フォームの回答 1'!BE6="全くない"),4,"")))))))</f>
        <v>1</v>
      </c>
      <c r="CL6" s="1">
        <f>IF(('[1]フォームの回答 1'!BF6="満足"),1,(IF(('[1]フォームの回答 1'!BF6="まぁ満足"),2,(IF(('[1]フォームの回答 1'!BF6="やや満足"),3,(IF(('[1]フォームの回答 1'!BF6="不満足"),4,"")))))))</f>
        <v>3</v>
      </c>
      <c r="CM6" s="1">
        <f>IF(('[1]フォームの回答 1'!BG6="満足"),1,(IF(('[1]フォームの回答 1'!BG6="まぁ満足"),2,(IF(('[1]フォームの回答 1'!BG6="やや満足"),3,(IF(('[1]フォームの回答 1'!BG6="不満足"),4,"")))))))</f>
        <v>3</v>
      </c>
      <c r="CN6" s="1">
        <f t="shared" si="38"/>
        <v>7</v>
      </c>
      <c r="CO6" s="1">
        <f t="shared" si="10"/>
        <v>3</v>
      </c>
      <c r="CP6" s="1">
        <f t="shared" si="39"/>
        <v>9</v>
      </c>
      <c r="CQ6" s="1">
        <f t="shared" si="11"/>
        <v>3</v>
      </c>
      <c r="CR6" s="1">
        <f t="shared" si="40"/>
        <v>10</v>
      </c>
      <c r="CS6" s="1">
        <f t="shared" si="41"/>
        <v>2</v>
      </c>
      <c r="CT6" s="1">
        <f t="shared" si="42"/>
        <v>4</v>
      </c>
      <c r="CU6" s="1">
        <f t="shared" si="12"/>
        <v>4</v>
      </c>
      <c r="CV6" s="1">
        <f t="shared" si="13"/>
        <v>24</v>
      </c>
      <c r="CW6" s="1">
        <f t="shared" si="14"/>
        <v>27</v>
      </c>
      <c r="CX6" s="1">
        <f t="shared" si="15"/>
        <v>8</v>
      </c>
      <c r="CY6" s="29" t="str">
        <f t="shared" si="43"/>
        <v>高</v>
      </c>
      <c r="CZ6" s="1">
        <v>0.8</v>
      </c>
      <c r="DA6" s="2">
        <f t="shared" si="16"/>
        <v>0.19999999999999996</v>
      </c>
      <c r="DB6" s="1">
        <f>IF(('[1]フォームの回答 1'!BI6="いつもより寝つきは良い"),0,(IF(('[1]フォームの回答 1'!BI6="いつもより少し時間がかかった"),1,(IF(('[1]フォームの回答 1'!BI6="いつもよりかなり時間がかかった"),2,(IF(('[1]フォームの回答 1'!BI6="いつもより非常に時間がかかった、あるいは全く眠れなかった"),3,"")))))))</f>
        <v>1</v>
      </c>
      <c r="DC6" s="1">
        <f>IF(('[1]フォームの回答 1'!BJ6="問題になるほどのことはなかった"),0,(IF(('[1]フォームの回答 1'!BJ6="少し困ることがある"),1,(IF(('[1]フォームの回答 1'!BJ6="かなり困っている"),2,(IF(('[1]フォームの回答 1'!BJ6="深刻な状態、あるいは全く眠れなかった"),3,"")))))))</f>
        <v>2</v>
      </c>
      <c r="DD6" s="1">
        <f>IF(('[1]フォームの回答 1'!BK6="そのようなことはなかった"),0,(IF(('[1]フォームの回答 1'!BK6="少し早かった"),1,(IF(('[1]フォームの回答 1'!BK6="かなり早かった"),2,(IF(('[1]フォームの回答 1'!BK6="非常に早かった、あるいは全く眠れなかった"),3,"")))))))</f>
        <v>0</v>
      </c>
      <c r="DE6" s="1">
        <f>IF(('[1]フォームの回答 1'!BL6="十分である"),0,(IF(('[1]フォームの回答 1'!BL6="少し足りない"),1,(IF(('[1]フォームの回答 1'!BL6="かなり足りない"),2,(IF(('[1]フォームの回答 1'!BL6="全く足りない、あるいは全く眠れなかった"),3,"")))))))</f>
        <v>1</v>
      </c>
      <c r="DF6" s="1">
        <f>IF(('[1]フォームの回答 1'!BM6="満足している"),0,(IF(('[1]フォームの回答 1'!BM6="少し不満である"),1,(IF(('[1]フォームの回答 1'!BM6="かなり不満である"),2,(IF(('[1]フォームの回答 1'!BM6="非常に不満である、あるいは全く眠れなかった"),3,"")))))))</f>
        <v>2</v>
      </c>
      <c r="DG6" s="1">
        <f>IF(('[1]フォームの回答 1'!BN6="いつもどおり"),0,(IF(('[1]フォームの回答 1'!BN6="少し滅入った"),1,(IF(('[1]フォームの回答 1'!BN6="かなり滅入った"),2,(IF(('[1]フォームの回答 1'!BN6="非常に滅入った"),3,"")))))))</f>
        <v>2</v>
      </c>
      <c r="DH6" s="1">
        <f>IF(('[1]フォームの回答 1'!BO6="いつもどおり"),0,(IF(('[1]フォームの回答 1'!BO6="少し低下した"),1,(IF(('[1]フォームの回答 1'!BO6="かなり低下した"),2,(IF(('[1]フォームの回答 1'!BO6="非常に低下した"),3,"")))))))</f>
        <v>2</v>
      </c>
      <c r="DI6" s="1">
        <f>IF(('[1]フォームの回答 1'!BP6="全くなかった"),0,(IF(('[1]フォームの回答 1'!BP6="少しあった"),1,(IF(('[1]フォームの回答 1'!BP6="かなりあった"),2,(IF(('[1]フォームの回答 1'!BP6="激しかった"),3,"")))))))</f>
        <v>2</v>
      </c>
      <c r="DJ6">
        <f t="shared" si="44"/>
        <v>12</v>
      </c>
      <c r="DK6" s="4" t="str">
        <f t="shared" si="45"/>
        <v>高</v>
      </c>
      <c r="DL6" s="5">
        <v>10.5</v>
      </c>
      <c r="DM6" s="5">
        <v>16.899999999999999</v>
      </c>
      <c r="DN6" s="5">
        <v>34.9</v>
      </c>
      <c r="DO6" s="5">
        <v>62.3</v>
      </c>
      <c r="DP6" s="5"/>
      <c r="DQ6" s="5"/>
      <c r="DR6" s="43">
        <v>0.61199999999999999</v>
      </c>
      <c r="DS6" s="43">
        <v>113.02</v>
      </c>
      <c r="DT6" s="5">
        <v>0.54</v>
      </c>
      <c r="DU6" s="5">
        <v>27</v>
      </c>
      <c r="DV6" s="5" t="s">
        <v>115</v>
      </c>
    </row>
    <row r="7" spans="1:126" ht="14" hidden="1">
      <c r="A7" s="1">
        <v>296</v>
      </c>
      <c r="B7" s="24" t="s">
        <v>140</v>
      </c>
      <c r="C7" s="24">
        <v>36198</v>
      </c>
      <c r="D7" s="38">
        <f t="shared" si="17"/>
        <v>25</v>
      </c>
      <c r="E7" s="1">
        <f>IF(('[1]フォームの回答 1'!C7="そうだ"),1,(IF(('[1]フォームの回答 1'!C7="まぁそうだ"),2,(IF(('[1]フォームの回答 1'!C7="ややちがう"),3,(IF(('[1]フォームの回答 1'!C7="ちがう"),4,"")))))))</f>
        <v>2</v>
      </c>
      <c r="F7" s="1">
        <f>IF(('[1]フォームの回答 1'!D7="そうだ"),1,(IF(('[1]フォームの回答 1'!D7="まぁそうだ"),2,(IF(('[1]フォームの回答 1'!D7="ややちがう"),3,(IF(('[1]フォームの回答 1'!D7="ちがう"),4,"")))))))</f>
        <v>3</v>
      </c>
      <c r="G7" s="1">
        <f>IF(('[1]フォームの回答 1'!E7="そうだ"),1,(IF(('[1]フォームの回答 1'!E7="まぁそうだ"),2,(IF(('[1]フォームの回答 1'!E7="ややちがう"),3,(IF(('[1]フォームの回答 1'!E7="ちがう"),4,"")))))))</f>
        <v>2</v>
      </c>
      <c r="H7" s="1">
        <f>IF(('[1]フォームの回答 1'!F7="そうだ"),1,(IF(('[1]フォームの回答 1'!F7="まぁそうだ"),2,(IF(('[1]フォームの回答 1'!F7="ややちがう"),3,(IF(('[1]フォームの回答 1'!F7="ちがう"),4,"")))))))</f>
        <v>2</v>
      </c>
      <c r="I7" s="1">
        <f>IF(('[1]フォームの回答 1'!G7="そうだ"),1,(IF(('[1]フォームの回答 1'!G7="まぁそうだ"),2,(IF(('[1]フォームの回答 1'!G7="ややちがう"),3,(IF(('[1]フォームの回答 1'!G7="ちがう"),4,"")))))))</f>
        <v>1</v>
      </c>
      <c r="J7" s="1">
        <f>IF(('[1]フォームの回答 1'!H7="そうだ"),1,(IF(('[1]フォームの回答 1'!H7="まぁそうだ"),2,(IF(('[1]フォームの回答 1'!H7="ややちがう"),3,(IF(('[1]フォームの回答 1'!H7="ちがう"),4,"")))))))</f>
        <v>3</v>
      </c>
      <c r="K7" s="1">
        <f>IF(('[1]フォームの回答 1'!I7="そうだ"),1,(IF(('[1]フォームの回答 1'!I7="まぁそうだ"),2,(IF(('[1]フォームの回答 1'!I7="ややちがう"),3,(IF(('[1]フォームの回答 1'!I7="ちがう"),4,"")))))))</f>
        <v>4</v>
      </c>
      <c r="L7" s="1">
        <f>IF(('[1]フォームの回答 1'!J7="そうだ"),1,(IF(('[1]フォームの回答 1'!J7="まぁそうだ"),2,(IF(('[1]フォームの回答 1'!J7="ややちがう"),3,(IF(('[1]フォームの回答 1'!J7="ちがう"),4,"")))))))</f>
        <v>2</v>
      </c>
      <c r="M7" s="1">
        <f>IF(('[1]フォームの回答 1'!K7="そうだ"),1,(IF(('[1]フォームの回答 1'!K7="まぁそうだ"),2,(IF(('[1]フォームの回答 1'!K7="ややちがう"),3,(IF(('[1]フォームの回答 1'!K7="ちがう"),4,"")))))))</f>
        <v>2</v>
      </c>
      <c r="N7" s="1">
        <f>IF(('[1]フォームの回答 1'!L7="そうだ"),1,(IF(('[1]フォームの回答 1'!L7="まぁそうだ"),2,(IF(('[1]フォームの回答 1'!L7="ややちがう"),3,(IF(('[1]フォームの回答 1'!L7="ちがう"),4,"")))))))</f>
        <v>3</v>
      </c>
      <c r="O7" s="1">
        <f>IF(('[1]フォームの回答 1'!M7="そうだ"),1,(IF(('[1]フォームの回答 1'!M7="まぁそうだ"),2,(IF(('[1]フォームの回答 1'!M7="ややちがう"),3,(IF(('[1]フォームの回答 1'!M7="ちがう"),4,"")))))))</f>
        <v>2</v>
      </c>
      <c r="P7" s="1">
        <f>IF(('[1]フォームの回答 1'!N7="そうだ"),1,(IF(('[1]フォームの回答 1'!N7="まぁそうだ"),2,(IF(('[1]フォームの回答 1'!N7="ややちがう"),3,(IF(('[1]フォームの回答 1'!N7="ちがう"),4,"")))))))</f>
        <v>4</v>
      </c>
      <c r="Q7" s="1">
        <f>IF(('[1]フォームの回答 1'!O7="そうだ"),1,(IF(('[1]フォームの回答 1'!O7="まぁそうだ"),2,(IF(('[1]フォームの回答 1'!O7="ややちがう"),3,(IF(('[1]フォームの回答 1'!O7="ちがう"),4,"")))))))</f>
        <v>4</v>
      </c>
      <c r="R7" s="1">
        <f>IF(('[1]フォームの回答 1'!P7="そうだ"),1,(IF(('[1]フォームの回答 1'!P7="まぁそうだ"),2,(IF(('[1]フォームの回答 1'!P7="ややちがう"),3,(IF(('[1]フォームの回答 1'!P7="ちがう"),4,"")))))))</f>
        <v>2</v>
      </c>
      <c r="S7" s="1">
        <f>IF(('[1]フォームの回答 1'!Q7="そうだ"),1,(IF(('[1]フォームの回答 1'!Q7="まぁそうだ"),2,(IF(('[1]フォームの回答 1'!Q7="ややちがう"),3,(IF(('[1]フォームの回答 1'!Q7="ちがう"),4,"")))))))</f>
        <v>2</v>
      </c>
      <c r="T7" s="1">
        <f>IF(('[1]フォームの回答 1'!R7="そうだ"),1,(IF(('[1]フォームの回答 1'!R7="まぁそうだ"),2,(IF(('[1]フォームの回答 1'!R7="ややちがう"),3,(IF(('[1]フォームの回答 1'!R7="ちがう"),4,"")))))))</f>
        <v>2</v>
      </c>
      <c r="U7" s="1">
        <f>IF(('[1]フォームの回答 1'!S7="そうだ"),1,(IF(('[1]フォームの回答 1'!S7="まぁそうだ"),2,(IF(('[1]フォームの回答 1'!S7="ややちがう"),3,(IF(('[1]フォームの回答 1'!S7="ちがう"),4,"")))))))</f>
        <v>2</v>
      </c>
      <c r="V7" s="1">
        <f t="shared" si="18"/>
        <v>8</v>
      </c>
      <c r="W7" s="1">
        <f t="shared" si="0"/>
        <v>3</v>
      </c>
      <c r="X7" s="1">
        <f t="shared" si="19"/>
        <v>9</v>
      </c>
      <c r="Y7" s="1">
        <f t="shared" si="1"/>
        <v>4</v>
      </c>
      <c r="Z7" s="1">
        <f t="shared" si="20"/>
        <v>1</v>
      </c>
      <c r="AA7" s="1">
        <f t="shared" si="21"/>
        <v>2</v>
      </c>
      <c r="AB7" s="1">
        <f t="shared" si="22"/>
        <v>4</v>
      </c>
      <c r="AC7" s="1">
        <f t="shared" si="23"/>
        <v>2</v>
      </c>
      <c r="AD7" s="1">
        <f t="shared" si="24"/>
        <v>3</v>
      </c>
      <c r="AE7" s="1">
        <f t="shared" si="2"/>
        <v>4</v>
      </c>
      <c r="AF7" s="1">
        <f t="shared" si="25"/>
        <v>8</v>
      </c>
      <c r="AG7" s="1">
        <f t="shared" si="3"/>
        <v>3</v>
      </c>
      <c r="AH7" s="1">
        <f t="shared" si="26"/>
        <v>2</v>
      </c>
      <c r="AI7" s="1">
        <f t="shared" si="27"/>
        <v>4</v>
      </c>
      <c r="AJ7" s="1">
        <f t="shared" si="28"/>
        <v>3</v>
      </c>
      <c r="AK7" s="1">
        <f t="shared" si="29"/>
        <v>3</v>
      </c>
      <c r="AL7" s="1">
        <f t="shared" si="30"/>
        <v>3</v>
      </c>
      <c r="AM7" s="1">
        <f t="shared" si="31"/>
        <v>3</v>
      </c>
      <c r="AN7" s="1">
        <f>IF(('[1]フォームの回答 1'!T7="ほとんどなかった"),1,(IF(('[1]フォームの回答 1'!T7="ときどきあった"),2,(IF(('[1]フォームの回答 1'!T7="しばしばあった"),3,(IF(('[1]フォームの回答 1'!T7="ほとんどいつもあった"),4,"")))))))</f>
        <v>1</v>
      </c>
      <c r="AO7" s="1">
        <f>IF(('[1]フォームの回答 1'!U7="ほとんどなかった"),1,(IF(('[1]フォームの回答 1'!U7="ときどきあった"),2,(IF(('[1]フォームの回答 1'!U7="しばしばあった"),3,(IF(('[1]フォームの回答 1'!U7="ほとんどいつもあった"),4,"")))))))</f>
        <v>1</v>
      </c>
      <c r="AP7" s="1">
        <f>IF(('[1]フォームの回答 1'!V7="ほとんどなかった"),1,(IF(('[1]フォームの回答 1'!V7="ときどきあった"),2,(IF(('[1]フォームの回答 1'!V7="しばしばあった"),3,(IF(('[1]フォームの回答 1'!V7="ほとんどいつもあった"),4,"")))))))</f>
        <v>1</v>
      </c>
      <c r="AQ7" s="1">
        <f>IF(('[1]フォームの回答 1'!W7="ほとんどなかった"),1,(IF(('[1]フォームの回答 1'!W7="ときどきあった"),2,(IF(('[1]フォームの回答 1'!W7="しばしばあった"),3,(IF(('[1]フォームの回答 1'!W7="ほとんどいつもあった"),4,"")))))))</f>
        <v>2</v>
      </c>
      <c r="AR7" s="1">
        <f>IF(('[1]フォームの回答 1'!X7="ほとんどなかった"),1,(IF(('[1]フォームの回答 1'!X7="ときどきあった"),2,(IF(('[1]フォームの回答 1'!X7="しばしばあった"),3,(IF(('[1]フォームの回答 1'!X7="ほとんどいつもあった"),4,"")))))))</f>
        <v>1</v>
      </c>
      <c r="AS7" s="1">
        <f>IF(('[1]フォームの回答 1'!Y7="ほとんどなかった"),1,(IF(('[1]フォームの回答 1'!Y7="ときどきあった"),2,(IF(('[1]フォームの回答 1'!Y7="しばしばあった"),3,(IF(('[1]フォームの回答 1'!Y7="ほとんどいつもあった"),4,"")))))))</f>
        <v>3</v>
      </c>
      <c r="AT7" s="1">
        <f>IF(('[1]フォームの回答 1'!Z7="ほとんどなかった"),1,(IF(('[1]フォームの回答 1'!Z7="ときどきあった"),2,(IF(('[1]フォームの回答 1'!Z7="しばしばあった"),3,(IF(('[1]フォームの回答 1'!Z7="ほとんどいつもあった"),4,"")))))))</f>
        <v>3</v>
      </c>
      <c r="AU7" s="1">
        <f>IF(('[1]フォームの回答 1'!AA7="ほとんどなかった"),1,(IF(('[1]フォームの回答 1'!AA7="ときどきあった"),2,(IF(('[1]フォームの回答 1'!AA7="しばしばあった"),3,(IF(('[1]フォームの回答 1'!AA7="ほとんどいつもあった"),4,"")))))))</f>
        <v>2</v>
      </c>
      <c r="AV7" s="1">
        <f>IF(('[1]フォームの回答 1'!AB7="ほとんどなかった"),1,(IF(('[1]フォームの回答 1'!AB7="ときどきばあった"),2,(IF(('[1]フォームの回答 1'!AB7="しばしばあった"),3,(IF(('[1]フォームの回答 1'!AB7="ほとんどいつもあった"),4,"")))))))</f>
        <v>4</v>
      </c>
      <c r="AW7" s="1">
        <f>IF(('[1]フォームの回答 1'!AC7="ほとんどなかった"),1,(IF(('[1]フォームの回答 1'!AC7="ときどきあった"),2,(IF(('[1]フォームの回答 1'!AC7="しばしばあった"),3,(IF(('[1]フォームの回答 1'!AC7="ほとんどいつもあった"),4,"")))))))</f>
        <v>3</v>
      </c>
      <c r="AX7" s="1">
        <f>IF(('[1]フォームの回答 1'!AD7="ほとんどなかった"),1,(IF(('[1]フォームの回答 1'!AD7="ときどきあった"),2,(IF(('[1]フォームの回答 1'!AD7="しばしばあった"),3,(IF(('[1]フォームの回答 1'!AD7="ほとんどいつもあった"),4,"")))))))</f>
        <v>4</v>
      </c>
      <c r="AY7" s="1">
        <f>IF(('[1]フォームの回答 1'!AE7="ほとんどなかった"),1,(IF(('[1]フォームの回答 1'!AE7="ときどきあった"),2,(IF(('[1]フォームの回答 1'!AE7="しばしばあった"),3,(IF(('[1]フォームの回答 1'!AE7="ほとんどいつもあった"),4,"")))))))</f>
        <v>3</v>
      </c>
      <c r="AZ7" s="1">
        <f>IF(('[1]フォームの回答 1'!AF7="ほとんどなかった"),1,(IF(('[1]フォームの回答 1'!AF7="ときどきあった"),2,(IF(('[1]フォームの回答 1'!AF7="しばしばあった"),3,(IF(('[1]フォームの回答 1'!AF7="ほとんどいつもあった"),4,"")))))))</f>
        <v>2</v>
      </c>
      <c r="BA7" s="1">
        <f>IF(('[1]フォームの回答 1'!AG7="ほとんどなかった"),1,(IF(('[1]フォームの回答 1'!AG7="ときどきあった"),2,(IF(('[1]フォームの回答 1'!AG7="しばしばあった"),3,(IF(('[1]フォームの回答 1'!AG7="ほとんどいつもあった"),4,"")))))))</f>
        <v>3</v>
      </c>
      <c r="BB7" s="1">
        <f>IF(('[1]フォームの回答 1'!AH7="ほとんどなかった"),1,(IF(('[1]フォームの回答 1'!AH7="ときどきあった"),2,(IF(('[1]フォームの回答 1'!AH7="しばしばあった"),3,(IF(('[1]フォームの回答 1'!AH7="ほとんどいつもあった"),4,"")))))))</f>
        <v>4</v>
      </c>
      <c r="BC7" s="1">
        <f>IF(('[1]フォームの回答 1'!AI7="ほとんどなかった"),1,(IF(('[1]フォームの回答 1'!AI7="ときどきあった"),2,(IF(('[1]フォームの回答 1'!AI7="しばしばあった"),3,(IF(('[1]フォームの回答 1'!AI7="ほとんどいつもあった"),4,"")))))))</f>
        <v>3</v>
      </c>
      <c r="BD7" s="1">
        <f>IF(('[1]フォームの回答 1'!AJ7="ほとんどなかった"),1,(IF(('[1]フォームの回答 1'!AJ7="ときどきあった"),2,(IF(('[1]フォームの回答 1'!AJ7="しばしばあった"),3,(IF(('[1]フォームの回答 1'!AJ7="ほとんどいつもあった"),4,"")))))))</f>
        <v>2</v>
      </c>
      <c r="BE7" s="1">
        <f>IF(('[1]フォームの回答 1'!AK7="ほとんどなかった"),1,(IF(('[1]フォームの回答 1'!AK7="ときどきあった"),2,(IF(('[1]フォームの回答 1'!AK7="しばしばあった"),3,(IF(('[1]フォームの回答 1'!AK7="ほとんどいつもあった"),4,"")))))))</f>
        <v>2</v>
      </c>
      <c r="BF7" s="1">
        <f>IF(('[1]フォームの回答 1'!AL7="ほとんどなかった"),1,(IF(('[1]フォームの回答 1'!AL7="ときどきあった"),2,(IF(('[1]フォームの回答 1'!AL7="しばしばあった"),3,(IF(('[1]フォームの回答 1'!AL7="ほとんどいつもあった"),4,"")))))))</f>
        <v>1</v>
      </c>
      <c r="BG7" s="1">
        <f>IF(('[1]フォームの回答 1'!AM7="ほとんどなかった"),1,(IF(('[1]フォームの回答 1'!AM7="ときどきあった"),2,(IF(('[1]フォームの回答 1'!AM7="しばしばあった"),3,(IF(('[1]フォームの回答 1'!AM7="ほとんどいつもあった"),4,"")))))))</f>
        <v>1</v>
      </c>
      <c r="BH7" s="1">
        <f>IF(('[1]フォームの回答 1'!AN7="ほとんどなかった"),1,(IF(('[1]フォームの回答 1'!AN7="ときどきあった"),2,(IF(('[1]フォームの回答 1'!AN7="しばしばあった"),3,(IF(('[1]フォームの回答 1'!AN7="ほとんどいつもあった"),4,"")))))))</f>
        <v>2</v>
      </c>
      <c r="BI7" s="1">
        <f>IF(('[1]フォームの回答 1'!AO7="ほとんどなかった"),1,(IF(('[1]フォームの回答 1'!AO7="ときどきあった"),2,(IF(('[1]フォームの回答 1'!AO7="しばしばあった"),3,(IF(('[1]フォームの回答 1'!AO7="ほとんどいつもあった"),4,"")))))))</f>
        <v>2</v>
      </c>
      <c r="BJ7" s="1">
        <f>IF(('[1]フォームの回答 1'!AP7="ほとんどなかった"),1,(IF(('[1]フォームの回答 1'!AP7="ときどきあった"),2,(IF(('[1]フォームの回答 1'!AP7="しばしばあった"),3,(IF(('[1]フォームの回答 1'!AP7="ほとんどいつもあった"),4,"")))))))</f>
        <v>2</v>
      </c>
      <c r="BK7" s="1">
        <f>IF(('[1]フォームの回答 1'!AQ7="ほとんどなかった"),1,(IF(('[1]フォームの回答 1'!AQ7="ときどきあった"),2,(IF(('[1]フォームの回答 1'!AQ7="しばしばあった"),3,(IF(('[1]フォームの回答 1'!AQ7="ほとんどいつもあった"),4,"")))))))</f>
        <v>2</v>
      </c>
      <c r="BL7" s="1">
        <f>IF(('[1]フォームの回答 1'!AR7="ほとんどなかった"),1,(IF(('[1]フォームの回答 1'!AR7="ときどきあった"),2,(IF(('[1]フォームの回答 1'!AR7="しばしばあった"),3,(IF(('[1]フォームの回答 1'!AR7="ほとんどいつもあった"),4,"")))))))</f>
        <v>1</v>
      </c>
      <c r="BM7" s="1">
        <f>IF(('[1]フォームの回答 1'!AS7="ほとんどなかった"),1,(IF(('[1]フォームの回答 1'!AS7="ときどきあった"),2,(IF(('[1]フォームの回答 1'!AS7="しばしばあった"),3,(IF(('[1]フォームの回答 1'!AS7="ほとんどいつもあった"),4,"")))))))</f>
        <v>2</v>
      </c>
      <c r="BN7" s="1">
        <f>IF(('[1]フォームの回答 1'!AT7="ほとんどなかった"),1,(IF(('[1]フォームの回答 1'!AT7="ときどきあった"),2,(IF(('[1]フォームの回答 1'!AT7="しばしばあった"),3,(IF(('[1]フォームの回答 1'!AT7="ほとんどいつもあった"),4,"")))))))</f>
        <v>2</v>
      </c>
      <c r="BO7" s="1">
        <f>IF(('[1]フォームの回答 1'!AU7="ほとんどなかった"),1,(IF(('[1]フォームの回答 1'!AU7="ときどきあった"),2,(IF(('[1]フォームの回答 1'!AU7="しばしばあった"),3,(IF(('[1]フォームの回答 1'!AU7="ほとんどいつもあった"),4,"")))))))</f>
        <v>4</v>
      </c>
      <c r="BP7" s="1">
        <f>IF(('[1]フォームの回答 1'!AV7="ほとんどなかった"),1,(IF(('[1]フォームの回答 1'!AV7="ときどきあった"),2,(IF(('[1]フォームの回答 1'!AV7="しばしばあった"),3,(IF(('[1]フォームの回答 1'!AV7="ほとんどいつもあった"),4,"")))))))</f>
        <v>1</v>
      </c>
      <c r="BQ7" s="1">
        <f t="shared" si="32"/>
        <v>3</v>
      </c>
      <c r="BR7" s="1">
        <f t="shared" si="33"/>
        <v>5</v>
      </c>
      <c r="BS7" s="1">
        <f t="shared" si="34"/>
        <v>6</v>
      </c>
      <c r="BT7" s="1">
        <f t="shared" si="4"/>
        <v>3</v>
      </c>
      <c r="BU7" s="1">
        <f t="shared" si="5"/>
        <v>9</v>
      </c>
      <c r="BV7" s="1">
        <f t="shared" si="6"/>
        <v>4</v>
      </c>
      <c r="BW7" s="1">
        <f t="shared" si="35"/>
        <v>10</v>
      </c>
      <c r="BX7" s="1">
        <f t="shared" si="7"/>
        <v>4</v>
      </c>
      <c r="BY7" s="1">
        <f t="shared" si="36"/>
        <v>16</v>
      </c>
      <c r="BZ7" s="1">
        <f t="shared" si="8"/>
        <v>4</v>
      </c>
      <c r="CA7" s="1">
        <f t="shared" si="37"/>
        <v>20</v>
      </c>
      <c r="CB7" s="1">
        <f t="shared" si="9"/>
        <v>3</v>
      </c>
      <c r="CC7" s="1">
        <f>IF(('[1]フォームの回答 1'!AW7="非常に"),1,(IF(('[1]フォームの回答 1'!AW7="かなり"),2,(IF(('[1]フォームの回答 1'!AW7="多少"),3,(IF(('[1]フォームの回答 1'!AW7="全くない"),4,"")))))))</f>
        <v>4</v>
      </c>
      <c r="CD7" s="1">
        <f>IF(('[1]フォームの回答 1'!AX7="非常に"),1,(IF(('[1]フォームの回答 1'!AX7="かなり"),2,(IF(('[1]フォームの回答 1'!AX7="多少"),3,(IF(('[1]フォームの回答 1'!AX7="全くない"),4,"")))))))</f>
        <v>4</v>
      </c>
      <c r="CE7" s="1">
        <f>IF(('[1]フォームの回答 1'!AY7="非常に"),1,(IF(('[1]フォームの回答 1'!AY7="かなり"),2,(IF(('[1]フォームの回答 1'!AY7="多少"),3,(IF(('[1]フォームの回答 1'!AY7="全くない"),4,"")))))))</f>
        <v>2</v>
      </c>
      <c r="CF7" s="1">
        <f>IF(('[1]フォームの回答 1'!AZ7="非常に"),1,(IF(('[1]フォームの回答 1'!AZ7="かなり"),2,(IF(('[1]フォームの回答 1'!AZ7="多少"),3,(IF(('[1]フォームの回答 1'!AZ7="全くない"),4,"")))))))</f>
        <v>2</v>
      </c>
      <c r="CG7" s="1">
        <f>IF(('[1]フォームの回答 1'!BA7="非常に"),1,(IF(('[1]フォームの回答 1'!BA7="かなり"),2,(IF(('[1]フォームの回答 1'!BA7="多少"),3,(IF(('[1]フォームの回答 1'!BA7="全くない"),4,"")))))))</f>
        <v>2</v>
      </c>
      <c r="CH7" s="1">
        <f>IF(('[1]フォームの回答 1'!BB7="非常に"),1,(IF(('[1]フォームの回答 1'!BB7="かなり"),2,(IF(('[1]フォームの回答 1'!BB7="多少"),3,(IF(('[1]フォームの回答 1'!BB7="全くない"),4,"")))))))</f>
        <v>2</v>
      </c>
      <c r="CI7" s="1">
        <f>IF(('[1]フォームの回答 1'!BC7="非常に"),1,(IF(('[1]フォームの回答 1'!BC7="かなり"),2,(IF(('[1]フォームの回答 1'!BC7="多少"),3,(IF(('[1]フォームの回答 1'!BC7="全くない"),4,"")))))))</f>
        <v>4</v>
      </c>
      <c r="CJ7" s="1">
        <f>IF(('[1]フォームの回答 1'!BD7="非常に"),1,(IF(('[1]フォームの回答 1'!BD7="かなり"),2,(IF(('[1]フォームの回答 1'!BD7="多少"),3,(IF(('[1]フォームの回答 1'!BD7="全くない"),4,"")))))))</f>
        <v>4</v>
      </c>
      <c r="CK7" s="1">
        <f>IF(('[1]フォームの回答 1'!BE7="非常に"),1,(IF(('[1]フォームの回答 1'!BE7="かなり"),2,(IF(('[1]フォームの回答 1'!BE7="多少"),3,(IF(('[1]フォームの回答 1'!BE7="全くない"),4,"")))))))</f>
        <v>3</v>
      </c>
      <c r="CL7" s="1">
        <f>IF(('[1]フォームの回答 1'!BF7="満足"),1,(IF(('[1]フォームの回答 1'!BF7="まぁ満足"),2,(IF(('[1]フォームの回答 1'!BF7="やや満足"),3,(IF(('[1]フォームの回答 1'!BF7="不満足"),4,"")))))))</f>
        <v>3</v>
      </c>
      <c r="CM7" s="1">
        <f>IF(('[1]フォームの回答 1'!BG7="満足"),1,(IF(('[1]フォームの回答 1'!BG7="まぁ満足"),2,(IF(('[1]フォームの回答 1'!BG7="やや満足"),3,(IF(('[1]フォームの回答 1'!BG7="不満足"),4,"")))))))</f>
        <v>2</v>
      </c>
      <c r="CN7" s="1">
        <f t="shared" si="38"/>
        <v>5</v>
      </c>
      <c r="CO7" s="1">
        <f t="shared" si="10"/>
        <v>4</v>
      </c>
      <c r="CP7" s="1">
        <f t="shared" si="39"/>
        <v>5</v>
      </c>
      <c r="CQ7" s="1">
        <f t="shared" si="11"/>
        <v>5</v>
      </c>
      <c r="CR7" s="1">
        <f t="shared" si="40"/>
        <v>8</v>
      </c>
      <c r="CS7" s="1">
        <f t="shared" si="41"/>
        <v>4</v>
      </c>
      <c r="CT7" s="1">
        <f t="shared" si="42"/>
        <v>5</v>
      </c>
      <c r="CU7" s="1">
        <f t="shared" si="12"/>
        <v>3</v>
      </c>
      <c r="CV7" s="1">
        <f t="shared" si="13"/>
        <v>23</v>
      </c>
      <c r="CW7" s="1">
        <f t="shared" si="14"/>
        <v>28</v>
      </c>
      <c r="CX7" s="1">
        <f t="shared" si="15"/>
        <v>13</v>
      </c>
      <c r="CY7" s="29" t="str">
        <f t="shared" si="43"/>
        <v>中①</v>
      </c>
      <c r="CZ7" s="1">
        <v>0.7</v>
      </c>
      <c r="DA7" s="2">
        <f t="shared" si="16"/>
        <v>0.30000000000000004</v>
      </c>
      <c r="DB7" s="1">
        <f>IF(('[1]フォームの回答 1'!BI7="いつもより寝つきは良い"),0,(IF(('[1]フォームの回答 1'!BI7="いつもより少し時間がかかった"),1,(IF(('[1]フォームの回答 1'!BI7="いつもよりかなり時間がかかった"),2,(IF(('[1]フォームの回答 1'!BI7="いつもより非常に時間がかかった、あるいは全く眠れなかった"),3,"")))))))</f>
        <v>0</v>
      </c>
      <c r="DC7" s="1">
        <f>IF(('[1]フォームの回答 1'!BJ7="問題になるほどのことはなかった"),0,(IF(('[1]フォームの回答 1'!BJ7="少し困ることがある"),1,(IF(('[1]フォームの回答 1'!BJ7="かなり困っている"),2,(IF(('[1]フォームの回答 1'!BJ7="深刻な状態、あるいは全く眠れなかった"),3,"")))))))</f>
        <v>0</v>
      </c>
      <c r="DD7" s="1">
        <f>IF(('[1]フォームの回答 1'!BK7="そのようなことはなかった"),0,(IF(('[1]フォームの回答 1'!BK7="少し早かった"),1,(IF(('[1]フォームの回答 1'!BK7="かなり早かった"),2,(IF(('[1]フォームの回答 1'!BK7="非常に早かった、あるいは全く眠れなかった"),3,"")))))))</f>
        <v>1</v>
      </c>
      <c r="DE7" s="1">
        <f>IF(('[1]フォームの回答 1'!BL7="十分である"),0,(IF(('[1]フォームの回答 1'!BL7="少し足りない"),1,(IF(('[1]フォームの回答 1'!BL7="かなり足りない"),2,(IF(('[1]フォームの回答 1'!BL7="全く足りない、あるいは全く眠れなかった"),3,"")))))))</f>
        <v>2</v>
      </c>
      <c r="DF7" s="1">
        <f>IF(('[1]フォームの回答 1'!BM7="満足している"),0,(IF(('[1]フォームの回答 1'!BM7="少し不満である"),1,(IF(('[1]フォームの回答 1'!BM7="かなり不満である"),2,(IF(('[1]フォームの回答 1'!BM7="非常に不満である、あるいは全く眠れなかった"),3,"")))))))</f>
        <v>0</v>
      </c>
      <c r="DG7" s="1">
        <f>IF(('[1]フォームの回答 1'!BN7="いつもどおり"),0,(IF(('[1]フォームの回答 1'!BN7="少し滅入った"),1,(IF(('[1]フォームの回答 1'!BN7="かなり滅入った"),2,(IF(('[1]フォームの回答 1'!BN7="非常に滅入った"),3,"")))))))</f>
        <v>1</v>
      </c>
      <c r="DH7" s="1">
        <f>IF(('[1]フォームの回答 1'!BO7="いつもどおり"),0,(IF(('[1]フォームの回答 1'!BO7="少し低下した"),1,(IF(('[1]フォームの回答 1'!BO7="かなり低下した"),2,(IF(('[1]フォームの回答 1'!BO7="非常に低下した"),3,"")))))))</f>
        <v>2</v>
      </c>
      <c r="DI7" s="1">
        <f>IF(('[1]フォームの回答 1'!BP7="全くなかった"),0,(IF(('[1]フォームの回答 1'!BP7="少しあった"),1,(IF(('[1]フォームの回答 1'!BP7="かなりあった"),2,(IF(('[1]フォームの回答 1'!BP7="激しかった"),3,"")))))))</f>
        <v>3</v>
      </c>
      <c r="DJ7">
        <f t="shared" si="44"/>
        <v>9</v>
      </c>
      <c r="DK7" s="4" t="str">
        <f t="shared" si="45"/>
        <v>高</v>
      </c>
      <c r="DL7" s="5">
        <v>13.8</v>
      </c>
      <c r="DM7" s="5">
        <v>7.9</v>
      </c>
      <c r="DN7" s="5">
        <v>5.9</v>
      </c>
      <c r="DO7" s="5">
        <v>27.6</v>
      </c>
      <c r="DP7" s="5"/>
      <c r="DQ7" s="5"/>
      <c r="DR7" s="43">
        <v>3.5999999999999997E-2</v>
      </c>
      <c r="DS7" s="43">
        <v>35.4</v>
      </c>
      <c r="DT7" s="5">
        <v>0.1</v>
      </c>
      <c r="DU7" s="5">
        <v>10</v>
      </c>
      <c r="DV7" s="5" t="s">
        <v>115</v>
      </c>
    </row>
    <row r="8" spans="1:126" ht="14">
      <c r="A8" s="1">
        <v>297</v>
      </c>
      <c r="B8" s="24" t="s">
        <v>139</v>
      </c>
      <c r="C8" s="24">
        <v>35828</v>
      </c>
      <c r="D8" s="38">
        <f t="shared" si="17"/>
        <v>26</v>
      </c>
      <c r="E8" s="1">
        <f>IF(('[1]フォームの回答 1'!C8="そうだ"),1,(IF(('[1]フォームの回答 1'!C8="まぁそうだ"),2,(IF(('[1]フォームの回答 1'!C8="ややちがう"),3,(IF(('[1]フォームの回答 1'!C8="ちがう"),4,"")))))))</f>
        <v>3</v>
      </c>
      <c r="F8" s="1">
        <f>IF(('[1]フォームの回答 1'!D8="そうだ"),1,(IF(('[1]フォームの回答 1'!D8="まぁそうだ"),2,(IF(('[1]フォームの回答 1'!D8="ややちがう"),3,(IF(('[1]フォームの回答 1'!D8="ちがう"),4,"")))))))</f>
        <v>3</v>
      </c>
      <c r="G8" s="1">
        <f>IF(('[1]フォームの回答 1'!E8="そうだ"),1,(IF(('[1]フォームの回答 1'!E8="まぁそうだ"),2,(IF(('[1]フォームの回答 1'!E8="ややちがう"),3,(IF(('[1]フォームの回答 1'!E8="ちがう"),4,"")))))))</f>
        <v>2</v>
      </c>
      <c r="H8" s="1">
        <f>IF(('[1]フォームの回答 1'!F8="そうだ"),1,(IF(('[1]フォームの回答 1'!F8="まぁそうだ"),2,(IF(('[1]フォームの回答 1'!F8="ややちがう"),3,(IF(('[1]フォームの回答 1'!F8="ちがう"),4,"")))))))</f>
        <v>1</v>
      </c>
      <c r="I8" s="1">
        <f>IF(('[1]フォームの回答 1'!G8="そうだ"),1,(IF(('[1]フォームの回答 1'!G8="まぁそうだ"),2,(IF(('[1]フォームの回答 1'!G8="ややちがう"),3,(IF(('[1]フォームの回答 1'!G8="ちがう"),4,"")))))))</f>
        <v>2</v>
      </c>
      <c r="J8" s="1">
        <f>IF(('[1]フォームの回答 1'!H8="そうだ"),1,(IF(('[1]フォームの回答 1'!H8="まぁそうだ"),2,(IF(('[1]フォームの回答 1'!H8="ややちがう"),3,(IF(('[1]フォームの回答 1'!H8="ちがう"),4,"")))))))</f>
        <v>2</v>
      </c>
      <c r="K8" s="1">
        <f>IF(('[1]フォームの回答 1'!I8="そうだ"),1,(IF(('[1]フォームの回答 1'!I8="まぁそうだ"),2,(IF(('[1]フォームの回答 1'!I8="ややちがう"),3,(IF(('[1]フォームの回答 1'!I8="ちがう"),4,"")))))))</f>
        <v>4</v>
      </c>
      <c r="L8" s="1">
        <f>IF(('[1]フォームの回答 1'!J8="そうだ"),1,(IF(('[1]フォームの回答 1'!J8="まぁそうだ"),2,(IF(('[1]フォームの回答 1'!J8="ややちがう"),3,(IF(('[1]フォームの回答 1'!J8="ちがう"),4,"")))))))</f>
        <v>2</v>
      </c>
      <c r="M8" s="1">
        <f>IF(('[1]フォームの回答 1'!K8="そうだ"),1,(IF(('[1]フォームの回答 1'!K8="まぁそうだ"),2,(IF(('[1]フォームの回答 1'!K8="ややちがう"),3,(IF(('[1]フォームの回答 1'!K8="ちがう"),4,"")))))))</f>
        <v>3</v>
      </c>
      <c r="N8" s="1">
        <f>IF(('[1]フォームの回答 1'!L8="そうだ"),1,(IF(('[1]フォームの回答 1'!L8="まぁそうだ"),2,(IF(('[1]フォームの回答 1'!L8="ややちがう"),3,(IF(('[1]フォームの回答 1'!L8="ちがう"),4,"")))))))</f>
        <v>2</v>
      </c>
      <c r="O8" s="1">
        <f>IF(('[1]フォームの回答 1'!M8="そうだ"),1,(IF(('[1]フォームの回答 1'!M8="まぁそうだ"),2,(IF(('[1]フォームの回答 1'!M8="ややちがう"),3,(IF(('[1]フォームの回答 1'!M8="ちがう"),4,"")))))))</f>
        <v>3</v>
      </c>
      <c r="P8" s="1">
        <f>IF(('[1]フォームの回答 1'!N8="そうだ"),1,(IF(('[1]フォームの回答 1'!N8="まぁそうだ"),2,(IF(('[1]フォームの回答 1'!N8="ややちがう"),3,(IF(('[1]フォームの回答 1'!N8="ちがう"),4,"")))))))</f>
        <v>4</v>
      </c>
      <c r="Q8" s="1">
        <f>IF(('[1]フォームの回答 1'!O8="そうだ"),1,(IF(('[1]フォームの回答 1'!O8="まぁそうだ"),2,(IF(('[1]フォームの回答 1'!O8="ややちがう"),3,(IF(('[1]フォームの回答 1'!O8="ちがう"),4,"")))))))</f>
        <v>3</v>
      </c>
      <c r="R8" s="1">
        <f>IF(('[1]フォームの回答 1'!P8="そうだ"),1,(IF(('[1]フォームの回答 1'!P8="まぁそうだ"),2,(IF(('[1]フォームの回答 1'!P8="ややちがう"),3,(IF(('[1]フォームの回答 1'!P8="ちがう"),4,"")))))))</f>
        <v>2</v>
      </c>
      <c r="S8" s="1">
        <f>IF(('[1]フォームの回答 1'!Q8="そうだ"),1,(IF(('[1]フォームの回答 1'!Q8="まぁそうだ"),2,(IF(('[1]フォームの回答 1'!Q8="ややちがう"),3,(IF(('[1]フォームの回答 1'!Q8="ちがう"),4,"")))))))</f>
        <v>4</v>
      </c>
      <c r="T8" s="1">
        <f>IF(('[1]フォームの回答 1'!R8="そうだ"),1,(IF(('[1]フォームの回答 1'!R8="まぁそうだ"),2,(IF(('[1]フォームの回答 1'!R8="ややちがう"),3,(IF(('[1]フォームの回答 1'!R8="ちがう"),4,"")))))))</f>
        <v>2</v>
      </c>
      <c r="U8" s="1">
        <f>IF(('[1]フォームの回答 1'!S8="そうだ"),1,(IF(('[1]フォームの回答 1'!S8="まぁそうだ"),2,(IF(('[1]フォームの回答 1'!S8="ややちがう"),3,(IF(('[1]フォームの回答 1'!S8="ちがう"),4,"")))))))</f>
        <v>2</v>
      </c>
      <c r="V8" s="1">
        <f t="shared" si="18"/>
        <v>7</v>
      </c>
      <c r="W8" s="1">
        <f t="shared" si="0"/>
        <v>2</v>
      </c>
      <c r="X8" s="1">
        <f t="shared" si="19"/>
        <v>10</v>
      </c>
      <c r="Y8" s="1">
        <f t="shared" si="1"/>
        <v>4</v>
      </c>
      <c r="Z8" s="1">
        <f t="shared" si="20"/>
        <v>1</v>
      </c>
      <c r="AA8" s="1">
        <f t="shared" si="21"/>
        <v>2</v>
      </c>
      <c r="AB8" s="1">
        <f t="shared" si="22"/>
        <v>5</v>
      </c>
      <c r="AC8" s="1">
        <f t="shared" si="23"/>
        <v>2</v>
      </c>
      <c r="AD8" s="1">
        <f t="shared" si="24"/>
        <v>1</v>
      </c>
      <c r="AE8" s="1">
        <f t="shared" si="2"/>
        <v>2</v>
      </c>
      <c r="AF8" s="1">
        <f t="shared" si="25"/>
        <v>8</v>
      </c>
      <c r="AG8" s="1">
        <f t="shared" si="3"/>
        <v>3</v>
      </c>
      <c r="AH8" s="1">
        <f t="shared" si="26"/>
        <v>3</v>
      </c>
      <c r="AI8" s="1">
        <f t="shared" si="27"/>
        <v>3</v>
      </c>
      <c r="AJ8" s="1">
        <f t="shared" si="28"/>
        <v>3</v>
      </c>
      <c r="AK8" s="1">
        <f t="shared" si="29"/>
        <v>3</v>
      </c>
      <c r="AL8" s="1">
        <f t="shared" si="30"/>
        <v>3</v>
      </c>
      <c r="AM8" s="1">
        <f t="shared" si="31"/>
        <v>3</v>
      </c>
      <c r="AN8" s="1">
        <f>IF(('[1]フォームの回答 1'!T8="ほとんどなかった"),1,(IF(('[1]フォームの回答 1'!T8="ときどきあった"),2,(IF(('[1]フォームの回答 1'!T8="しばしばあった"),3,(IF(('[1]フォームの回答 1'!T8="ほとんどいつもあった"),4,"")))))))</f>
        <v>3</v>
      </c>
      <c r="AO8" s="1">
        <f>IF(('[1]フォームの回答 1'!U8="ほとんどなかった"),1,(IF(('[1]フォームの回答 1'!U8="ときどきあった"),2,(IF(('[1]フォームの回答 1'!U8="しばしばあった"),3,(IF(('[1]フォームの回答 1'!U8="ほとんどいつもあった"),4,"")))))))</f>
        <v>3</v>
      </c>
      <c r="AP8" s="1">
        <f>IF(('[1]フォームの回答 1'!V8="ほとんどなかった"),1,(IF(('[1]フォームの回答 1'!V8="ときどきあった"),2,(IF(('[1]フォームの回答 1'!V8="しばしばあった"),3,(IF(('[1]フォームの回答 1'!V8="ほとんどいつもあった"),4,"")))))))</f>
        <v>3</v>
      </c>
      <c r="AQ8" s="1">
        <f>IF(('[1]フォームの回答 1'!W8="ほとんどなかった"),1,(IF(('[1]フォームの回答 1'!W8="ときどきあった"),2,(IF(('[1]フォームの回答 1'!W8="しばしばあった"),3,(IF(('[1]フォームの回答 1'!W8="ほとんどいつもあった"),4,"")))))))</f>
        <v>2</v>
      </c>
      <c r="AR8" s="1">
        <f>IF(('[1]フォームの回答 1'!X8="ほとんどなかった"),1,(IF(('[1]フォームの回答 1'!X8="ときどきあった"),2,(IF(('[1]フォームの回答 1'!X8="しばしばあった"),3,(IF(('[1]フォームの回答 1'!X8="ほとんどいつもあった"),4,"")))))))</f>
        <v>3</v>
      </c>
      <c r="AS8" s="1">
        <f>IF(('[1]フォームの回答 1'!Y8="ほとんどなかった"),1,(IF(('[1]フォームの回答 1'!Y8="ときどきあった"),2,(IF(('[1]フォームの回答 1'!Y8="しばしばあった"),3,(IF(('[1]フォームの回答 1'!Y8="ほとんどいつもあった"),4,"")))))))</f>
        <v>2</v>
      </c>
      <c r="AT8" s="1">
        <f>IF(('[1]フォームの回答 1'!Z8="ほとんどなかった"),1,(IF(('[1]フォームの回答 1'!Z8="ときどきあった"),2,(IF(('[1]フォームの回答 1'!Z8="しばしばあった"),3,(IF(('[1]フォームの回答 1'!Z8="ほとんどいつもあった"),4,"")))))))</f>
        <v>2</v>
      </c>
      <c r="AU8" s="1">
        <f>IF(('[1]フォームの回答 1'!AA8="ほとんどなかった"),1,(IF(('[1]フォームの回答 1'!AA8="ときどきあった"),2,(IF(('[1]フォームの回答 1'!AA8="しばしばあった"),3,(IF(('[1]フォームの回答 1'!AA8="ほとんどいつもあった"),4,"")))))))</f>
        <v>2</v>
      </c>
      <c r="AV8" s="1">
        <f>IF(('[1]フォームの回答 1'!AB8="ほとんどなかった"),1,(IF(('[1]フォームの回答 1'!AB8="ときどきばあった"),2,(IF(('[1]フォームの回答 1'!AB8="しばしばあった"),3,(IF(('[1]フォームの回答 1'!AB8="ほとんどいつもあった"),4,"")))))))</f>
        <v>3</v>
      </c>
      <c r="AW8" s="1">
        <f>IF(('[1]フォームの回答 1'!AC8="ほとんどなかった"),1,(IF(('[1]フォームの回答 1'!AC8="ときどきあった"),2,(IF(('[1]フォームの回答 1'!AC8="しばしばあった"),3,(IF(('[1]フォームの回答 1'!AC8="ほとんどいつもあった"),4,"")))))))</f>
        <v>2</v>
      </c>
      <c r="AX8" s="1">
        <f>IF(('[1]フォームの回答 1'!AD8="ほとんどなかった"),1,(IF(('[1]フォームの回答 1'!AD8="ときどきあった"),2,(IF(('[1]フォームの回答 1'!AD8="しばしばあった"),3,(IF(('[1]フォームの回答 1'!AD8="ほとんどいつもあった"),4,"")))))))</f>
        <v>2</v>
      </c>
      <c r="AY8" s="1">
        <f>IF(('[1]フォームの回答 1'!AE8="ほとんどなかった"),1,(IF(('[1]フォームの回答 1'!AE8="ときどきあった"),2,(IF(('[1]フォームの回答 1'!AE8="しばしばあった"),3,(IF(('[1]フォームの回答 1'!AE8="ほとんどいつもあった"),4,"")))))))</f>
        <v>2</v>
      </c>
      <c r="AZ8" s="1">
        <f>IF(('[1]フォームの回答 1'!AF8="ほとんどなかった"),1,(IF(('[1]フォームの回答 1'!AF8="ときどきあった"),2,(IF(('[1]フォームの回答 1'!AF8="しばしばあった"),3,(IF(('[1]フォームの回答 1'!AF8="ほとんどいつもあった"),4,"")))))))</f>
        <v>2</v>
      </c>
      <c r="BA8" s="1">
        <f>IF(('[1]フォームの回答 1'!AG8="ほとんどなかった"),1,(IF(('[1]フォームの回答 1'!AG8="ときどきあった"),2,(IF(('[1]フォームの回答 1'!AG8="しばしばあった"),3,(IF(('[1]フォームの回答 1'!AG8="ほとんどいつもあった"),4,"")))))))</f>
        <v>2</v>
      </c>
      <c r="BB8" s="1">
        <f>IF(('[1]フォームの回答 1'!AH8="ほとんどなかった"),1,(IF(('[1]フォームの回答 1'!AH8="ときどきあった"),2,(IF(('[1]フォームの回答 1'!AH8="しばしばあった"),3,(IF(('[1]フォームの回答 1'!AH8="ほとんどいつもあった"),4,"")))))))</f>
        <v>2</v>
      </c>
      <c r="BC8" s="1">
        <f>IF(('[1]フォームの回答 1'!AI8="ほとんどなかった"),1,(IF(('[1]フォームの回答 1'!AI8="ときどきあった"),2,(IF(('[1]フォームの回答 1'!AI8="しばしばあった"),3,(IF(('[1]フォームの回答 1'!AI8="ほとんどいつもあった"),4,"")))))))</f>
        <v>2</v>
      </c>
      <c r="BD8" s="1">
        <f>IF(('[1]フォームの回答 1'!AJ8="ほとんどなかった"),1,(IF(('[1]フォームの回答 1'!AJ8="ときどきあった"),2,(IF(('[1]フォームの回答 1'!AJ8="しばしばあった"),3,(IF(('[1]フォームの回答 1'!AJ8="ほとんどいつもあった"),4,"")))))))</f>
        <v>2</v>
      </c>
      <c r="BE8" s="1">
        <f>IF(('[1]フォームの回答 1'!AK8="ほとんどなかった"),1,(IF(('[1]フォームの回答 1'!AK8="ときどきあった"),2,(IF(('[1]フォームの回答 1'!AK8="しばしばあった"),3,(IF(('[1]フォームの回答 1'!AK8="ほとんどいつもあった"),4,"")))))))</f>
        <v>2</v>
      </c>
      <c r="BF8" s="1">
        <f>IF(('[1]フォームの回答 1'!AL8="ほとんどなかった"),1,(IF(('[1]フォームの回答 1'!AL8="ときどきあった"),2,(IF(('[1]フォームの回答 1'!AL8="しばしばあった"),3,(IF(('[1]フォームの回答 1'!AL8="ほとんどいつもあった"),4,"")))))))</f>
        <v>1</v>
      </c>
      <c r="BG8" s="1">
        <f>IF(('[1]フォームの回答 1'!AM8="ほとんどなかった"),1,(IF(('[1]フォームの回答 1'!AM8="ときどきあった"),2,(IF(('[1]フォームの回答 1'!AM8="しばしばあった"),3,(IF(('[1]フォームの回答 1'!AM8="ほとんどいつもあった"),4,"")))))))</f>
        <v>2</v>
      </c>
      <c r="BH8" s="1">
        <f>IF(('[1]フォームの回答 1'!AN8="ほとんどなかった"),1,(IF(('[1]フォームの回答 1'!AN8="ときどきあった"),2,(IF(('[1]フォームの回答 1'!AN8="しばしばあった"),3,(IF(('[1]フォームの回答 1'!AN8="ほとんどいつもあった"),4,"")))))))</f>
        <v>2</v>
      </c>
      <c r="BI8" s="1">
        <f>IF(('[1]フォームの回答 1'!AO8="ほとんどなかった"),1,(IF(('[1]フォームの回答 1'!AO8="ときどきあった"),2,(IF(('[1]フォームの回答 1'!AO8="しばしばあった"),3,(IF(('[1]フォームの回答 1'!AO8="ほとんどいつもあった"),4,"")))))))</f>
        <v>3</v>
      </c>
      <c r="BJ8" s="1">
        <f>IF(('[1]フォームの回答 1'!AP8="ほとんどなかった"),1,(IF(('[1]フォームの回答 1'!AP8="ときどきあった"),2,(IF(('[1]フォームの回答 1'!AP8="しばしばあった"),3,(IF(('[1]フォームの回答 1'!AP8="ほとんどいつもあった"),4,"")))))))</f>
        <v>1</v>
      </c>
      <c r="BK8" s="1">
        <f>IF(('[1]フォームの回答 1'!AQ8="ほとんどなかった"),1,(IF(('[1]フォームの回答 1'!AQ8="ときどきあった"),2,(IF(('[1]フォームの回答 1'!AQ8="しばしばあった"),3,(IF(('[1]フォームの回答 1'!AQ8="ほとんどいつもあった"),4,"")))))))</f>
        <v>2</v>
      </c>
      <c r="BL8" s="1">
        <f>IF(('[1]フォームの回答 1'!AR8="ほとんどなかった"),1,(IF(('[1]フォームの回答 1'!AR8="ときどきあった"),2,(IF(('[1]フォームの回答 1'!AR8="しばしばあった"),3,(IF(('[1]フォームの回答 1'!AR8="ほとんどいつもあった"),4,"")))))))</f>
        <v>1</v>
      </c>
      <c r="BM8" s="1">
        <f>IF(('[1]フォームの回答 1'!AS8="ほとんどなかった"),1,(IF(('[1]フォームの回答 1'!AS8="ときどきあった"),2,(IF(('[1]フォームの回答 1'!AS8="しばしばあった"),3,(IF(('[1]フォームの回答 1'!AS8="ほとんどいつもあった"),4,"")))))))</f>
        <v>1</v>
      </c>
      <c r="BN8" s="1">
        <f>IF(('[1]フォームの回答 1'!AT8="ほとんどなかった"),1,(IF(('[1]フォームの回答 1'!AT8="ときどきあった"),2,(IF(('[1]フォームの回答 1'!AT8="しばしばあった"),3,(IF(('[1]フォームの回答 1'!AT8="ほとんどいつもあった"),4,"")))))))</f>
        <v>1</v>
      </c>
      <c r="BO8" s="1">
        <f>IF(('[1]フォームの回答 1'!AU8="ほとんどなかった"),1,(IF(('[1]フォームの回答 1'!AU8="ときどきあった"),2,(IF(('[1]フォームの回答 1'!AU8="しばしばあった"),3,(IF(('[1]フォームの回答 1'!AU8="ほとんどいつもあった"),4,"")))))))</f>
        <v>1</v>
      </c>
      <c r="BP8" s="1">
        <f>IF(('[1]フォームの回答 1'!AV8="ほとんどなかった"),1,(IF(('[1]フォームの回答 1'!AV8="ときどきあった"),2,(IF(('[1]フォームの回答 1'!AV8="しばしばあった"),3,(IF(('[1]フォームの回答 1'!AV8="ほとんどいつもあった"),4,"")))))))</f>
        <v>2</v>
      </c>
      <c r="BQ8" s="1">
        <f t="shared" si="32"/>
        <v>9</v>
      </c>
      <c r="BR8" s="1">
        <f t="shared" si="33"/>
        <v>2</v>
      </c>
      <c r="BS8" s="1">
        <f t="shared" si="34"/>
        <v>7</v>
      </c>
      <c r="BT8" s="1">
        <f t="shared" si="4"/>
        <v>3</v>
      </c>
      <c r="BU8" s="1">
        <f t="shared" si="5"/>
        <v>7</v>
      </c>
      <c r="BV8" s="1">
        <f t="shared" si="6"/>
        <v>3</v>
      </c>
      <c r="BW8" s="1">
        <f t="shared" si="35"/>
        <v>6</v>
      </c>
      <c r="BX8" s="1">
        <f t="shared" si="7"/>
        <v>3</v>
      </c>
      <c r="BY8" s="1">
        <f t="shared" si="36"/>
        <v>12</v>
      </c>
      <c r="BZ8" s="1">
        <f t="shared" si="8"/>
        <v>3</v>
      </c>
      <c r="CA8" s="1">
        <f t="shared" si="37"/>
        <v>17</v>
      </c>
      <c r="CB8" s="1">
        <f t="shared" si="9"/>
        <v>3</v>
      </c>
      <c r="CC8" s="1">
        <f>IF(('[1]フォームの回答 1'!AW8="非常に"),1,(IF(('[1]フォームの回答 1'!AW8="かなり"),2,(IF(('[1]フォームの回答 1'!AW8="多少"),3,(IF(('[1]フォームの回答 1'!AW8="全くない"),4,"")))))))</f>
        <v>3</v>
      </c>
      <c r="CD8" s="1">
        <f>IF(('[1]フォームの回答 1'!AX8="非常に"),1,(IF(('[1]フォームの回答 1'!AX8="かなり"),2,(IF(('[1]フォームの回答 1'!AX8="多少"),3,(IF(('[1]フォームの回答 1'!AX8="全くない"),4,"")))))))</f>
        <v>2</v>
      </c>
      <c r="CE8" s="1">
        <f>IF(('[1]フォームの回答 1'!AY8="非常に"),1,(IF(('[1]フォームの回答 1'!AY8="かなり"),2,(IF(('[1]フォームの回答 1'!AY8="多少"),3,(IF(('[1]フォームの回答 1'!AY8="全くない"),4,"")))))))</f>
        <v>3</v>
      </c>
      <c r="CF8" s="1">
        <f>IF(('[1]フォームの回答 1'!AZ8="非常に"),1,(IF(('[1]フォームの回答 1'!AZ8="かなり"),2,(IF(('[1]フォームの回答 1'!AZ8="多少"),3,(IF(('[1]フォームの回答 1'!AZ8="全くない"),4,"")))))))</f>
        <v>2</v>
      </c>
      <c r="CG8" s="1">
        <f>IF(('[1]フォームの回答 1'!BA8="非常に"),1,(IF(('[1]フォームの回答 1'!BA8="かなり"),2,(IF(('[1]フォームの回答 1'!BA8="多少"),3,(IF(('[1]フォームの回答 1'!BA8="全くない"),4,"")))))))</f>
        <v>3</v>
      </c>
      <c r="CH8" s="1">
        <f>IF(('[1]フォームの回答 1'!BB8="非常に"),1,(IF(('[1]フォームの回答 1'!BB8="かなり"),2,(IF(('[1]フォームの回答 1'!BB8="多少"),3,(IF(('[1]フォームの回答 1'!BB8="全くない"),4,"")))))))</f>
        <v>3</v>
      </c>
      <c r="CI8" s="1">
        <f>IF(('[1]フォームの回答 1'!BC8="非常に"),1,(IF(('[1]フォームの回答 1'!BC8="かなり"),2,(IF(('[1]フォームの回答 1'!BC8="多少"),3,(IF(('[1]フォームの回答 1'!BC8="全くない"),4,"")))))))</f>
        <v>3</v>
      </c>
      <c r="CJ8" s="1">
        <f>IF(('[1]フォームの回答 1'!BD8="非常に"),1,(IF(('[1]フォームの回答 1'!BD8="かなり"),2,(IF(('[1]フォームの回答 1'!BD8="多少"),3,(IF(('[1]フォームの回答 1'!BD8="全くない"),4,"")))))))</f>
        <v>2</v>
      </c>
      <c r="CK8" s="1">
        <f>IF(('[1]フォームの回答 1'!BE8="非常に"),1,(IF(('[1]フォームの回答 1'!BE8="かなり"),2,(IF(('[1]フォームの回答 1'!BE8="多少"),3,(IF(('[1]フォームの回答 1'!BE8="全くない"),4,"")))))))</f>
        <v>3</v>
      </c>
      <c r="CL8" s="1">
        <f>IF(('[1]フォームの回答 1'!BF8="満足"),1,(IF(('[1]フォームの回答 1'!BF8="まぁ満足"),2,(IF(('[1]フォームの回答 1'!BF8="やや満足"),3,(IF(('[1]フォームの回答 1'!BF8="不満足"),4,"")))))))</f>
        <v>2</v>
      </c>
      <c r="CM8" s="1">
        <f>IF(('[1]フォームの回答 1'!BG8="満足"),1,(IF(('[1]フォームの回答 1'!BG8="まぁ満足"),2,(IF(('[1]フォームの回答 1'!BG8="やや満足"),3,(IF(('[1]フォームの回答 1'!BG8="不満足"),4,"")))))))</f>
        <v>2</v>
      </c>
      <c r="CN8" s="1">
        <f t="shared" si="38"/>
        <v>7</v>
      </c>
      <c r="CO8" s="1">
        <f t="shared" si="10"/>
        <v>3</v>
      </c>
      <c r="CP8" s="1">
        <f t="shared" si="39"/>
        <v>8</v>
      </c>
      <c r="CQ8" s="1">
        <f t="shared" si="11"/>
        <v>3</v>
      </c>
      <c r="CR8" s="1">
        <f t="shared" si="40"/>
        <v>6</v>
      </c>
      <c r="CS8" s="1">
        <f t="shared" si="41"/>
        <v>5</v>
      </c>
      <c r="CT8" s="1">
        <f t="shared" si="42"/>
        <v>6</v>
      </c>
      <c r="CU8" s="1">
        <f t="shared" si="12"/>
        <v>3</v>
      </c>
      <c r="CV8" s="1">
        <f t="shared" si="13"/>
        <v>17</v>
      </c>
      <c r="CW8" s="1">
        <f t="shared" si="14"/>
        <v>24</v>
      </c>
      <c r="CX8" s="1">
        <f t="shared" si="15"/>
        <v>11</v>
      </c>
      <c r="CY8" s="29" t="str">
        <f t="shared" si="43"/>
        <v>低</v>
      </c>
      <c r="CZ8" s="1">
        <v>0.9</v>
      </c>
      <c r="DA8" s="2">
        <f t="shared" si="16"/>
        <v>9.9999999999999978E-2</v>
      </c>
      <c r="DB8" s="1">
        <f>IF(('[1]フォームの回答 1'!BI8="いつもより寝つきは良い"),0,(IF(('[1]フォームの回答 1'!BI8="いつもより少し時間がかかった"),1,(IF(('[1]フォームの回答 1'!BI8="いつもよりかなり時間がかかった"),2,(IF(('[1]フォームの回答 1'!BI8="いつもより非常に時間がかかった、あるいは全く眠れなかった"),3,"")))))))</f>
        <v>1</v>
      </c>
      <c r="DC8" s="1">
        <f>IF(('[1]フォームの回答 1'!BJ8="問題になるほどのことはなかった"),0,(IF(('[1]フォームの回答 1'!BJ8="少し困ることがある"),1,(IF(('[1]フォームの回答 1'!BJ8="かなり困っている"),2,(IF(('[1]フォームの回答 1'!BJ8="深刻な状態、あるいは全く眠れなかった"),3,"")))))))</f>
        <v>1</v>
      </c>
      <c r="DD8" s="1">
        <f>IF(('[1]フォームの回答 1'!BK8="そのようなことはなかった"),0,(IF(('[1]フォームの回答 1'!BK8="少し早かった"),1,(IF(('[1]フォームの回答 1'!BK8="かなり早かった"),2,(IF(('[1]フォームの回答 1'!BK8="非常に早かった、あるいは全く眠れなかった"),3,"")))))))</f>
        <v>1</v>
      </c>
      <c r="DE8" s="1">
        <f>IF(('[1]フォームの回答 1'!BL8="十分である"),0,(IF(('[1]フォームの回答 1'!BL8="少し足りない"),1,(IF(('[1]フォームの回答 1'!BL8="かなり足りない"),2,(IF(('[1]フォームの回答 1'!BL8="全く足りない、あるいは全く眠れなかった"),3,"")))))))</f>
        <v>1</v>
      </c>
      <c r="DF8" s="1">
        <f>IF(('[1]フォームの回答 1'!BM8="満足している"),0,(IF(('[1]フォームの回答 1'!BM8="少し不満である"),1,(IF(('[1]フォームの回答 1'!BM8="かなり不満である"),2,(IF(('[1]フォームの回答 1'!BM8="非常に不満である、あるいは全く眠れなかった"),3,"")))))))</f>
        <v>1</v>
      </c>
      <c r="DG8" s="1">
        <f>IF(('[1]フォームの回答 1'!BN8="いつもどおり"),0,(IF(('[1]フォームの回答 1'!BN8="少し滅入った"),1,(IF(('[1]フォームの回答 1'!BN8="かなり滅入った"),2,(IF(('[1]フォームの回答 1'!BN8="非常に滅入った"),3,"")))))))</f>
        <v>0</v>
      </c>
      <c r="DH8" s="1">
        <f>IF(('[1]フォームの回答 1'!BO8="いつもどおり"),0,(IF(('[1]フォームの回答 1'!BO8="少し低下した"),1,(IF(('[1]フォームの回答 1'!BO8="かなり低下した"),2,(IF(('[1]フォームの回答 1'!BO8="非常に低下した"),3,"")))))))</f>
        <v>0</v>
      </c>
      <c r="DI8" s="1">
        <f>IF(('[1]フォームの回答 1'!BP8="全くなかった"),0,(IF(('[1]フォームの回答 1'!BP8="少しあった"),1,(IF(('[1]フォームの回答 1'!BP8="かなりあった"),2,(IF(('[1]フォームの回答 1'!BP8="激しかった"),3,"")))))))</f>
        <v>1</v>
      </c>
      <c r="DJ8">
        <f t="shared" si="44"/>
        <v>6</v>
      </c>
      <c r="DK8" s="4" t="str">
        <f t="shared" si="45"/>
        <v>高</v>
      </c>
      <c r="DL8" s="5">
        <v>0</v>
      </c>
      <c r="DM8" s="5">
        <v>0.1</v>
      </c>
      <c r="DN8" s="5">
        <v>0.2</v>
      </c>
      <c r="DO8" s="5">
        <v>0.30000000000000004</v>
      </c>
      <c r="DP8" s="5"/>
      <c r="DQ8" s="5"/>
      <c r="DR8" s="43">
        <v>0.44</v>
      </c>
      <c r="DS8" s="43">
        <v>68.78</v>
      </c>
      <c r="DT8" s="5">
        <v>0.64</v>
      </c>
      <c r="DU8" s="5">
        <v>32</v>
      </c>
      <c r="DV8" s="5" t="s">
        <v>115</v>
      </c>
    </row>
    <row r="9" spans="1:126" ht="14">
      <c r="A9" s="1">
        <v>298</v>
      </c>
      <c r="B9" s="24" t="s">
        <v>139</v>
      </c>
      <c r="C9" s="24">
        <v>32955</v>
      </c>
      <c r="D9" s="38">
        <f t="shared" si="17"/>
        <v>34</v>
      </c>
      <c r="E9" s="1">
        <f>IF(('[1]フォームの回答 1'!C9="そうだ"),1,(IF(('[1]フォームの回答 1'!C9="まぁそうだ"),2,(IF(('[1]フォームの回答 1'!C9="ややちがう"),3,(IF(('[1]フォームの回答 1'!C9="ちがう"),4,"")))))))</f>
        <v>2</v>
      </c>
      <c r="F9" s="1">
        <f>IF(('[1]フォームの回答 1'!D9="そうだ"),1,(IF(('[1]フォームの回答 1'!D9="まぁそうだ"),2,(IF(('[1]フォームの回答 1'!D9="ややちがう"),3,(IF(('[1]フォームの回答 1'!D9="ちがう"),4,"")))))))</f>
        <v>2</v>
      </c>
      <c r="G9" s="1">
        <f>IF(('[1]フォームの回答 1'!E9="そうだ"),1,(IF(('[1]フォームの回答 1'!E9="まぁそうだ"),2,(IF(('[1]フォームの回答 1'!E9="ややちがう"),3,(IF(('[1]フォームの回答 1'!E9="ちがう"),4,"")))))))</f>
        <v>2</v>
      </c>
      <c r="H9" s="1">
        <f>IF(('[1]フォームの回答 1'!F9="そうだ"),1,(IF(('[1]フォームの回答 1'!F9="まぁそうだ"),2,(IF(('[1]フォームの回答 1'!F9="ややちがう"),3,(IF(('[1]フォームの回答 1'!F9="ちがう"),4,"")))))))</f>
        <v>2</v>
      </c>
      <c r="I9" s="1">
        <f>IF(('[1]フォームの回答 1'!G9="そうだ"),1,(IF(('[1]フォームの回答 1'!G9="まぁそうだ"),2,(IF(('[1]フォームの回答 1'!G9="ややちがう"),3,(IF(('[1]フォームの回答 1'!G9="ちがう"),4,"")))))))</f>
        <v>2</v>
      </c>
      <c r="J9" s="1">
        <f>IF(('[1]フォームの回答 1'!H9="そうだ"),1,(IF(('[1]フォームの回答 1'!H9="まぁそうだ"),2,(IF(('[1]フォームの回答 1'!H9="ややちがう"),3,(IF(('[1]フォームの回答 1'!H9="ちがう"),4,"")))))))</f>
        <v>2</v>
      </c>
      <c r="K9" s="1">
        <f>IF(('[1]フォームの回答 1'!I9="そうだ"),1,(IF(('[1]フォームの回答 1'!I9="まぁそうだ"),2,(IF(('[1]フォームの回答 1'!I9="ややちがう"),3,(IF(('[1]フォームの回答 1'!I9="ちがう"),4,"")))))))</f>
        <v>3</v>
      </c>
      <c r="L9" s="1">
        <f>IF(('[1]フォームの回答 1'!J9="そうだ"),1,(IF(('[1]フォームの回答 1'!J9="まぁそうだ"),2,(IF(('[1]フォームの回答 1'!J9="ややちがう"),3,(IF(('[1]フォームの回答 1'!J9="ちがう"),4,"")))))))</f>
        <v>2</v>
      </c>
      <c r="M9" s="1">
        <f>IF(('[1]フォームの回答 1'!K9="そうだ"),1,(IF(('[1]フォームの回答 1'!K9="まぁそうだ"),2,(IF(('[1]フォームの回答 1'!K9="ややちがう"),3,(IF(('[1]フォームの回答 1'!K9="ちがう"),4,"")))))))</f>
        <v>2</v>
      </c>
      <c r="N9" s="1">
        <f>IF(('[1]フォームの回答 1'!L9="そうだ"),1,(IF(('[1]フォームの回答 1'!L9="まぁそうだ"),2,(IF(('[1]フォームの回答 1'!L9="ややちがう"),3,(IF(('[1]フォームの回答 1'!L9="ちがう"),4,"")))))))</f>
        <v>2</v>
      </c>
      <c r="O9" s="1">
        <f>IF(('[1]フォームの回答 1'!M9="そうだ"),1,(IF(('[1]フォームの回答 1'!M9="まぁそうだ"),2,(IF(('[1]フォームの回答 1'!M9="ややちがう"),3,(IF(('[1]フォームの回答 1'!M9="ちがう"),4,"")))))))</f>
        <v>3</v>
      </c>
      <c r="P9" s="1">
        <f>IF(('[1]フォームの回答 1'!N9="そうだ"),1,(IF(('[1]フォームの回答 1'!N9="まぁそうだ"),2,(IF(('[1]フォームの回答 1'!N9="ややちがう"),3,(IF(('[1]フォームの回答 1'!N9="ちがう"),4,"")))))))</f>
        <v>3</v>
      </c>
      <c r="Q9" s="1">
        <f>IF(('[1]フォームの回答 1'!O9="そうだ"),1,(IF(('[1]フォームの回答 1'!O9="まぁそうだ"),2,(IF(('[1]フォームの回答 1'!O9="ややちがう"),3,(IF(('[1]フォームの回答 1'!O9="ちがう"),4,"")))))))</f>
        <v>4</v>
      </c>
      <c r="R9" s="1">
        <f>IF(('[1]フォームの回答 1'!P9="そうだ"),1,(IF(('[1]フォームの回答 1'!P9="まぁそうだ"),2,(IF(('[1]フォームの回答 1'!P9="ややちがう"),3,(IF(('[1]フォームの回答 1'!P9="ちがう"),4,"")))))))</f>
        <v>2</v>
      </c>
      <c r="S9" s="1">
        <f>IF(('[1]フォームの回答 1'!Q9="そうだ"),1,(IF(('[1]フォームの回答 1'!Q9="まぁそうだ"),2,(IF(('[1]フォームの回答 1'!Q9="ややちがう"),3,(IF(('[1]フォームの回答 1'!Q9="ちがう"),4,"")))))))</f>
        <v>3</v>
      </c>
      <c r="T9" s="1">
        <f>IF(('[1]フォームの回答 1'!R9="そうだ"),1,(IF(('[1]フォームの回答 1'!R9="まぁそうだ"),2,(IF(('[1]フォームの回答 1'!R9="ややちがう"),3,(IF(('[1]フォームの回答 1'!R9="ちがう"),4,"")))))))</f>
        <v>2</v>
      </c>
      <c r="U9" s="1">
        <f>IF(('[1]フォームの回答 1'!S9="そうだ"),1,(IF(('[1]フォームの回答 1'!S9="まぁそうだ"),2,(IF(('[1]フォームの回答 1'!S9="ややちがう"),3,(IF(('[1]フォームの回答 1'!S9="ちがう"),4,"")))))))</f>
        <v>2</v>
      </c>
      <c r="V9" s="1">
        <f t="shared" si="18"/>
        <v>9</v>
      </c>
      <c r="W9" s="1">
        <f t="shared" si="0"/>
        <v>3</v>
      </c>
      <c r="X9" s="1">
        <f t="shared" si="19"/>
        <v>9</v>
      </c>
      <c r="Y9" s="1">
        <f t="shared" si="1"/>
        <v>3</v>
      </c>
      <c r="Z9" s="1">
        <f t="shared" si="20"/>
        <v>2</v>
      </c>
      <c r="AA9" s="1">
        <f t="shared" si="21"/>
        <v>3</v>
      </c>
      <c r="AB9" s="1">
        <f t="shared" si="22"/>
        <v>5</v>
      </c>
      <c r="AC9" s="1">
        <f t="shared" si="23"/>
        <v>2</v>
      </c>
      <c r="AD9" s="1">
        <f t="shared" si="24"/>
        <v>2</v>
      </c>
      <c r="AE9" s="1">
        <f t="shared" si="2"/>
        <v>3</v>
      </c>
      <c r="AF9" s="1">
        <f t="shared" si="25"/>
        <v>9</v>
      </c>
      <c r="AG9" s="1">
        <f t="shared" si="3"/>
        <v>2</v>
      </c>
      <c r="AH9" s="1">
        <f t="shared" si="26"/>
        <v>3</v>
      </c>
      <c r="AI9" s="1">
        <f t="shared" si="27"/>
        <v>3</v>
      </c>
      <c r="AJ9" s="1">
        <f t="shared" si="28"/>
        <v>3</v>
      </c>
      <c r="AK9" s="1">
        <f t="shared" si="29"/>
        <v>3</v>
      </c>
      <c r="AL9" s="1">
        <f t="shared" si="30"/>
        <v>3</v>
      </c>
      <c r="AM9" s="1">
        <f t="shared" si="31"/>
        <v>3</v>
      </c>
      <c r="AN9" s="1">
        <f>IF(('[1]フォームの回答 1'!T9="ほとんどなかった"),1,(IF(('[1]フォームの回答 1'!T9="ときどきあった"),2,(IF(('[1]フォームの回答 1'!T9="しばしばあった"),3,(IF(('[1]フォームの回答 1'!T9="ほとんどいつもあった"),4,"")))))))</f>
        <v>2</v>
      </c>
      <c r="AO9" s="1">
        <f>IF(('[1]フォームの回答 1'!U9="ほとんどなかった"),1,(IF(('[1]フォームの回答 1'!U9="ときどきあった"),2,(IF(('[1]フォームの回答 1'!U9="しばしばあった"),3,(IF(('[1]フォームの回答 1'!U9="ほとんどいつもあった"),4,"")))))))</f>
        <v>2</v>
      </c>
      <c r="AP9" s="1">
        <f>IF(('[1]フォームの回答 1'!V9="ほとんどなかった"),1,(IF(('[1]フォームの回答 1'!V9="ときどきあった"),2,(IF(('[1]フォームの回答 1'!V9="しばしばあった"),3,(IF(('[1]フォームの回答 1'!V9="ほとんどいつもあった"),4,"")))))))</f>
        <v>2</v>
      </c>
      <c r="AQ9" s="1">
        <f>IF(('[1]フォームの回答 1'!W9="ほとんどなかった"),1,(IF(('[1]フォームの回答 1'!W9="ときどきあった"),2,(IF(('[1]フォームの回答 1'!W9="しばしばあった"),3,(IF(('[1]フォームの回答 1'!W9="ほとんどいつもあった"),4,"")))))))</f>
        <v>3</v>
      </c>
      <c r="AR9" s="1">
        <f>IF(('[1]フォームの回答 1'!X9="ほとんどなかった"),1,(IF(('[1]フォームの回答 1'!X9="ときどきあった"),2,(IF(('[1]フォームの回答 1'!X9="しばしばあった"),3,(IF(('[1]フォームの回答 1'!X9="ほとんどいつもあった"),4,"")))))))</f>
        <v>3</v>
      </c>
      <c r="AS9" s="1">
        <f>IF(('[1]フォームの回答 1'!Y9="ほとんどなかった"),1,(IF(('[1]フォームの回答 1'!Y9="ときどきあった"),2,(IF(('[1]フォームの回答 1'!Y9="しばしばあった"),3,(IF(('[1]フォームの回答 1'!Y9="ほとんどいつもあった"),4,"")))))))</f>
        <v>3</v>
      </c>
      <c r="AT9" s="1">
        <f>IF(('[1]フォームの回答 1'!Z9="ほとんどなかった"),1,(IF(('[1]フォームの回答 1'!Z9="ときどきあった"),2,(IF(('[1]フォームの回答 1'!Z9="しばしばあった"),3,(IF(('[1]フォームの回答 1'!Z9="ほとんどいつもあった"),4,"")))))))</f>
        <v>3</v>
      </c>
      <c r="AU9" s="1">
        <f>IF(('[1]フォームの回答 1'!AA9="ほとんどなかった"),1,(IF(('[1]フォームの回答 1'!AA9="ときどきあった"),2,(IF(('[1]フォームの回答 1'!AA9="しばしばあった"),3,(IF(('[1]フォームの回答 1'!AA9="ほとんどいつもあった"),4,"")))))))</f>
        <v>3</v>
      </c>
      <c r="AV9" s="1">
        <f>IF(('[1]フォームの回答 1'!AB9="ほとんどなかった"),1,(IF(('[1]フォームの回答 1'!AB9="ときどきばあった"),2,(IF(('[1]フォームの回答 1'!AB9="しばしばあった"),3,(IF(('[1]フォームの回答 1'!AB9="ほとんどいつもあった"),4,"")))))))</f>
        <v>3</v>
      </c>
      <c r="AW9" s="1">
        <f>IF(('[1]フォームの回答 1'!AC9="ほとんどなかった"),1,(IF(('[1]フォームの回答 1'!AC9="ときどきあった"),2,(IF(('[1]フォームの回答 1'!AC9="しばしばあった"),3,(IF(('[1]フォームの回答 1'!AC9="ほとんどいつもあった"),4,"")))))))</f>
        <v>3</v>
      </c>
      <c r="AX9" s="1">
        <f>IF(('[1]フォームの回答 1'!AD9="ほとんどなかった"),1,(IF(('[1]フォームの回答 1'!AD9="ときどきあった"),2,(IF(('[1]フォームの回答 1'!AD9="しばしばあった"),3,(IF(('[1]フォームの回答 1'!AD9="ほとんどいつもあった"),4,"")))))))</f>
        <v>4</v>
      </c>
      <c r="AY9" s="1">
        <f>IF(('[1]フォームの回答 1'!AE9="ほとんどなかった"),1,(IF(('[1]フォームの回答 1'!AE9="ときどきあった"),2,(IF(('[1]フォームの回答 1'!AE9="しばしばあった"),3,(IF(('[1]フォームの回答 1'!AE9="ほとんどいつもあった"),4,"")))))))</f>
        <v>3</v>
      </c>
      <c r="AZ9" s="1">
        <f>IF(('[1]フォームの回答 1'!AF9="ほとんどなかった"),1,(IF(('[1]フォームの回答 1'!AF9="ときどきあった"),2,(IF(('[1]フォームの回答 1'!AF9="しばしばあった"),3,(IF(('[1]フォームの回答 1'!AF9="ほとんどいつもあった"),4,"")))))))</f>
        <v>3</v>
      </c>
      <c r="BA9" s="1">
        <f>IF(('[1]フォームの回答 1'!AG9="ほとんどなかった"),1,(IF(('[1]フォームの回答 1'!AG9="ときどきあった"),2,(IF(('[1]フォームの回答 1'!AG9="しばしばあった"),3,(IF(('[1]フォームの回答 1'!AG9="ほとんどいつもあった"),4,"")))))))</f>
        <v>3</v>
      </c>
      <c r="BB9" s="1">
        <f>IF(('[1]フォームの回答 1'!AH9="ほとんどなかった"),1,(IF(('[1]フォームの回答 1'!AH9="ときどきあった"),2,(IF(('[1]フォームの回答 1'!AH9="しばしばあった"),3,(IF(('[1]フォームの回答 1'!AH9="ほとんどいつもあった"),4,"")))))))</f>
        <v>2</v>
      </c>
      <c r="BC9" s="1">
        <f>IF(('[1]フォームの回答 1'!AI9="ほとんどなかった"),1,(IF(('[1]フォームの回答 1'!AI9="ときどきあった"),2,(IF(('[1]フォームの回答 1'!AI9="しばしばあった"),3,(IF(('[1]フォームの回答 1'!AI9="ほとんどいつもあった"),4,"")))))))</f>
        <v>4</v>
      </c>
      <c r="BD9" s="1">
        <f>IF(('[1]フォームの回答 1'!AJ9="ほとんどなかった"),1,(IF(('[1]フォームの回答 1'!AJ9="ときどきあった"),2,(IF(('[1]フォームの回答 1'!AJ9="しばしばあった"),3,(IF(('[1]フォームの回答 1'!AJ9="ほとんどいつもあった"),4,"")))))))</f>
        <v>2</v>
      </c>
      <c r="BE9" s="1">
        <f>IF(('[1]フォームの回答 1'!AK9="ほとんどなかった"),1,(IF(('[1]フォームの回答 1'!AK9="ときどきあった"),2,(IF(('[1]フォームの回答 1'!AK9="しばしばあった"),3,(IF(('[1]フォームの回答 1'!AK9="ほとんどいつもあった"),4,"")))))))</f>
        <v>3</v>
      </c>
      <c r="BF9" s="1">
        <f>IF(('[1]フォームの回答 1'!AL9="ほとんどなかった"),1,(IF(('[1]フォームの回答 1'!AL9="ときどきあった"),2,(IF(('[1]フォームの回答 1'!AL9="しばしばあった"),3,(IF(('[1]フォームの回答 1'!AL9="ほとんどいつもあった"),4,"")))))))</f>
        <v>1</v>
      </c>
      <c r="BG9" s="1">
        <f>IF(('[1]フォームの回答 1'!AM9="ほとんどなかった"),1,(IF(('[1]フォームの回答 1'!AM9="ときどきあった"),2,(IF(('[1]フォームの回答 1'!AM9="しばしばあった"),3,(IF(('[1]フォームの回答 1'!AM9="ほとんどいつもあった"),4,"")))))))</f>
        <v>2</v>
      </c>
      <c r="BH9" s="1">
        <f>IF(('[1]フォームの回答 1'!AN9="ほとんどなかった"),1,(IF(('[1]フォームの回答 1'!AN9="ときどきあった"),2,(IF(('[1]フォームの回答 1'!AN9="しばしばあった"),3,(IF(('[1]フォームの回答 1'!AN9="ほとんどいつもあった"),4,"")))))))</f>
        <v>2</v>
      </c>
      <c r="BI9" s="1">
        <f>IF(('[1]フォームの回答 1'!AO9="ほとんどなかった"),1,(IF(('[1]フォームの回答 1'!AO9="ときどきあった"),2,(IF(('[1]フォームの回答 1'!AO9="しばしばあった"),3,(IF(('[1]フォームの回答 1'!AO9="ほとんどいつもあった"),4,"")))))))</f>
        <v>2</v>
      </c>
      <c r="BJ9" s="1">
        <f>IF(('[1]フォームの回答 1'!AP9="ほとんどなかった"),1,(IF(('[1]フォームの回答 1'!AP9="ときどきあった"),2,(IF(('[1]フォームの回答 1'!AP9="しばしばあった"),3,(IF(('[1]フォームの回答 1'!AP9="ほとんどいつもあった"),4,"")))))))</f>
        <v>2</v>
      </c>
      <c r="BK9" s="1">
        <f>IF(('[1]フォームの回答 1'!AQ9="ほとんどなかった"),1,(IF(('[1]フォームの回答 1'!AQ9="ときどきあった"),2,(IF(('[1]フォームの回答 1'!AQ9="しばしばあった"),3,(IF(('[1]フォームの回答 1'!AQ9="ほとんどいつもあった"),4,"")))))))</f>
        <v>3</v>
      </c>
      <c r="BL9" s="1">
        <f>IF(('[1]フォームの回答 1'!AR9="ほとんどなかった"),1,(IF(('[1]フォームの回答 1'!AR9="ときどきあった"),2,(IF(('[1]フォームの回答 1'!AR9="しばしばあった"),3,(IF(('[1]フォームの回答 1'!AR9="ほとんどいつもあった"),4,"")))))))</f>
        <v>1</v>
      </c>
      <c r="BM9" s="1">
        <f>IF(('[1]フォームの回答 1'!AS9="ほとんどなかった"),1,(IF(('[1]フォームの回答 1'!AS9="ときどきあった"),2,(IF(('[1]フォームの回答 1'!AS9="しばしばあった"),3,(IF(('[1]フォームの回答 1'!AS9="ほとんどいつもあった"),4,"")))))))</f>
        <v>3</v>
      </c>
      <c r="BN9" s="1">
        <f>IF(('[1]フォームの回答 1'!AT9="ほとんどなかった"),1,(IF(('[1]フォームの回答 1'!AT9="ときどきあった"),2,(IF(('[1]フォームの回答 1'!AT9="しばしばあった"),3,(IF(('[1]フォームの回答 1'!AT9="ほとんどいつもあった"),4,"")))))))</f>
        <v>1</v>
      </c>
      <c r="BO9" s="1">
        <f>IF(('[1]フォームの回答 1'!AU9="ほとんどなかった"),1,(IF(('[1]フォームの回答 1'!AU9="ときどきあった"),2,(IF(('[1]フォームの回答 1'!AU9="しばしばあった"),3,(IF(('[1]フォームの回答 1'!AU9="ほとんどいつもあった"),4,"")))))))</f>
        <v>2</v>
      </c>
      <c r="BP9" s="1">
        <f>IF(('[1]フォームの回答 1'!AV9="ほとんどなかった"),1,(IF(('[1]フォームの回答 1'!AV9="ときどきあった"),2,(IF(('[1]フォームの回答 1'!AV9="しばしばあった"),3,(IF(('[1]フォームの回答 1'!AV9="ほとんどいつもあった"),4,"")))))))</f>
        <v>3</v>
      </c>
      <c r="BQ9" s="1">
        <f t="shared" si="32"/>
        <v>6</v>
      </c>
      <c r="BR9" s="1">
        <f t="shared" si="33"/>
        <v>3</v>
      </c>
      <c r="BS9" s="1">
        <f t="shared" si="34"/>
        <v>9</v>
      </c>
      <c r="BT9" s="1">
        <f t="shared" si="4"/>
        <v>4</v>
      </c>
      <c r="BU9" s="1">
        <f t="shared" si="5"/>
        <v>9</v>
      </c>
      <c r="BV9" s="1">
        <f t="shared" si="6"/>
        <v>4</v>
      </c>
      <c r="BW9" s="1">
        <f t="shared" si="35"/>
        <v>10</v>
      </c>
      <c r="BX9" s="1">
        <f t="shared" si="7"/>
        <v>5</v>
      </c>
      <c r="BY9" s="1">
        <f t="shared" si="36"/>
        <v>17</v>
      </c>
      <c r="BZ9" s="1">
        <f t="shared" si="8"/>
        <v>5</v>
      </c>
      <c r="CA9" s="1">
        <f t="shared" si="37"/>
        <v>22</v>
      </c>
      <c r="CB9" s="1">
        <f t="shared" si="9"/>
        <v>4</v>
      </c>
      <c r="CC9" s="1">
        <f>IF(('[1]フォームの回答 1'!AW9="非常に"),1,(IF(('[1]フォームの回答 1'!AW9="かなり"),2,(IF(('[1]フォームの回答 1'!AW9="多少"),3,(IF(('[1]フォームの回答 1'!AW9="全くない"),4,"")))))))</f>
        <v>3</v>
      </c>
      <c r="CD9" s="1">
        <f>IF(('[1]フォームの回答 1'!AX9="非常に"),1,(IF(('[1]フォームの回答 1'!AX9="かなり"),2,(IF(('[1]フォームの回答 1'!AX9="多少"),3,(IF(('[1]フォームの回答 1'!AX9="全くない"),4,"")))))))</f>
        <v>3</v>
      </c>
      <c r="CE9" s="1">
        <f>IF(('[1]フォームの回答 1'!AY9="非常に"),1,(IF(('[1]フォームの回答 1'!AY9="かなり"),2,(IF(('[1]フォームの回答 1'!AY9="多少"),3,(IF(('[1]フォームの回答 1'!AY9="全くない"),4,"")))))))</f>
        <v>3</v>
      </c>
      <c r="CF9" s="1">
        <f>IF(('[1]フォームの回答 1'!AZ9="非常に"),1,(IF(('[1]フォームの回答 1'!AZ9="かなり"),2,(IF(('[1]フォームの回答 1'!AZ9="多少"),3,(IF(('[1]フォームの回答 1'!AZ9="全くない"),4,"")))))))</f>
        <v>2</v>
      </c>
      <c r="CG9" s="1">
        <f>IF(('[1]フォームの回答 1'!BA9="非常に"),1,(IF(('[1]フォームの回答 1'!BA9="かなり"),2,(IF(('[1]フォームの回答 1'!BA9="多少"),3,(IF(('[1]フォームの回答 1'!BA9="全くない"),4,"")))))))</f>
        <v>2</v>
      </c>
      <c r="CH9" s="1">
        <f>IF(('[1]フォームの回答 1'!BB9="非常に"),1,(IF(('[1]フォームの回答 1'!BB9="かなり"),2,(IF(('[1]フォームの回答 1'!BB9="多少"),3,(IF(('[1]フォームの回答 1'!BB9="全くない"),4,"")))))))</f>
        <v>3</v>
      </c>
      <c r="CI9" s="1">
        <f>IF(('[1]フォームの回答 1'!BC9="非常に"),1,(IF(('[1]フォームの回答 1'!BC9="かなり"),2,(IF(('[1]フォームの回答 1'!BC9="多少"),3,(IF(('[1]フォームの回答 1'!BC9="全くない"),4,"")))))))</f>
        <v>2</v>
      </c>
      <c r="CJ9" s="1">
        <f>IF(('[1]フォームの回答 1'!BD9="非常に"),1,(IF(('[1]フォームの回答 1'!BD9="かなり"),2,(IF(('[1]フォームの回答 1'!BD9="多少"),3,(IF(('[1]フォームの回答 1'!BD9="全くない"),4,"")))))))</f>
        <v>2</v>
      </c>
      <c r="CK9" s="1">
        <f>IF(('[1]フォームの回答 1'!BE9="非常に"),1,(IF(('[1]フォームの回答 1'!BE9="かなり"),2,(IF(('[1]フォームの回答 1'!BE9="多少"),3,(IF(('[1]フォームの回答 1'!BE9="全くない"),4,"")))))))</f>
        <v>2</v>
      </c>
      <c r="CL9" s="1">
        <f>IF(('[1]フォームの回答 1'!BF9="満足"),1,(IF(('[1]フォームの回答 1'!BF9="まぁ満足"),2,(IF(('[1]フォームの回答 1'!BF9="やや満足"),3,(IF(('[1]フォームの回答 1'!BF9="不満足"),4,"")))))))</f>
        <v>2</v>
      </c>
      <c r="CM9" s="1">
        <f>IF(('[1]フォームの回答 1'!BG9="満足"),1,(IF(('[1]フォームの回答 1'!BG9="まぁ満足"),2,(IF(('[1]フォームの回答 1'!BG9="やや満足"),3,(IF(('[1]フォームの回答 1'!BG9="不満足"),4,"")))))))</f>
        <v>3</v>
      </c>
      <c r="CN9" s="1">
        <f t="shared" si="38"/>
        <v>8</v>
      </c>
      <c r="CO9" s="1">
        <f t="shared" si="10"/>
        <v>3</v>
      </c>
      <c r="CP9" s="1">
        <f t="shared" si="39"/>
        <v>8</v>
      </c>
      <c r="CQ9" s="1">
        <f t="shared" si="11"/>
        <v>3</v>
      </c>
      <c r="CR9" s="1">
        <f t="shared" si="40"/>
        <v>7</v>
      </c>
      <c r="CS9" s="1">
        <f t="shared" si="41"/>
        <v>4</v>
      </c>
      <c r="CT9" s="1">
        <f t="shared" si="42"/>
        <v>5</v>
      </c>
      <c r="CU9" s="1">
        <f t="shared" si="12"/>
        <v>3</v>
      </c>
      <c r="CV9" s="1">
        <f t="shared" si="13"/>
        <v>25</v>
      </c>
      <c r="CW9" s="1">
        <f t="shared" si="14"/>
        <v>25</v>
      </c>
      <c r="CX9" s="1">
        <f t="shared" si="15"/>
        <v>10</v>
      </c>
      <c r="CY9" s="29" t="str">
        <f t="shared" si="43"/>
        <v>高</v>
      </c>
      <c r="CZ9" s="1">
        <v>0.85</v>
      </c>
      <c r="DA9" s="2">
        <f t="shared" si="16"/>
        <v>0.15000000000000002</v>
      </c>
      <c r="DB9" s="1">
        <f>IF(('[1]フォームの回答 1'!BI9="いつもより寝つきは良い"),0,(IF(('[1]フォームの回答 1'!BI9="いつもより少し時間がかかった"),1,(IF(('[1]フォームの回答 1'!BI9="いつもよりかなり時間がかかった"),2,(IF(('[1]フォームの回答 1'!BI9="いつもより非常に時間がかかった、あるいは全く眠れなかった"),3,"")))))))</f>
        <v>1</v>
      </c>
      <c r="DC9" s="1">
        <f>IF(('[1]フォームの回答 1'!BJ9="問題になるほどのことはなかった"),0,(IF(('[1]フォームの回答 1'!BJ9="少し困ることがある"),1,(IF(('[1]フォームの回答 1'!BJ9="かなり困っている"),2,(IF(('[1]フォームの回答 1'!BJ9="深刻な状態、あるいは全く眠れなかった"),3,"")))))))</f>
        <v>1</v>
      </c>
      <c r="DD9" s="1">
        <f>IF(('[1]フォームの回答 1'!BK9="そのようなことはなかった"),0,(IF(('[1]フォームの回答 1'!BK9="少し早かった"),1,(IF(('[1]フォームの回答 1'!BK9="かなり早かった"),2,(IF(('[1]フォームの回答 1'!BK9="非常に早かった、あるいは全く眠れなかった"),3,"")))))))</f>
        <v>1</v>
      </c>
      <c r="DE9" s="1">
        <f>IF(('[1]フォームの回答 1'!BL9="十分である"),0,(IF(('[1]フォームの回答 1'!BL9="少し足りない"),1,(IF(('[1]フォームの回答 1'!BL9="かなり足りない"),2,(IF(('[1]フォームの回答 1'!BL9="全く足りない、あるいは全く眠れなかった"),3,"")))))))</f>
        <v>1</v>
      </c>
      <c r="DF9" s="1">
        <f>IF(('[1]フォームの回答 1'!BM9="満足している"),0,(IF(('[1]フォームの回答 1'!BM9="少し不満である"),1,(IF(('[1]フォームの回答 1'!BM9="かなり不満である"),2,(IF(('[1]フォームの回答 1'!BM9="非常に不満である、あるいは全く眠れなかった"),3,"")))))))</f>
        <v>1</v>
      </c>
      <c r="DG9" s="1">
        <f>IF(('[1]フォームの回答 1'!BN9="いつもどおり"),0,(IF(('[1]フォームの回答 1'!BN9="少し滅入った"),1,(IF(('[1]フォームの回答 1'!BN9="かなり滅入った"),2,(IF(('[1]フォームの回答 1'!BN9="非常に滅入った"),3,"")))))))</f>
        <v>1</v>
      </c>
      <c r="DH9" s="1">
        <f>IF(('[1]フォームの回答 1'!BO9="いつもどおり"),0,(IF(('[1]フォームの回答 1'!BO9="少し低下した"),1,(IF(('[1]フォームの回答 1'!BO9="かなり低下した"),2,(IF(('[1]フォームの回答 1'!BO9="非常に低下した"),3,"")))))))</f>
        <v>1</v>
      </c>
      <c r="DI9" s="1">
        <f>IF(('[1]フォームの回答 1'!BP9="全くなかった"),0,(IF(('[1]フォームの回答 1'!BP9="少しあった"),1,(IF(('[1]フォームの回答 1'!BP9="かなりあった"),2,(IF(('[1]フォームの回答 1'!BP9="激しかった"),3,"")))))))</f>
        <v>1</v>
      </c>
      <c r="DJ9">
        <f t="shared" si="44"/>
        <v>8</v>
      </c>
      <c r="DK9" s="4" t="str">
        <f t="shared" si="45"/>
        <v>高</v>
      </c>
      <c r="DL9" s="5">
        <v>7.3</v>
      </c>
      <c r="DM9" s="5">
        <v>10.199999999999999</v>
      </c>
      <c r="DN9" s="5">
        <v>15</v>
      </c>
      <c r="DO9" s="5">
        <v>32.5</v>
      </c>
      <c r="DP9" s="5"/>
      <c r="DQ9" s="5"/>
      <c r="DR9" s="43">
        <v>0.46</v>
      </c>
      <c r="DS9" s="43">
        <v>48.04</v>
      </c>
      <c r="DT9" s="5">
        <v>0.96</v>
      </c>
      <c r="DU9" s="5">
        <v>48</v>
      </c>
      <c r="DV9" s="5" t="s">
        <v>115</v>
      </c>
    </row>
    <row r="10" spans="1:126" ht="14">
      <c r="A10" s="1">
        <v>299</v>
      </c>
      <c r="B10" s="24" t="s">
        <v>139</v>
      </c>
      <c r="C10" s="24">
        <v>28803</v>
      </c>
      <c r="D10" s="38">
        <f t="shared" si="17"/>
        <v>45</v>
      </c>
      <c r="E10" s="1">
        <f>IF(('[1]フォームの回答 1'!C10="そうだ"),1,(IF(('[1]フォームの回答 1'!C10="まぁそうだ"),2,(IF(('[1]フォームの回答 1'!C10="ややちがう"),3,(IF(('[1]フォームの回答 1'!C10="ちがう"),4,"")))))))</f>
        <v>2</v>
      </c>
      <c r="F10" s="1">
        <f>IF(('[1]フォームの回答 1'!D10="そうだ"),1,(IF(('[1]フォームの回答 1'!D10="まぁそうだ"),2,(IF(('[1]フォームの回答 1'!D10="ややちがう"),3,(IF(('[1]フォームの回答 1'!D10="ちがう"),4,"")))))))</f>
        <v>3</v>
      </c>
      <c r="G10" s="1">
        <f>IF(('[1]フォームの回答 1'!E10="そうだ"),1,(IF(('[1]フォームの回答 1'!E10="まぁそうだ"),2,(IF(('[1]フォームの回答 1'!E10="ややちがう"),3,(IF(('[1]フォームの回答 1'!E10="ちがう"),4,"")))))))</f>
        <v>2</v>
      </c>
      <c r="H10" s="1">
        <f>IF(('[1]フォームの回答 1'!F10="そうだ"),1,(IF(('[1]フォームの回答 1'!F10="まぁそうだ"),2,(IF(('[1]フォームの回答 1'!F10="ややちがう"),3,(IF(('[1]フォームの回答 1'!F10="ちがう"),4,"")))))))</f>
        <v>2</v>
      </c>
      <c r="I10" s="1">
        <f>IF(('[1]フォームの回答 1'!G10="そうだ"),1,(IF(('[1]フォームの回答 1'!G10="まぁそうだ"),2,(IF(('[1]フォームの回答 1'!G10="ややちがう"),3,(IF(('[1]フォームの回答 1'!G10="ちがう"),4,"")))))))</f>
        <v>2</v>
      </c>
      <c r="J10" s="1">
        <f>IF(('[1]フォームの回答 1'!H10="そうだ"),1,(IF(('[1]フォームの回答 1'!H10="まぁそうだ"),2,(IF(('[1]フォームの回答 1'!H10="ややちがう"),3,(IF(('[1]フォームの回答 1'!H10="ちがう"),4,"")))))))</f>
        <v>2</v>
      </c>
      <c r="K10" s="1">
        <f>IF(('[1]フォームの回答 1'!I10="そうだ"),1,(IF(('[1]フォームの回答 1'!I10="まぁそうだ"),2,(IF(('[1]フォームの回答 1'!I10="ややちがう"),3,(IF(('[1]フォームの回答 1'!I10="ちがう"),4,"")))))))</f>
        <v>4</v>
      </c>
      <c r="L10" s="1">
        <f>IF(('[1]フォームの回答 1'!J10="そうだ"),1,(IF(('[1]フォームの回答 1'!J10="まぁそうだ"),2,(IF(('[1]フォームの回答 1'!J10="ややちがう"),3,(IF(('[1]フォームの回答 1'!J10="ちがう"),4,"")))))))</f>
        <v>1</v>
      </c>
      <c r="M10" s="1">
        <f>IF(('[1]フォームの回答 1'!K10="そうだ"),1,(IF(('[1]フォームの回答 1'!K10="まぁそうだ"),2,(IF(('[1]フォームの回答 1'!K10="ややちがう"),3,(IF(('[1]フォームの回答 1'!K10="ちがう"),4,"")))))))</f>
        <v>1</v>
      </c>
      <c r="N10" s="1">
        <f>IF(('[1]フォームの回答 1'!L10="そうだ"),1,(IF(('[1]フォームの回答 1'!L10="まぁそうだ"),2,(IF(('[1]フォームの回答 1'!L10="ややちがう"),3,(IF(('[1]フォームの回答 1'!L10="ちがう"),4,"")))))))</f>
        <v>1</v>
      </c>
      <c r="O10" s="1">
        <f>IF(('[1]フォームの回答 1'!M10="そうだ"),1,(IF(('[1]フォームの回答 1'!M10="まぁそうだ"),2,(IF(('[1]フォームの回答 1'!M10="ややちがう"),3,(IF(('[1]フォームの回答 1'!M10="ちがう"),4,"")))))))</f>
        <v>4</v>
      </c>
      <c r="P10" s="1">
        <f>IF(('[1]フォームの回答 1'!N10="そうだ"),1,(IF(('[1]フォームの回答 1'!N10="まぁそうだ"),2,(IF(('[1]フォームの回答 1'!N10="ややちがう"),3,(IF(('[1]フォームの回答 1'!N10="ちがう"),4,"")))))))</f>
        <v>4</v>
      </c>
      <c r="Q10" s="1">
        <f>IF(('[1]フォームの回答 1'!O10="そうだ"),1,(IF(('[1]フォームの回答 1'!O10="まぁそうだ"),2,(IF(('[1]フォームの回答 1'!O10="ややちがう"),3,(IF(('[1]フォームの回答 1'!O10="ちがう"),4,"")))))))</f>
        <v>4</v>
      </c>
      <c r="R10" s="1">
        <f>IF(('[1]フォームの回答 1'!P10="そうだ"),1,(IF(('[1]フォームの回答 1'!P10="まぁそうだ"),2,(IF(('[1]フォームの回答 1'!P10="ややちがう"),3,(IF(('[1]フォームの回答 1'!P10="ちがう"),4,"")))))))</f>
        <v>1</v>
      </c>
      <c r="S10" s="1">
        <f>IF(('[1]フォームの回答 1'!Q10="そうだ"),1,(IF(('[1]フォームの回答 1'!Q10="まぁそうだ"),2,(IF(('[1]フォームの回答 1'!Q10="ややちがう"),3,(IF(('[1]フォームの回答 1'!Q10="ちがう"),4,"")))))))</f>
        <v>4</v>
      </c>
      <c r="T10" s="1">
        <f>IF(('[1]フォームの回答 1'!R10="そうだ"),1,(IF(('[1]フォームの回答 1'!R10="まぁそうだ"),2,(IF(('[1]フォームの回答 1'!R10="ややちがう"),3,(IF(('[1]フォームの回答 1'!R10="ちがう"),4,"")))))))</f>
        <v>1</v>
      </c>
      <c r="U10" s="1">
        <f>IF(('[1]フォームの回答 1'!S10="そうだ"),1,(IF(('[1]フォームの回答 1'!S10="まぁそうだ"),2,(IF(('[1]フォームの回答 1'!S10="ややちがう"),3,(IF(('[1]フォームの回答 1'!S10="ちがう"),4,"")))))))</f>
        <v>1</v>
      </c>
      <c r="V10" s="1">
        <f t="shared" si="18"/>
        <v>8</v>
      </c>
      <c r="W10" s="1">
        <f t="shared" si="0"/>
        <v>3</v>
      </c>
      <c r="X10" s="1">
        <f t="shared" si="19"/>
        <v>9</v>
      </c>
      <c r="Y10" s="1">
        <f t="shared" si="1"/>
        <v>3</v>
      </c>
      <c r="Z10" s="1">
        <f t="shared" si="20"/>
        <v>1</v>
      </c>
      <c r="AA10" s="1">
        <f t="shared" si="21"/>
        <v>2</v>
      </c>
      <c r="AB10" s="1">
        <f t="shared" si="22"/>
        <v>3</v>
      </c>
      <c r="AC10" s="1">
        <f t="shared" si="23"/>
        <v>1</v>
      </c>
      <c r="AD10" s="1">
        <f t="shared" si="24"/>
        <v>1</v>
      </c>
      <c r="AE10" s="1">
        <f t="shared" si="2"/>
        <v>2</v>
      </c>
      <c r="AF10" s="1">
        <f t="shared" si="25"/>
        <v>12</v>
      </c>
      <c r="AG10" s="1">
        <f t="shared" si="3"/>
        <v>1</v>
      </c>
      <c r="AH10" s="1">
        <f t="shared" si="26"/>
        <v>4</v>
      </c>
      <c r="AI10" s="1">
        <f t="shared" si="27"/>
        <v>2</v>
      </c>
      <c r="AJ10" s="1">
        <f t="shared" si="28"/>
        <v>4</v>
      </c>
      <c r="AK10" s="1">
        <f t="shared" si="29"/>
        <v>1</v>
      </c>
      <c r="AL10" s="1">
        <f t="shared" si="30"/>
        <v>4</v>
      </c>
      <c r="AM10" s="1">
        <f t="shared" si="31"/>
        <v>1</v>
      </c>
      <c r="AN10" s="1">
        <f>IF(('[1]フォームの回答 1'!T10="ほとんどなかった"),1,(IF(('[1]フォームの回答 1'!T10="ときどきあった"),2,(IF(('[1]フォームの回答 1'!T10="しばしばあった"),3,(IF(('[1]フォームの回答 1'!T10="ほとんどいつもあった"),4,"")))))))</f>
        <v>3</v>
      </c>
      <c r="AO10" s="1">
        <f>IF(('[1]フォームの回答 1'!U10="ほとんどなかった"),1,(IF(('[1]フォームの回答 1'!U10="ときどきあった"),2,(IF(('[1]フォームの回答 1'!U10="しばしばあった"),3,(IF(('[1]フォームの回答 1'!U10="ほとんどいつもあった"),4,"")))))))</f>
        <v>3</v>
      </c>
      <c r="AP10" s="1">
        <f>IF(('[1]フォームの回答 1'!V10="ほとんどなかった"),1,(IF(('[1]フォームの回答 1'!V10="ときどきあった"),2,(IF(('[1]フォームの回答 1'!V10="しばしばあった"),3,(IF(('[1]フォームの回答 1'!V10="ほとんどいつもあった"),4,"")))))))</f>
        <v>2</v>
      </c>
      <c r="AQ10" s="1">
        <f>IF(('[1]フォームの回答 1'!W10="ほとんどなかった"),1,(IF(('[1]フォームの回答 1'!W10="ときどきあった"),2,(IF(('[1]フォームの回答 1'!W10="しばしばあった"),3,(IF(('[1]フォームの回答 1'!W10="ほとんどいつもあった"),4,"")))))))</f>
        <v>1</v>
      </c>
      <c r="AR10" s="1">
        <f>IF(('[1]フォームの回答 1'!X10="ほとんどなかった"),1,(IF(('[1]フォームの回答 1'!X10="ときどきあった"),2,(IF(('[1]フォームの回答 1'!X10="しばしばあった"),3,(IF(('[1]フォームの回答 1'!X10="ほとんどいつもあった"),4,"")))))))</f>
        <v>1</v>
      </c>
      <c r="AS10" s="1">
        <f>IF(('[1]フォームの回答 1'!Y10="ほとんどなかった"),1,(IF(('[1]フォームの回答 1'!Y10="ときどきあった"),2,(IF(('[1]フォームの回答 1'!Y10="しばしばあった"),3,(IF(('[1]フォームの回答 1'!Y10="ほとんどいつもあった"),4,"")))))))</f>
        <v>2</v>
      </c>
      <c r="AT10" s="1">
        <f>IF(('[1]フォームの回答 1'!Z10="ほとんどなかった"),1,(IF(('[1]フォームの回答 1'!Z10="ときどきあった"),2,(IF(('[1]フォームの回答 1'!Z10="しばしばあった"),3,(IF(('[1]フォームの回答 1'!Z10="ほとんどいつもあった"),4,"")))))))</f>
        <v>2</v>
      </c>
      <c r="AU10" s="1">
        <f>IF(('[1]フォームの回答 1'!AA10="ほとんどなかった"),1,(IF(('[1]フォームの回答 1'!AA10="ときどきあった"),2,(IF(('[1]フォームの回答 1'!AA10="しばしばあった"),3,(IF(('[1]フォームの回答 1'!AA10="ほとんどいつもあった"),4,"")))))))</f>
        <v>1</v>
      </c>
      <c r="AV10" s="1">
        <f>IF(('[1]フォームの回答 1'!AB10="ほとんどなかった"),1,(IF(('[1]フォームの回答 1'!AB10="ときどきばあった"),2,(IF(('[1]フォームの回答 1'!AB10="しばしばあった"),3,(IF(('[1]フォームの回答 1'!AB10="ほとんどいつもあった"),4,"")))))))</f>
        <v>2</v>
      </c>
      <c r="AW10" s="1">
        <f>IF(('[1]フォームの回答 1'!AC10="ほとんどなかった"),1,(IF(('[1]フォームの回答 1'!AC10="ときどきあった"),2,(IF(('[1]フォームの回答 1'!AC10="しばしばあった"),3,(IF(('[1]フォームの回答 1'!AC10="ほとんどいつもあった"),4,"")))))))</f>
        <v>1</v>
      </c>
      <c r="AX10" s="1">
        <f>IF(('[1]フォームの回答 1'!AD10="ほとんどなかった"),1,(IF(('[1]フォームの回答 1'!AD10="ときどきあった"),2,(IF(('[1]フォームの回答 1'!AD10="しばしばあった"),3,(IF(('[1]フォームの回答 1'!AD10="ほとんどいつもあった"),4,"")))))))</f>
        <v>1</v>
      </c>
      <c r="AY10" s="1">
        <f>IF(('[1]フォームの回答 1'!AE10="ほとんどなかった"),1,(IF(('[1]フォームの回答 1'!AE10="ときどきあった"),2,(IF(('[1]フォームの回答 1'!AE10="しばしばあった"),3,(IF(('[1]フォームの回答 1'!AE10="ほとんどいつもあった"),4,"")))))))</f>
        <v>1</v>
      </c>
      <c r="AZ10" s="1">
        <f>IF(('[1]フォームの回答 1'!AF10="ほとんどなかった"),1,(IF(('[1]フォームの回答 1'!AF10="ときどきあった"),2,(IF(('[1]フォームの回答 1'!AF10="しばしばあった"),3,(IF(('[1]フォームの回答 1'!AF10="ほとんどいつもあった"),4,"")))))))</f>
        <v>1</v>
      </c>
      <c r="BA10" s="1">
        <f>IF(('[1]フォームの回答 1'!AG10="ほとんどなかった"),1,(IF(('[1]フォームの回答 1'!AG10="ときどきあった"),2,(IF(('[1]フォームの回答 1'!AG10="しばしばあった"),3,(IF(('[1]フォームの回答 1'!AG10="ほとんどいつもあった"),4,"")))))))</f>
        <v>1</v>
      </c>
      <c r="BB10" s="1">
        <f>IF(('[1]フォームの回答 1'!AH10="ほとんどなかった"),1,(IF(('[1]フォームの回答 1'!AH10="ときどきあった"),2,(IF(('[1]フォームの回答 1'!AH10="しばしばあった"),3,(IF(('[1]フォームの回答 1'!AH10="ほとんどいつもあった"),4,"")))))))</f>
        <v>2</v>
      </c>
      <c r="BC10" s="1">
        <f>IF(('[1]フォームの回答 1'!AI10="ほとんどなかった"),1,(IF(('[1]フォームの回答 1'!AI10="ときどきあった"),2,(IF(('[1]フォームの回答 1'!AI10="しばしばあった"),3,(IF(('[1]フォームの回答 1'!AI10="ほとんどいつもあった"),4,"")))))))</f>
        <v>1</v>
      </c>
      <c r="BD10" s="1">
        <f>IF(('[1]フォームの回答 1'!AJ10="ほとんどなかった"),1,(IF(('[1]フォームの回答 1'!AJ10="ときどきあった"),2,(IF(('[1]フォームの回答 1'!AJ10="しばしばあった"),3,(IF(('[1]フォームの回答 1'!AJ10="ほとんどいつもあった"),4,"")))))))</f>
        <v>1</v>
      </c>
      <c r="BE10" s="1">
        <f>IF(('[1]フォームの回答 1'!AK10="ほとんどなかった"),1,(IF(('[1]フォームの回答 1'!AK10="ときどきあった"),2,(IF(('[1]フォームの回答 1'!AK10="しばしばあった"),3,(IF(('[1]フォームの回答 1'!AK10="ほとんどいつもあった"),4,"")))))))</f>
        <v>1</v>
      </c>
      <c r="BF10" s="1">
        <f>IF(('[1]フォームの回答 1'!AL10="ほとんどなかった"),1,(IF(('[1]フォームの回答 1'!AL10="ときどきあった"),2,(IF(('[1]フォームの回答 1'!AL10="しばしばあった"),3,(IF(('[1]フォームの回答 1'!AL10="ほとんどいつもあった"),4,"")))))))</f>
        <v>2</v>
      </c>
      <c r="BG10" s="1">
        <f>IF(('[1]フォームの回答 1'!AM10="ほとんどなかった"),1,(IF(('[1]フォームの回答 1'!AM10="ときどきあった"),2,(IF(('[1]フォームの回答 1'!AM10="しばしばあった"),3,(IF(('[1]フォームの回答 1'!AM10="ほとんどいつもあった"),4,"")))))))</f>
        <v>2</v>
      </c>
      <c r="BH10" s="1">
        <f>IF(('[1]フォームの回答 1'!AN10="ほとんどなかった"),1,(IF(('[1]フォームの回答 1'!AN10="ときどきあった"),2,(IF(('[1]フォームの回答 1'!AN10="しばしばあった"),3,(IF(('[1]フォームの回答 1'!AN10="ほとんどいつもあった"),4,"")))))))</f>
        <v>2</v>
      </c>
      <c r="BI10" s="1">
        <f>IF(('[1]フォームの回答 1'!AO10="ほとんどなかった"),1,(IF(('[1]フォームの回答 1'!AO10="ときどきあった"),2,(IF(('[1]フォームの回答 1'!AO10="しばしばあった"),3,(IF(('[1]フォームの回答 1'!AO10="ほとんどいつもあった"),4,"")))))))</f>
        <v>3</v>
      </c>
      <c r="BJ10" s="1">
        <f>IF(('[1]フォームの回答 1'!AP10="ほとんどなかった"),1,(IF(('[1]フォームの回答 1'!AP10="ときどきあった"),2,(IF(('[1]フォームの回答 1'!AP10="しばしばあった"),3,(IF(('[1]フォームの回答 1'!AP10="ほとんどいつもあった"),4,"")))))))</f>
        <v>2</v>
      </c>
      <c r="BK10" s="1">
        <f>IF(('[1]フォームの回答 1'!AQ10="ほとんどなかった"),1,(IF(('[1]フォームの回答 1'!AQ10="ときどきあった"),2,(IF(('[1]フォームの回答 1'!AQ10="しばしばあった"),3,(IF(('[1]フォームの回答 1'!AQ10="ほとんどいつもあった"),4,"")))))))</f>
        <v>3</v>
      </c>
      <c r="BL10" s="1">
        <f>IF(('[1]フォームの回答 1'!AR10="ほとんどなかった"),1,(IF(('[1]フォームの回答 1'!AR10="ときどきあった"),2,(IF(('[1]フォームの回答 1'!AR10="しばしばあった"),3,(IF(('[1]フォームの回答 1'!AR10="ほとんどいつもあった"),4,"")))))))</f>
        <v>1</v>
      </c>
      <c r="BM10" s="1">
        <f>IF(('[1]フォームの回答 1'!AS10="ほとんどなかった"),1,(IF(('[1]フォームの回答 1'!AS10="ときどきあった"),2,(IF(('[1]フォームの回答 1'!AS10="しばしばあった"),3,(IF(('[1]フォームの回答 1'!AS10="ほとんどいつもあった"),4,"")))))))</f>
        <v>2</v>
      </c>
      <c r="BN10" s="1">
        <f>IF(('[1]フォームの回答 1'!AT10="ほとんどなかった"),1,(IF(('[1]フォームの回答 1'!AT10="ときどきあった"),2,(IF(('[1]フォームの回答 1'!AT10="しばしばあった"),3,(IF(('[1]フォームの回答 1'!AT10="ほとんどいつもあった"),4,"")))))))</f>
        <v>1</v>
      </c>
      <c r="BO10" s="1">
        <f>IF(('[1]フォームの回答 1'!AU10="ほとんどなかった"),1,(IF(('[1]フォームの回答 1'!AU10="ときどきあった"),2,(IF(('[1]フォームの回答 1'!AU10="しばしばあった"),3,(IF(('[1]フォームの回答 1'!AU10="ほとんどいつもあった"),4,"")))))))</f>
        <v>3</v>
      </c>
      <c r="BP10" s="1">
        <f>IF(('[1]フォームの回答 1'!AV10="ほとんどなかった"),1,(IF(('[1]フォームの回答 1'!AV10="ときどきあった"),2,(IF(('[1]フォームの回答 1'!AV10="しばしばあった"),3,(IF(('[1]フォームの回答 1'!AV10="ほとんどいつもあった"),4,"")))))))</f>
        <v>1</v>
      </c>
      <c r="BQ10" s="1">
        <f t="shared" si="32"/>
        <v>8</v>
      </c>
      <c r="BR10" s="1">
        <f t="shared" si="33"/>
        <v>2</v>
      </c>
      <c r="BS10" s="1">
        <f t="shared" si="34"/>
        <v>4</v>
      </c>
      <c r="BT10" s="1">
        <f t="shared" si="4"/>
        <v>2</v>
      </c>
      <c r="BU10" s="1">
        <f t="shared" si="5"/>
        <v>5</v>
      </c>
      <c r="BV10" s="1">
        <f t="shared" si="6"/>
        <v>3</v>
      </c>
      <c r="BW10" s="1">
        <f t="shared" si="35"/>
        <v>3</v>
      </c>
      <c r="BX10" s="1">
        <f t="shared" si="7"/>
        <v>1</v>
      </c>
      <c r="BY10" s="1">
        <f t="shared" si="36"/>
        <v>7</v>
      </c>
      <c r="BZ10" s="1">
        <f t="shared" si="8"/>
        <v>2</v>
      </c>
      <c r="CA10" s="1">
        <f t="shared" si="37"/>
        <v>22</v>
      </c>
      <c r="CB10" s="1">
        <f t="shared" si="9"/>
        <v>4</v>
      </c>
      <c r="CC10" s="1">
        <f>IF(('[1]フォームの回答 1'!AW10="非常に"),1,(IF(('[1]フォームの回答 1'!AW10="かなり"),2,(IF(('[1]フォームの回答 1'!AW10="多少"),3,(IF(('[1]フォームの回答 1'!AW10="全くない"),4,"")))))))</f>
        <v>2</v>
      </c>
      <c r="CD10" s="1">
        <f>IF(('[1]フォームの回答 1'!AX10="非常に"),1,(IF(('[1]フォームの回答 1'!AX10="かなり"),2,(IF(('[1]フォームの回答 1'!AX10="多少"),3,(IF(('[1]フォームの回答 1'!AX10="全くない"),4,"")))))))</f>
        <v>2</v>
      </c>
      <c r="CE10" s="1">
        <f>IF(('[1]フォームの回答 1'!AY10="非常に"),1,(IF(('[1]フォームの回答 1'!AY10="かなり"),2,(IF(('[1]フォームの回答 1'!AY10="多少"),3,(IF(('[1]フォームの回答 1'!AY10="全くない"),4,"")))))))</f>
        <v>2</v>
      </c>
      <c r="CF10" s="1">
        <f>IF(('[1]フォームの回答 1'!AZ10="非常に"),1,(IF(('[1]フォームの回答 1'!AZ10="かなり"),2,(IF(('[1]フォームの回答 1'!AZ10="多少"),3,(IF(('[1]フォームの回答 1'!AZ10="全くない"),4,"")))))))</f>
        <v>2</v>
      </c>
      <c r="CG10" s="1">
        <f>IF(('[1]フォームの回答 1'!BA10="非常に"),1,(IF(('[1]フォームの回答 1'!BA10="かなり"),2,(IF(('[1]フォームの回答 1'!BA10="多少"),3,(IF(('[1]フォームの回答 1'!BA10="全くない"),4,"")))))))</f>
        <v>2</v>
      </c>
      <c r="CH10" s="1">
        <f>IF(('[1]フォームの回答 1'!BB10="非常に"),1,(IF(('[1]フォームの回答 1'!BB10="かなり"),2,(IF(('[1]フォームの回答 1'!BB10="多少"),3,(IF(('[1]フォームの回答 1'!BB10="全くない"),4,"")))))))</f>
        <v>3</v>
      </c>
      <c r="CI10" s="1">
        <f>IF(('[1]フォームの回答 1'!BC10="非常に"),1,(IF(('[1]フォームの回答 1'!BC10="かなり"),2,(IF(('[1]フォームの回答 1'!BC10="多少"),3,(IF(('[1]フォームの回答 1'!BC10="全くない"),4,"")))))))</f>
        <v>2</v>
      </c>
      <c r="CJ10" s="1">
        <f>IF(('[1]フォームの回答 1'!BD10="非常に"),1,(IF(('[1]フォームの回答 1'!BD10="かなり"),2,(IF(('[1]フォームの回答 1'!BD10="多少"),3,(IF(('[1]フォームの回答 1'!BD10="全くない"),4,"")))))))</f>
        <v>2</v>
      </c>
      <c r="CK10" s="1">
        <f>IF(('[1]フォームの回答 1'!BE10="非常に"),1,(IF(('[1]フォームの回答 1'!BE10="かなり"),2,(IF(('[1]フォームの回答 1'!BE10="多少"),3,(IF(('[1]フォームの回答 1'!BE10="全くない"),4,"")))))))</f>
        <v>3</v>
      </c>
      <c r="CL10" s="1">
        <f>IF(('[1]フォームの回答 1'!BF10="満足"),1,(IF(('[1]フォームの回答 1'!BF10="まぁ満足"),2,(IF(('[1]フォームの回答 1'!BF10="やや満足"),3,(IF(('[1]フォームの回答 1'!BF10="不満足"),4,"")))))))</f>
        <v>1</v>
      </c>
      <c r="CM10" s="1">
        <f>IF(('[1]フォームの回答 1'!BG10="満足"),1,(IF(('[1]フォームの回答 1'!BG10="まぁ満足"),2,(IF(('[1]フォームの回答 1'!BG10="やや満足"),3,(IF(('[1]フォームの回答 1'!BG10="不満足"),4,"")))))))</f>
        <v>1</v>
      </c>
      <c r="CN10" s="1">
        <f t="shared" si="38"/>
        <v>9</v>
      </c>
      <c r="CO10" s="1">
        <f t="shared" si="10"/>
        <v>2</v>
      </c>
      <c r="CP10" s="1">
        <f t="shared" si="39"/>
        <v>9</v>
      </c>
      <c r="CQ10" s="1">
        <f t="shared" si="11"/>
        <v>3</v>
      </c>
      <c r="CR10" s="1">
        <f t="shared" si="40"/>
        <v>7</v>
      </c>
      <c r="CS10" s="1">
        <f t="shared" si="41"/>
        <v>4</v>
      </c>
      <c r="CT10" s="1">
        <f t="shared" si="42"/>
        <v>8</v>
      </c>
      <c r="CU10" s="1">
        <f t="shared" si="12"/>
        <v>1</v>
      </c>
      <c r="CV10" s="1">
        <f t="shared" si="13"/>
        <v>14</v>
      </c>
      <c r="CW10" s="1">
        <f t="shared" si="14"/>
        <v>16</v>
      </c>
      <c r="CX10" s="1">
        <f t="shared" si="15"/>
        <v>9</v>
      </c>
      <c r="CY10" s="29" t="str">
        <f t="shared" si="43"/>
        <v>低</v>
      </c>
      <c r="CZ10" s="1">
        <v>1</v>
      </c>
      <c r="DA10" s="2">
        <f t="shared" si="16"/>
        <v>0</v>
      </c>
      <c r="DB10" s="1">
        <f>IF(('[1]フォームの回答 1'!BI10="いつもより寝つきは良い"),0,(IF(('[1]フォームの回答 1'!BI10="いつもより少し時間がかかった"),1,(IF(('[1]フォームの回答 1'!BI10="いつもよりかなり時間がかかった"),2,(IF(('[1]フォームの回答 1'!BI10="いつもより非常に時間がかかった、あるいは全く眠れなかった"),3,"")))))))</f>
        <v>0</v>
      </c>
      <c r="DC10" s="1">
        <f>IF(('[1]フォームの回答 1'!BJ10="問題になるほどのことはなかった"),0,(IF(('[1]フォームの回答 1'!BJ10="少し困ることがある"),1,(IF(('[1]フォームの回答 1'!BJ10="かなり困っている"),2,(IF(('[1]フォームの回答 1'!BJ10="深刻な状態、あるいは全く眠れなかった"),3,"")))))))</f>
        <v>0</v>
      </c>
      <c r="DD10" s="1">
        <f>IF(('[1]フォームの回答 1'!BK10="そのようなことはなかった"),0,(IF(('[1]フォームの回答 1'!BK10="少し早かった"),1,(IF(('[1]フォームの回答 1'!BK10="かなり早かった"),2,(IF(('[1]フォームの回答 1'!BK10="非常に早かった、あるいは全く眠れなかった"),3,"")))))))</f>
        <v>1</v>
      </c>
      <c r="DE10" s="1">
        <f>IF(('[1]フォームの回答 1'!BL10="十分である"),0,(IF(('[1]フォームの回答 1'!BL10="少し足りない"),1,(IF(('[1]フォームの回答 1'!BL10="かなり足りない"),2,(IF(('[1]フォームの回答 1'!BL10="全く足りない、あるいは全く眠れなかった"),3,"")))))))</f>
        <v>1</v>
      </c>
      <c r="DF10" s="1">
        <f>IF(('[1]フォームの回答 1'!BM10="満足している"),0,(IF(('[1]フォームの回答 1'!BM10="少し不満である"),1,(IF(('[1]フォームの回答 1'!BM10="かなり不満である"),2,(IF(('[1]フォームの回答 1'!BM10="非常に不満である、あるいは全く眠れなかった"),3,"")))))))</f>
        <v>1</v>
      </c>
      <c r="DG10" s="1">
        <f>IF(('[1]フォームの回答 1'!BN10="いつもどおり"),0,(IF(('[1]フォームの回答 1'!BN10="少し滅入った"),1,(IF(('[1]フォームの回答 1'!BN10="かなり滅入った"),2,(IF(('[1]フォームの回答 1'!BN10="非常に滅入った"),3,"")))))))</f>
        <v>0</v>
      </c>
      <c r="DH10" s="1">
        <f>IF(('[1]フォームの回答 1'!BO10="いつもどおり"),0,(IF(('[1]フォームの回答 1'!BO10="少し低下した"),1,(IF(('[1]フォームの回答 1'!BO10="かなり低下した"),2,(IF(('[1]フォームの回答 1'!BO10="非常に低下した"),3,"")))))))</f>
        <v>0</v>
      </c>
      <c r="DI10" s="1">
        <f>IF(('[1]フォームの回答 1'!BP10="全くなかった"),0,(IF(('[1]フォームの回答 1'!BP10="少しあった"),1,(IF(('[1]フォームの回答 1'!BP10="かなりあった"),2,(IF(('[1]フォームの回答 1'!BP10="激しかった"),3,"")))))))</f>
        <v>1</v>
      </c>
      <c r="DJ10">
        <f t="shared" si="44"/>
        <v>4</v>
      </c>
      <c r="DK10" s="4" t="str">
        <f t="shared" si="45"/>
        <v>中</v>
      </c>
      <c r="DL10" s="5">
        <v>6.6</v>
      </c>
      <c r="DM10" s="5">
        <v>13.2</v>
      </c>
      <c r="DN10" s="5">
        <v>30.7</v>
      </c>
      <c r="DO10" s="5">
        <v>50.5</v>
      </c>
      <c r="DP10" s="5"/>
      <c r="DQ10" s="5" t="s">
        <v>200</v>
      </c>
      <c r="DR10" s="43">
        <v>2.14</v>
      </c>
      <c r="DS10" s="43">
        <v>227.4</v>
      </c>
      <c r="DT10" s="5">
        <v>0.94</v>
      </c>
      <c r="DU10" s="5">
        <v>47</v>
      </c>
      <c r="DV10" s="5" t="s">
        <v>115</v>
      </c>
    </row>
    <row r="11" spans="1:126" ht="14" hidden="1">
      <c r="A11" s="1">
        <v>301</v>
      </c>
      <c r="B11" s="24" t="s">
        <v>139</v>
      </c>
      <c r="C11" s="24">
        <v>26997</v>
      </c>
      <c r="D11" s="38">
        <f t="shared" si="17"/>
        <v>50</v>
      </c>
      <c r="E11" s="1">
        <f>IF(('[1]フォームの回答 1'!C11="そうだ"),1,(IF(('[1]フォームの回答 1'!C11="まぁそうだ"),2,(IF(('[1]フォームの回答 1'!C11="ややちがう"),3,(IF(('[1]フォームの回答 1'!C11="ちがう"),4,"")))))))</f>
        <v>2</v>
      </c>
      <c r="F11" s="1">
        <f>IF(('[1]フォームの回答 1'!D11="そうだ"),1,(IF(('[1]フォームの回答 1'!D11="まぁそうだ"),2,(IF(('[1]フォームの回答 1'!D11="ややちがう"),3,(IF(('[1]フォームの回答 1'!D11="ちがう"),4,"")))))))</f>
        <v>2</v>
      </c>
      <c r="G11" s="1">
        <f>IF(('[1]フォームの回答 1'!E11="そうだ"),1,(IF(('[1]フォームの回答 1'!E11="まぁそうだ"),2,(IF(('[1]フォームの回答 1'!E11="ややちがう"),3,(IF(('[1]フォームの回答 1'!E11="ちがう"),4,"")))))))</f>
        <v>2</v>
      </c>
      <c r="H11" s="1">
        <f>IF(('[1]フォームの回答 1'!F11="そうだ"),1,(IF(('[1]フォームの回答 1'!F11="まぁそうだ"),2,(IF(('[1]フォームの回答 1'!F11="ややちがう"),3,(IF(('[1]フォームの回答 1'!F11="ちがう"),4,"")))))))</f>
        <v>2</v>
      </c>
      <c r="I11" s="1">
        <f>IF(('[1]フォームの回答 1'!G11="そうだ"),1,(IF(('[1]フォームの回答 1'!G11="まぁそうだ"),2,(IF(('[1]フォームの回答 1'!G11="ややちがう"),3,(IF(('[1]フォームの回答 1'!G11="ちがう"),4,"")))))))</f>
        <v>2</v>
      </c>
      <c r="J11" s="1">
        <f>IF(('[1]フォームの回答 1'!H11="そうだ"),1,(IF(('[1]フォームの回答 1'!H11="まぁそうだ"),2,(IF(('[1]フォームの回答 1'!H11="ややちがう"),3,(IF(('[1]フォームの回答 1'!H11="ちがう"),4,"")))))))</f>
        <v>3</v>
      </c>
      <c r="K11" s="1">
        <f>IF(('[1]フォームの回答 1'!I11="そうだ"),1,(IF(('[1]フォームの回答 1'!I11="まぁそうだ"),2,(IF(('[1]フォームの回答 1'!I11="ややちがう"),3,(IF(('[1]フォームの回答 1'!I11="ちがう"),4,"")))))))</f>
        <v>3</v>
      </c>
      <c r="L11" s="1">
        <f>IF(('[1]フォームの回答 1'!J11="そうだ"),1,(IF(('[1]フォームの回答 1'!J11="まぁそうだ"),2,(IF(('[1]フォームの回答 1'!J11="ややちがう"),3,(IF(('[1]フォームの回答 1'!J11="ちがう"),4,"")))))))</f>
        <v>2</v>
      </c>
      <c r="M11" s="1">
        <f>IF(('[1]フォームの回答 1'!K11="そうだ"),1,(IF(('[1]フォームの回答 1'!K11="まぁそうだ"),2,(IF(('[1]フォームの回答 1'!K11="ややちがう"),3,(IF(('[1]フォームの回答 1'!K11="ちがう"),4,"")))))))</f>
        <v>2</v>
      </c>
      <c r="N11" s="1">
        <f>IF(('[1]フォームの回答 1'!L11="そうだ"),1,(IF(('[1]フォームの回答 1'!L11="まぁそうだ"),2,(IF(('[1]フォームの回答 1'!L11="ややちがう"),3,(IF(('[1]フォームの回答 1'!L11="ちがう"),4,"")))))))</f>
        <v>3</v>
      </c>
      <c r="O11" s="1">
        <f>IF(('[1]フォームの回答 1'!M11="そうだ"),1,(IF(('[1]フォームの回答 1'!M11="まぁそうだ"),2,(IF(('[1]フォームの回答 1'!M11="ややちがう"),3,(IF(('[1]フォームの回答 1'!M11="ちがう"),4,"")))))))</f>
        <v>3</v>
      </c>
      <c r="P11" s="1">
        <f>IF(('[1]フォームの回答 1'!N11="そうだ"),1,(IF(('[1]フォームの回答 1'!N11="まぁそうだ"),2,(IF(('[1]フォームの回答 1'!N11="ややちがう"),3,(IF(('[1]フォームの回答 1'!N11="ちがう"),4,"")))))))</f>
        <v>3</v>
      </c>
      <c r="Q11" s="1">
        <f>IF(('[1]フォームの回答 1'!O11="そうだ"),1,(IF(('[1]フォームの回答 1'!O11="まぁそうだ"),2,(IF(('[1]フォームの回答 1'!O11="ややちがう"),3,(IF(('[1]フォームの回答 1'!O11="ちがう"),4,"")))))))</f>
        <v>3</v>
      </c>
      <c r="R11" s="1">
        <f>IF(('[1]フォームの回答 1'!P11="そうだ"),1,(IF(('[1]フォームの回答 1'!P11="まぁそうだ"),2,(IF(('[1]フォームの回答 1'!P11="ややちがう"),3,(IF(('[1]フォームの回答 1'!P11="ちがう"),4,"")))))))</f>
        <v>2</v>
      </c>
      <c r="S11" s="1">
        <f>IF(('[1]フォームの回答 1'!Q11="そうだ"),1,(IF(('[1]フォームの回答 1'!Q11="まぁそうだ"),2,(IF(('[1]フォームの回答 1'!Q11="ややちがう"),3,(IF(('[1]フォームの回答 1'!Q11="ちがう"),4,"")))))))</f>
        <v>3</v>
      </c>
      <c r="T11" s="1">
        <f>IF(('[1]フォームの回答 1'!R11="そうだ"),1,(IF(('[1]フォームの回答 1'!R11="まぁそうだ"),2,(IF(('[1]フォームの回答 1'!R11="ややちがう"),3,(IF(('[1]フォームの回答 1'!R11="ちがう"),4,"")))))))</f>
        <v>2</v>
      </c>
      <c r="U11" s="1">
        <f>IF(('[1]フォームの回答 1'!S11="そうだ"),1,(IF(('[1]フォームの回答 1'!S11="まぁそうだ"),2,(IF(('[1]フォームの回答 1'!S11="ややちがう"),3,(IF(('[1]フォームの回答 1'!S11="ちがう"),4,"")))))))</f>
        <v>2</v>
      </c>
      <c r="V11" s="1">
        <f t="shared" si="18"/>
        <v>9</v>
      </c>
      <c r="W11" s="1">
        <f t="shared" si="0"/>
        <v>3</v>
      </c>
      <c r="X11" s="1">
        <f t="shared" si="19"/>
        <v>8</v>
      </c>
      <c r="Y11" s="1">
        <f t="shared" si="1"/>
        <v>3</v>
      </c>
      <c r="Z11" s="1">
        <f t="shared" si="20"/>
        <v>2</v>
      </c>
      <c r="AA11" s="1">
        <f t="shared" si="21"/>
        <v>3</v>
      </c>
      <c r="AB11" s="1">
        <f t="shared" si="22"/>
        <v>6</v>
      </c>
      <c r="AC11" s="1">
        <f t="shared" si="23"/>
        <v>3</v>
      </c>
      <c r="AD11" s="1">
        <f t="shared" si="24"/>
        <v>2</v>
      </c>
      <c r="AE11" s="1">
        <f t="shared" si="2"/>
        <v>3</v>
      </c>
      <c r="AF11" s="1">
        <f t="shared" si="25"/>
        <v>8</v>
      </c>
      <c r="AG11" s="1">
        <f t="shared" si="3"/>
        <v>3</v>
      </c>
      <c r="AH11" s="1">
        <f t="shared" si="26"/>
        <v>3</v>
      </c>
      <c r="AI11" s="1">
        <f t="shared" si="27"/>
        <v>3</v>
      </c>
      <c r="AJ11" s="1">
        <f t="shared" si="28"/>
        <v>3</v>
      </c>
      <c r="AK11" s="1">
        <f t="shared" si="29"/>
        <v>3</v>
      </c>
      <c r="AL11" s="1">
        <f t="shared" si="30"/>
        <v>3</v>
      </c>
      <c r="AM11" s="1">
        <f t="shared" si="31"/>
        <v>3</v>
      </c>
      <c r="AN11" s="1">
        <f>IF(('[1]フォームの回答 1'!T11="ほとんどなかった"),1,(IF(('[1]フォームの回答 1'!T11="ときどきあった"),2,(IF(('[1]フォームの回答 1'!T11="しばしばあった"),3,(IF(('[1]フォームの回答 1'!T11="ほとんどいつもあった"),4,"")))))))</f>
        <v>4</v>
      </c>
      <c r="AO11" s="1">
        <f>IF(('[1]フォームの回答 1'!U11="ほとんどなかった"),1,(IF(('[1]フォームの回答 1'!U11="ときどきあった"),2,(IF(('[1]フォームの回答 1'!U11="しばしばあった"),3,(IF(('[1]フォームの回答 1'!U11="ほとんどいつもあった"),4,"")))))))</f>
        <v>1</v>
      </c>
      <c r="AP11" s="1">
        <f>IF(('[1]フォームの回答 1'!V11="ほとんどなかった"),1,(IF(('[1]フォームの回答 1'!V11="ときどきあった"),2,(IF(('[1]フォームの回答 1'!V11="しばしばあった"),3,(IF(('[1]フォームの回答 1'!V11="ほとんどいつもあった"),4,"")))))))</f>
        <v>1</v>
      </c>
      <c r="AQ11" s="1">
        <f>IF(('[1]フォームの回答 1'!W11="ほとんどなかった"),1,(IF(('[1]フォームの回答 1'!W11="ときどきあった"),2,(IF(('[1]フォームの回答 1'!W11="しばしばあった"),3,(IF(('[1]フォームの回答 1'!W11="ほとんどいつもあった"),4,"")))))))</f>
        <v>3</v>
      </c>
      <c r="AR11" s="1">
        <f>IF(('[1]フォームの回答 1'!X11="ほとんどなかった"),1,(IF(('[1]フォームの回答 1'!X11="ときどきあった"),2,(IF(('[1]フォームの回答 1'!X11="しばしばあった"),3,(IF(('[1]フォームの回答 1'!X11="ほとんどいつもあった"),4,"")))))))</f>
        <v>3</v>
      </c>
      <c r="AS11" s="1">
        <f>IF(('[1]フォームの回答 1'!Y11="ほとんどなかった"),1,(IF(('[1]フォームの回答 1'!Y11="ときどきあった"),2,(IF(('[1]フォームの回答 1'!Y11="しばしばあった"),3,(IF(('[1]フォームの回答 1'!Y11="ほとんどいつもあった"),4,"")))))))</f>
        <v>3</v>
      </c>
      <c r="AT11" s="1">
        <f>IF(('[1]フォームの回答 1'!Z11="ほとんどなかった"),1,(IF(('[1]フォームの回答 1'!Z11="ときどきあった"),2,(IF(('[1]フォームの回答 1'!Z11="しばしばあった"),3,(IF(('[1]フォームの回答 1'!Z11="ほとんどいつもあった"),4,"")))))))</f>
        <v>3</v>
      </c>
      <c r="AU11" s="1">
        <f>IF(('[1]フォームの回答 1'!AA11="ほとんどなかった"),1,(IF(('[1]フォームの回答 1'!AA11="ときどきあった"),2,(IF(('[1]フォームの回答 1'!AA11="しばしばあった"),3,(IF(('[1]フォームの回答 1'!AA11="ほとんどいつもあった"),4,"")))))))</f>
        <v>2</v>
      </c>
      <c r="AV11" s="1">
        <f>IF(('[1]フォームの回答 1'!AB11="ほとんどなかった"),1,(IF(('[1]フォームの回答 1'!AB11="ときどきばあった"),2,(IF(('[1]フォームの回答 1'!AB11="しばしばあった"),3,(IF(('[1]フォームの回答 1'!AB11="ほとんどいつもあった"),4,"")))))))</f>
        <v>2</v>
      </c>
      <c r="AW11" s="1">
        <f>IF(('[1]フォームの回答 1'!AC11="ほとんどなかった"),1,(IF(('[1]フォームの回答 1'!AC11="ときどきあった"),2,(IF(('[1]フォームの回答 1'!AC11="しばしばあった"),3,(IF(('[1]フォームの回答 1'!AC11="ほとんどいつもあった"),4,"")))))))</f>
        <v>2</v>
      </c>
      <c r="AX11" s="1">
        <f>IF(('[1]フォームの回答 1'!AD11="ほとんどなかった"),1,(IF(('[1]フォームの回答 1'!AD11="ときどきあった"),2,(IF(('[1]フォームの回答 1'!AD11="しばしばあった"),3,(IF(('[1]フォームの回答 1'!AD11="ほとんどいつもあった"),4,"")))))))</f>
        <v>2</v>
      </c>
      <c r="AY11" s="1">
        <f>IF(('[1]フォームの回答 1'!AE11="ほとんどなかった"),1,(IF(('[1]フォームの回答 1'!AE11="ときどきあった"),2,(IF(('[1]フォームの回答 1'!AE11="しばしばあった"),3,(IF(('[1]フォームの回答 1'!AE11="ほとんどいつもあった"),4,"")))))))</f>
        <v>2</v>
      </c>
      <c r="AZ11" s="1">
        <f>IF(('[1]フォームの回答 1'!AF11="ほとんどなかった"),1,(IF(('[1]フォームの回答 1'!AF11="ときどきあった"),2,(IF(('[1]フォームの回答 1'!AF11="しばしばあった"),3,(IF(('[1]フォームの回答 1'!AF11="ほとんどいつもあった"),4,"")))))))</f>
        <v>2</v>
      </c>
      <c r="BA11" s="1">
        <f>IF(('[1]フォームの回答 1'!AG11="ほとんどなかった"),1,(IF(('[1]フォームの回答 1'!AG11="ときどきあった"),2,(IF(('[1]フォームの回答 1'!AG11="しばしばあった"),3,(IF(('[1]フォームの回答 1'!AG11="ほとんどいつもあった"),4,"")))))))</f>
        <v>2</v>
      </c>
      <c r="BB11" s="1">
        <f>IF(('[1]フォームの回答 1'!AH11="ほとんどなかった"),1,(IF(('[1]フォームの回答 1'!AH11="ときどきあった"),2,(IF(('[1]フォームの回答 1'!AH11="しばしばあった"),3,(IF(('[1]フォームの回答 1'!AH11="ほとんどいつもあった"),4,"")))))))</f>
        <v>2</v>
      </c>
      <c r="BC11" s="1">
        <f>IF(('[1]フォームの回答 1'!AI11="ほとんどなかった"),1,(IF(('[1]フォームの回答 1'!AI11="ときどきあった"),2,(IF(('[1]フォームの回答 1'!AI11="しばしばあった"),3,(IF(('[1]フォームの回答 1'!AI11="ほとんどいつもあった"),4,"")))))))</f>
        <v>2</v>
      </c>
      <c r="BD11" s="1">
        <f>IF(('[1]フォームの回答 1'!AJ11="ほとんどなかった"),1,(IF(('[1]フォームの回答 1'!AJ11="ときどきあった"),2,(IF(('[1]フォームの回答 1'!AJ11="しばしばあった"),3,(IF(('[1]フォームの回答 1'!AJ11="ほとんどいつもあった"),4,"")))))))</f>
        <v>2</v>
      </c>
      <c r="BE11" s="1">
        <f>IF(('[1]フォームの回答 1'!AK11="ほとんどなかった"),1,(IF(('[1]フォームの回答 1'!AK11="ときどきあった"),2,(IF(('[1]フォームの回答 1'!AK11="しばしばあった"),3,(IF(('[1]フォームの回答 1'!AK11="ほとんどいつもあった"),4,"")))))))</f>
        <v>2</v>
      </c>
      <c r="BF11" s="1">
        <f>IF(('[1]フォームの回答 1'!AL11="ほとんどなかった"),1,(IF(('[1]フォームの回答 1'!AL11="ときどきあった"),2,(IF(('[1]フォームの回答 1'!AL11="しばしばあった"),3,(IF(('[1]フォームの回答 1'!AL11="ほとんどいつもあった"),4,"")))))))</f>
        <v>1</v>
      </c>
      <c r="BG11" s="1">
        <f>IF(('[1]フォームの回答 1'!AM11="ほとんどなかった"),1,(IF(('[1]フォームの回答 1'!AM11="ときどきあった"),2,(IF(('[1]フォームの回答 1'!AM11="しばしばあった"),3,(IF(('[1]フォームの回答 1'!AM11="ほとんどいつもあった"),4,"")))))))</f>
        <v>3</v>
      </c>
      <c r="BH11" s="1">
        <f>IF(('[1]フォームの回答 1'!AN11="ほとんどなかった"),1,(IF(('[1]フォームの回答 1'!AN11="ときどきあった"),2,(IF(('[1]フォームの回答 1'!AN11="しばしばあった"),3,(IF(('[1]フォームの回答 1'!AN11="ほとんどいつもあった"),4,"")))))))</f>
        <v>2</v>
      </c>
      <c r="BI11" s="1">
        <f>IF(('[1]フォームの回答 1'!AO11="ほとんどなかった"),1,(IF(('[1]フォームの回答 1'!AO11="ときどきあった"),2,(IF(('[1]フォームの回答 1'!AO11="しばしばあった"),3,(IF(('[1]フォームの回答 1'!AO11="ほとんどいつもあった"),4,"")))))))</f>
        <v>2</v>
      </c>
      <c r="BJ11" s="1">
        <f>IF(('[1]フォームの回答 1'!AP11="ほとんどなかった"),1,(IF(('[1]フォームの回答 1'!AP11="ときどきあった"),2,(IF(('[1]フォームの回答 1'!AP11="しばしばあった"),3,(IF(('[1]フォームの回答 1'!AP11="ほとんどいつもあった"),4,"")))))))</f>
        <v>3</v>
      </c>
      <c r="BK11" s="1">
        <f>IF(('[1]フォームの回答 1'!AQ11="ほとんどなかった"),1,(IF(('[1]フォームの回答 1'!AQ11="ときどきあった"),2,(IF(('[1]フォームの回答 1'!AQ11="しばしばあった"),3,(IF(('[1]フォームの回答 1'!AQ11="ほとんどいつもあった"),4,"")))))))</f>
        <v>3</v>
      </c>
      <c r="BL11" s="1">
        <f>IF(('[1]フォームの回答 1'!AR11="ほとんどなかった"),1,(IF(('[1]フォームの回答 1'!AR11="ときどきあった"),2,(IF(('[1]フォームの回答 1'!AR11="しばしばあった"),3,(IF(('[1]フォームの回答 1'!AR11="ほとんどいつもあった"),4,"")))))))</f>
        <v>3</v>
      </c>
      <c r="BM11" s="1">
        <f>IF(('[1]フォームの回答 1'!AS11="ほとんどなかった"),1,(IF(('[1]フォームの回答 1'!AS11="ときどきあった"),2,(IF(('[1]フォームの回答 1'!AS11="しばしばあった"),3,(IF(('[1]フォームの回答 1'!AS11="ほとんどいつもあった"),4,"")))))))</f>
        <v>2</v>
      </c>
      <c r="BN11" s="1">
        <f>IF(('[1]フォームの回答 1'!AT11="ほとんどなかった"),1,(IF(('[1]フォームの回答 1'!AT11="ときどきあった"),2,(IF(('[1]フォームの回答 1'!AT11="しばしばあった"),3,(IF(('[1]フォームの回答 1'!AT11="ほとんどいつもあった"),4,"")))))))</f>
        <v>2</v>
      </c>
      <c r="BO11" s="1">
        <f>IF(('[1]フォームの回答 1'!AU11="ほとんどなかった"),1,(IF(('[1]フォームの回答 1'!AU11="ときどきあった"),2,(IF(('[1]フォームの回答 1'!AU11="しばしばあった"),3,(IF(('[1]フォームの回答 1'!AU11="ほとんどいつもあった"),4,"")))))))</f>
        <v>1</v>
      </c>
      <c r="BP11" s="1">
        <f>IF(('[1]フォームの回答 1'!AV11="ほとんどなかった"),1,(IF(('[1]フォームの回答 1'!AV11="ときどきあった"),2,(IF(('[1]フォームの回答 1'!AV11="しばしばあった"),3,(IF(('[1]フォームの回答 1'!AV11="ほとんどいつもあった"),4,"")))))))</f>
        <v>4</v>
      </c>
      <c r="BQ11" s="1">
        <f t="shared" si="32"/>
        <v>6</v>
      </c>
      <c r="BR11" s="1">
        <f t="shared" si="33"/>
        <v>3</v>
      </c>
      <c r="BS11" s="1">
        <f t="shared" si="34"/>
        <v>9</v>
      </c>
      <c r="BT11" s="1">
        <f t="shared" si="4"/>
        <v>4</v>
      </c>
      <c r="BU11" s="1">
        <f t="shared" si="5"/>
        <v>7</v>
      </c>
      <c r="BV11" s="1">
        <f t="shared" si="6"/>
        <v>3</v>
      </c>
      <c r="BW11" s="1">
        <f t="shared" si="35"/>
        <v>6</v>
      </c>
      <c r="BX11" s="1">
        <f t="shared" si="7"/>
        <v>3</v>
      </c>
      <c r="BY11" s="1">
        <f t="shared" si="36"/>
        <v>12</v>
      </c>
      <c r="BZ11" s="1">
        <f t="shared" si="8"/>
        <v>3</v>
      </c>
      <c r="CA11" s="1">
        <f t="shared" si="37"/>
        <v>26</v>
      </c>
      <c r="CB11" s="1">
        <f t="shared" si="9"/>
        <v>4</v>
      </c>
      <c r="CC11" s="1">
        <f>IF(('[1]フォームの回答 1'!AW11="非常に"),1,(IF(('[1]フォームの回答 1'!AW11="かなり"),2,(IF(('[1]フォームの回答 1'!AW11="多少"),3,(IF(('[1]フォームの回答 1'!AW11="全くない"),4,"")))))))</f>
        <v>3</v>
      </c>
      <c r="CD11" s="1">
        <f>IF(('[1]フォームの回答 1'!AX11="非常に"),1,(IF(('[1]フォームの回答 1'!AX11="かなり"),2,(IF(('[1]フォームの回答 1'!AX11="多少"),3,(IF(('[1]フォームの回答 1'!AX11="全くない"),4,"")))))))</f>
        <v>3</v>
      </c>
      <c r="CE11" s="1">
        <f>IF(('[1]フォームの回答 1'!AY11="非常に"),1,(IF(('[1]フォームの回答 1'!AY11="かなり"),2,(IF(('[1]フォームの回答 1'!AY11="多少"),3,(IF(('[1]フォームの回答 1'!AY11="全くない"),4,"")))))))</f>
        <v>3</v>
      </c>
      <c r="CF11" s="1">
        <f>IF(('[1]フォームの回答 1'!AZ11="非常に"),1,(IF(('[1]フォームの回答 1'!AZ11="かなり"),2,(IF(('[1]フォームの回答 1'!AZ11="多少"),3,(IF(('[1]フォームの回答 1'!AZ11="全くない"),4,"")))))))</f>
        <v>3</v>
      </c>
      <c r="CG11" s="1">
        <f>IF(('[1]フォームの回答 1'!BA11="非常に"),1,(IF(('[1]フォームの回答 1'!BA11="かなり"),2,(IF(('[1]フォームの回答 1'!BA11="多少"),3,(IF(('[1]フォームの回答 1'!BA11="全くない"),4,"")))))))</f>
        <v>3</v>
      </c>
      <c r="CH11" s="1">
        <f>IF(('[1]フォームの回答 1'!BB11="非常に"),1,(IF(('[1]フォームの回答 1'!BB11="かなり"),2,(IF(('[1]フォームの回答 1'!BB11="多少"),3,(IF(('[1]フォームの回答 1'!BB11="全くない"),4,"")))))))</f>
        <v>3</v>
      </c>
      <c r="CI11" s="1">
        <f>IF(('[1]フォームの回答 1'!BC11="非常に"),1,(IF(('[1]フォームの回答 1'!BC11="かなり"),2,(IF(('[1]フォームの回答 1'!BC11="多少"),3,(IF(('[1]フォームの回答 1'!BC11="全くない"),4,"")))))))</f>
        <v>3</v>
      </c>
      <c r="CJ11" s="1">
        <f>IF(('[1]フォームの回答 1'!BD11="非常に"),1,(IF(('[1]フォームの回答 1'!BD11="かなり"),2,(IF(('[1]フォームの回答 1'!BD11="多少"),3,(IF(('[1]フォームの回答 1'!BD11="全くない"),4,"")))))))</f>
        <v>3</v>
      </c>
      <c r="CK11" s="1">
        <f>IF(('[1]フォームの回答 1'!BE11="非常に"),1,(IF(('[1]フォームの回答 1'!BE11="かなり"),2,(IF(('[1]フォームの回答 1'!BE11="多少"),3,(IF(('[1]フォームの回答 1'!BE11="全くない"),4,"")))))))</f>
        <v>3</v>
      </c>
      <c r="CL11" s="1">
        <f>IF(('[1]フォームの回答 1'!BF11="満足"),1,(IF(('[1]フォームの回答 1'!BF11="まぁ満足"),2,(IF(('[1]フォームの回答 1'!BF11="やや満足"),3,(IF(('[1]フォームの回答 1'!BF11="不満足"),4,"")))))))</f>
        <v>2</v>
      </c>
      <c r="CM11" s="1">
        <f>IF(('[1]フォームの回答 1'!BG11="満足"),1,(IF(('[1]フォームの回答 1'!BG11="まぁ満足"),2,(IF(('[1]フォームの回答 1'!BG11="やや満足"),3,(IF(('[1]フォームの回答 1'!BG11="不満足"),4,"")))))))</f>
        <v>2</v>
      </c>
      <c r="CN11" s="1">
        <f t="shared" si="38"/>
        <v>6</v>
      </c>
      <c r="CO11" s="1">
        <f t="shared" si="10"/>
        <v>4</v>
      </c>
      <c r="CP11" s="1">
        <f t="shared" si="39"/>
        <v>6</v>
      </c>
      <c r="CQ11" s="1">
        <f t="shared" si="11"/>
        <v>4</v>
      </c>
      <c r="CR11" s="1">
        <f t="shared" si="40"/>
        <v>6</v>
      </c>
      <c r="CS11" s="1">
        <f t="shared" si="41"/>
        <v>5</v>
      </c>
      <c r="CT11" s="1">
        <f t="shared" si="42"/>
        <v>6</v>
      </c>
      <c r="CU11" s="1">
        <f t="shared" si="12"/>
        <v>3</v>
      </c>
      <c r="CV11" s="1">
        <f t="shared" si="13"/>
        <v>20</v>
      </c>
      <c r="CW11" s="1">
        <f t="shared" si="14"/>
        <v>27</v>
      </c>
      <c r="CX11" s="1">
        <f t="shared" si="15"/>
        <v>13</v>
      </c>
      <c r="CY11" s="29" t="str">
        <f t="shared" si="43"/>
        <v>中①</v>
      </c>
      <c r="CZ11" s="1">
        <v>0.7</v>
      </c>
      <c r="DA11" s="2">
        <f t="shared" si="16"/>
        <v>0.30000000000000004</v>
      </c>
      <c r="DB11" s="1">
        <f>IF(('[1]フォームの回答 1'!BI11="いつもより寝つきは良い"),0,(IF(('[1]フォームの回答 1'!BI11="いつもより少し時間がかかった"),1,(IF(('[1]フォームの回答 1'!BI11="いつもよりかなり時間がかかった"),2,(IF(('[1]フォームの回答 1'!BI11="いつもより非常に時間がかかった、あるいは全く眠れなかった"),3,"")))))))</f>
        <v>2</v>
      </c>
      <c r="DC11" s="1">
        <f>IF(('[1]フォームの回答 1'!BJ11="問題になるほどのことはなかった"),0,(IF(('[1]フォームの回答 1'!BJ11="少し困ることがある"),1,(IF(('[1]フォームの回答 1'!BJ11="かなり困っている"),2,(IF(('[1]フォームの回答 1'!BJ11="深刻な状態、あるいは全く眠れなかった"),3,"")))))))</f>
        <v>1</v>
      </c>
      <c r="DD11" s="1">
        <f>IF(('[1]フォームの回答 1'!BK11="そのようなことはなかった"),0,(IF(('[1]フォームの回答 1'!BK11="少し早かった"),1,(IF(('[1]フォームの回答 1'!BK11="かなり早かった"),2,(IF(('[1]フォームの回答 1'!BK11="非常に早かった、あるいは全く眠れなかった"),3,"")))))))</f>
        <v>1</v>
      </c>
      <c r="DE11" s="1">
        <f>IF(('[1]フォームの回答 1'!BL11="十分である"),0,(IF(('[1]フォームの回答 1'!BL11="少し足りない"),1,(IF(('[1]フォームの回答 1'!BL11="かなり足りない"),2,(IF(('[1]フォームの回答 1'!BL11="全く足りない、あるいは全く眠れなかった"),3,"")))))))</f>
        <v>2</v>
      </c>
      <c r="DF11" s="1">
        <f>IF(('[1]フォームの回答 1'!BM11="満足している"),0,(IF(('[1]フォームの回答 1'!BM11="少し不満である"),1,(IF(('[1]フォームの回答 1'!BM11="かなり不満である"),2,(IF(('[1]フォームの回答 1'!BM11="非常に不満である、あるいは全く眠れなかった"),3,"")))))))</f>
        <v>2</v>
      </c>
      <c r="DG11" s="1">
        <f>IF(('[1]フォームの回答 1'!BN11="いつもどおり"),0,(IF(('[1]フォームの回答 1'!BN11="少し滅入った"),1,(IF(('[1]フォームの回答 1'!BN11="かなり滅入った"),2,(IF(('[1]フォームの回答 1'!BN11="非常に滅入った"),3,"")))))))</f>
        <v>0</v>
      </c>
      <c r="DH11" s="1">
        <f>IF(('[1]フォームの回答 1'!BO11="いつもどおり"),0,(IF(('[1]フォームの回答 1'!BO11="少し低下した"),1,(IF(('[1]フォームの回答 1'!BO11="かなり低下した"),2,(IF(('[1]フォームの回答 1'!BO11="非常に低下した"),3,"")))))))</f>
        <v>0</v>
      </c>
      <c r="DI11" s="1">
        <f>IF(('[1]フォームの回答 1'!BP11="全くなかった"),0,(IF(('[1]フォームの回答 1'!BP11="少しあった"),1,(IF(('[1]フォームの回答 1'!BP11="かなりあった"),2,(IF(('[1]フォームの回答 1'!BP11="激しかった"),3,"")))))))</f>
        <v>1</v>
      </c>
      <c r="DJ11">
        <f t="shared" si="44"/>
        <v>9</v>
      </c>
      <c r="DK11" s="4" t="str">
        <f t="shared" si="45"/>
        <v>高</v>
      </c>
      <c r="DL11" s="5">
        <v>16.7</v>
      </c>
      <c r="DM11" s="5">
        <v>22</v>
      </c>
      <c r="DN11" s="5">
        <v>43.7</v>
      </c>
      <c r="DO11" s="5">
        <v>82.4</v>
      </c>
      <c r="DP11" s="5"/>
      <c r="DQ11" s="5" t="s">
        <v>200</v>
      </c>
      <c r="DR11" s="43">
        <v>0.35599999999999998</v>
      </c>
      <c r="DS11" s="43">
        <v>69.150000000000006</v>
      </c>
      <c r="DT11" s="5">
        <v>0.51</v>
      </c>
      <c r="DU11" s="5">
        <v>10</v>
      </c>
      <c r="DV11" s="5" t="s">
        <v>115</v>
      </c>
    </row>
    <row r="12" spans="1:126" ht="14">
      <c r="A12" s="1">
        <v>302</v>
      </c>
      <c r="B12" s="24" t="s">
        <v>140</v>
      </c>
      <c r="C12" s="24">
        <v>36201</v>
      </c>
      <c r="D12" s="38">
        <f t="shared" si="17"/>
        <v>25</v>
      </c>
      <c r="E12" s="1">
        <f>IF(('[1]フォームの回答 1'!C12="そうだ"),1,(IF(('[1]フォームの回答 1'!C12="まぁそうだ"),2,(IF(('[1]フォームの回答 1'!C12="ややちがう"),3,(IF(('[1]フォームの回答 1'!C12="ちがう"),4,"")))))))</f>
        <v>3</v>
      </c>
      <c r="F12" s="1">
        <f>IF(('[1]フォームの回答 1'!D12="そうだ"),1,(IF(('[1]フォームの回答 1'!D12="まぁそうだ"),2,(IF(('[1]フォームの回答 1'!D12="ややちがう"),3,(IF(('[1]フォームの回答 1'!D12="ちがう"),4,"")))))))</f>
        <v>4</v>
      </c>
      <c r="G12" s="1">
        <f>IF(('[1]フォームの回答 1'!E12="そうだ"),1,(IF(('[1]フォームの回答 1'!E12="まぁそうだ"),2,(IF(('[1]フォームの回答 1'!E12="ややちがう"),3,(IF(('[1]フォームの回答 1'!E12="ちがう"),4,"")))))))</f>
        <v>3</v>
      </c>
      <c r="H12" s="1">
        <f>IF(('[1]フォームの回答 1'!F12="そうだ"),1,(IF(('[1]フォームの回答 1'!F12="まぁそうだ"),2,(IF(('[1]フォームの回答 1'!F12="ややちがう"),3,(IF(('[1]フォームの回答 1'!F12="ちがう"),4,"")))))))</f>
        <v>2</v>
      </c>
      <c r="I12" s="1">
        <f>IF(('[1]フォームの回答 1'!G12="そうだ"),1,(IF(('[1]フォームの回答 1'!G12="まぁそうだ"),2,(IF(('[1]フォームの回答 1'!G12="ややちがう"),3,(IF(('[1]フォームの回答 1'!G12="ちがう"),4,"")))))))</f>
        <v>4</v>
      </c>
      <c r="J12" s="1">
        <f>IF(('[1]フォームの回答 1'!H12="そうだ"),1,(IF(('[1]フォームの回答 1'!H12="まぁそうだ"),2,(IF(('[1]フォームの回答 1'!H12="ややちがう"),3,(IF(('[1]フォームの回答 1'!H12="ちがう"),4,"")))))))</f>
        <v>4</v>
      </c>
      <c r="K12" s="1">
        <f>IF(('[1]フォームの回答 1'!I12="そうだ"),1,(IF(('[1]フォームの回答 1'!I12="まぁそうだ"),2,(IF(('[1]フォームの回答 1'!I12="ややちがう"),3,(IF(('[1]フォームの回答 1'!I12="ちがう"),4,"")))))))</f>
        <v>4</v>
      </c>
      <c r="L12" s="1">
        <f>IF(('[1]フォームの回答 1'!J12="そうだ"),1,(IF(('[1]フォームの回答 1'!J12="まぁそうだ"),2,(IF(('[1]フォームの回答 1'!J12="ややちがう"),3,(IF(('[1]フォームの回答 1'!J12="ちがう"),4,"")))))))</f>
        <v>2</v>
      </c>
      <c r="M12" s="1">
        <f>IF(('[1]フォームの回答 1'!K12="そうだ"),1,(IF(('[1]フォームの回答 1'!K12="まぁそうだ"),2,(IF(('[1]フォームの回答 1'!K12="ややちがう"),3,(IF(('[1]フォームの回答 1'!K12="ちがう"),4,"")))))))</f>
        <v>2</v>
      </c>
      <c r="N12" s="1">
        <f>IF(('[1]フォームの回答 1'!L12="そうだ"),1,(IF(('[1]フォームの回答 1'!L12="まぁそうだ"),2,(IF(('[1]フォームの回答 1'!L12="ややちがう"),3,(IF(('[1]フォームの回答 1'!L12="ちがう"),4,"")))))))</f>
        <v>2</v>
      </c>
      <c r="O12" s="1">
        <f>IF(('[1]フォームの回答 1'!M12="そうだ"),1,(IF(('[1]フォームの回答 1'!M12="まぁそうだ"),2,(IF(('[1]フォームの回答 1'!M12="ややちがう"),3,(IF(('[1]フォームの回答 1'!M12="ちがう"),4,"")))))))</f>
        <v>2</v>
      </c>
      <c r="P12" s="1">
        <f>IF(('[1]フォームの回答 1'!N12="そうだ"),1,(IF(('[1]フォームの回答 1'!N12="まぁそうだ"),2,(IF(('[1]フォームの回答 1'!N12="ややちがう"),3,(IF(('[1]フォームの回答 1'!N12="ちがう"),4,"")))))))</f>
        <v>3</v>
      </c>
      <c r="Q12" s="1">
        <f>IF(('[1]フォームの回答 1'!O12="そうだ"),1,(IF(('[1]フォームの回答 1'!O12="まぁそうだ"),2,(IF(('[1]フォームの回答 1'!O12="ややちがう"),3,(IF(('[1]フォームの回答 1'!O12="ちがう"),4,"")))))))</f>
        <v>3</v>
      </c>
      <c r="R12" s="1">
        <f>IF(('[1]フォームの回答 1'!P12="そうだ"),1,(IF(('[1]フォームの回答 1'!P12="まぁそうだ"),2,(IF(('[1]フォームの回答 1'!P12="ややちがう"),3,(IF(('[1]フォームの回答 1'!P12="ちがう"),4,"")))))))</f>
        <v>2</v>
      </c>
      <c r="S12" s="1">
        <f>IF(('[1]フォームの回答 1'!Q12="そうだ"),1,(IF(('[1]フォームの回答 1'!Q12="まぁそうだ"),2,(IF(('[1]フォームの回答 1'!Q12="ややちがう"),3,(IF(('[1]フォームの回答 1'!Q12="ちがう"),4,"")))))))</f>
        <v>3</v>
      </c>
      <c r="T12" s="1">
        <f>IF(('[1]フォームの回答 1'!R12="そうだ"),1,(IF(('[1]フォームの回答 1'!R12="まぁそうだ"),2,(IF(('[1]フォームの回答 1'!R12="ややちがう"),3,(IF(('[1]フォームの回答 1'!R12="ちがう"),4,"")))))))</f>
        <v>2</v>
      </c>
      <c r="U12" s="1">
        <f>IF(('[1]フォームの回答 1'!S12="そうだ"),1,(IF(('[1]フォームの回答 1'!S12="まぁそうだ"),2,(IF(('[1]フォームの回答 1'!S12="ややちがう"),3,(IF(('[1]フォームの回答 1'!S12="ちがう"),4,"")))))))</f>
        <v>3</v>
      </c>
      <c r="V12" s="1">
        <f t="shared" si="18"/>
        <v>5</v>
      </c>
      <c r="W12" s="1">
        <f t="shared" si="0"/>
        <v>2</v>
      </c>
      <c r="X12" s="1">
        <f t="shared" si="19"/>
        <v>5</v>
      </c>
      <c r="Y12" s="1">
        <f t="shared" si="1"/>
        <v>2</v>
      </c>
      <c r="Z12" s="1">
        <f t="shared" si="20"/>
        <v>1</v>
      </c>
      <c r="AA12" s="1">
        <f t="shared" si="21"/>
        <v>2</v>
      </c>
      <c r="AB12" s="1">
        <f t="shared" si="22"/>
        <v>6</v>
      </c>
      <c r="AC12" s="1">
        <f t="shared" si="23"/>
        <v>3</v>
      </c>
      <c r="AD12" s="1">
        <f t="shared" si="24"/>
        <v>2</v>
      </c>
      <c r="AE12" s="1">
        <f t="shared" si="2"/>
        <v>3</v>
      </c>
      <c r="AF12" s="1">
        <f t="shared" si="25"/>
        <v>9</v>
      </c>
      <c r="AG12" s="1">
        <f t="shared" si="3"/>
        <v>2</v>
      </c>
      <c r="AH12" s="1">
        <f t="shared" si="26"/>
        <v>2</v>
      </c>
      <c r="AI12" s="1">
        <f t="shared" si="27"/>
        <v>4</v>
      </c>
      <c r="AJ12" s="1">
        <f t="shared" si="28"/>
        <v>3</v>
      </c>
      <c r="AK12" s="1">
        <f t="shared" si="29"/>
        <v>3</v>
      </c>
      <c r="AL12" s="1">
        <f t="shared" si="30"/>
        <v>2</v>
      </c>
      <c r="AM12" s="1">
        <f t="shared" si="31"/>
        <v>4</v>
      </c>
      <c r="AN12" s="1">
        <f>IF(('[1]フォームの回答 1'!T12="ほとんどなかった"),1,(IF(('[1]フォームの回答 1'!T12="ときどきあった"),2,(IF(('[1]フォームの回答 1'!T12="しばしばあった"),3,(IF(('[1]フォームの回答 1'!T12="ほとんどいつもあった"),4,"")))))))</f>
        <v>3</v>
      </c>
      <c r="AO12" s="1">
        <f>IF(('[1]フォームの回答 1'!U12="ほとんどなかった"),1,(IF(('[1]フォームの回答 1'!U12="ときどきあった"),2,(IF(('[1]フォームの回答 1'!U12="しばしばあった"),3,(IF(('[1]フォームの回答 1'!U12="ほとんどいつもあった"),4,"")))))))</f>
        <v>2</v>
      </c>
      <c r="AP12" s="1">
        <f>IF(('[1]フォームの回答 1'!V12="ほとんどなかった"),1,(IF(('[1]フォームの回答 1'!V12="ときどきあった"),2,(IF(('[1]フォームの回答 1'!V12="しばしばあった"),3,(IF(('[1]フォームの回答 1'!V12="ほとんどいつもあった"),4,"")))))))</f>
        <v>2</v>
      </c>
      <c r="AQ12" s="1">
        <f>IF(('[1]フォームの回答 1'!W12="ほとんどなかった"),1,(IF(('[1]フォームの回答 1'!W12="ときどきあった"),2,(IF(('[1]フォームの回答 1'!W12="しばしばあった"),3,(IF(('[1]フォームの回答 1'!W12="ほとんどいつもあった"),4,"")))))))</f>
        <v>2</v>
      </c>
      <c r="AR12" s="1">
        <f>IF(('[1]フォームの回答 1'!X12="ほとんどなかった"),1,(IF(('[1]フォームの回答 1'!X12="ときどきあった"),2,(IF(('[1]フォームの回答 1'!X12="しばしばあった"),3,(IF(('[1]フォームの回答 1'!X12="ほとんどいつもあった"),4,"")))))))</f>
        <v>2</v>
      </c>
      <c r="AS12" s="1">
        <f>IF(('[1]フォームの回答 1'!Y12="ほとんどなかった"),1,(IF(('[1]フォームの回答 1'!Y12="ときどきあった"),2,(IF(('[1]フォームの回答 1'!Y12="しばしばあった"),3,(IF(('[1]フォームの回答 1'!Y12="ほとんどいつもあった"),4,"")))))))</f>
        <v>1</v>
      </c>
      <c r="AT12" s="1">
        <f>IF(('[1]フォームの回答 1'!Z12="ほとんどなかった"),1,(IF(('[1]フォームの回答 1'!Z12="ときどきあった"),2,(IF(('[1]フォームの回答 1'!Z12="しばしばあった"),3,(IF(('[1]フォームの回答 1'!Z12="ほとんどいつもあった"),4,"")))))))</f>
        <v>1</v>
      </c>
      <c r="AU12" s="1">
        <f>IF(('[1]フォームの回答 1'!AA12="ほとんどなかった"),1,(IF(('[1]フォームの回答 1'!AA12="ときどきあった"),2,(IF(('[1]フォームの回答 1'!AA12="しばしばあった"),3,(IF(('[1]フォームの回答 1'!AA12="ほとんどいつもあった"),4,"")))))))</f>
        <v>1</v>
      </c>
      <c r="AV12" s="1">
        <f>IF(('[1]フォームの回答 1'!AB12="ほとんどなかった"),1,(IF(('[1]フォームの回答 1'!AB12="ときどきばあった"),2,(IF(('[1]フォームの回答 1'!AB12="しばしばあった"),3,(IF(('[1]フォームの回答 1'!AB12="ほとんどいつもあった"),4,"")))))))</f>
        <v>1</v>
      </c>
      <c r="AW12" s="1">
        <f>IF(('[1]フォームの回答 1'!AC12="ほとんどなかった"),1,(IF(('[1]フォームの回答 1'!AC12="ときどきあった"),2,(IF(('[1]フォームの回答 1'!AC12="しばしばあった"),3,(IF(('[1]フォームの回答 1'!AC12="ほとんどいつもあった"),4,"")))))))</f>
        <v>2</v>
      </c>
      <c r="AX12" s="1">
        <f>IF(('[1]フォームの回答 1'!AD12="ほとんどなかった"),1,(IF(('[1]フォームの回答 1'!AD12="ときどきあった"),2,(IF(('[1]フォームの回答 1'!AD12="しばしばあった"),3,(IF(('[1]フォームの回答 1'!AD12="ほとんどいつもあった"),4,"")))))))</f>
        <v>1</v>
      </c>
      <c r="AY12" s="1">
        <f>IF(('[1]フォームの回答 1'!AE12="ほとんどなかった"),1,(IF(('[1]フォームの回答 1'!AE12="ときどきあった"),2,(IF(('[1]フォームの回答 1'!AE12="しばしばあった"),3,(IF(('[1]フォームの回答 1'!AE12="ほとんどいつもあった"),4,"")))))))</f>
        <v>1</v>
      </c>
      <c r="AZ12" s="1">
        <f>IF(('[1]フォームの回答 1'!AF12="ほとんどなかった"),1,(IF(('[1]フォームの回答 1'!AF12="ときどきあった"),2,(IF(('[1]フォームの回答 1'!AF12="しばしばあった"),3,(IF(('[1]フォームの回答 1'!AF12="ほとんどいつもあった"),4,"")))))))</f>
        <v>1</v>
      </c>
      <c r="BA12" s="1">
        <f>IF(('[1]フォームの回答 1'!AG12="ほとんどなかった"),1,(IF(('[1]フォームの回答 1'!AG12="ときどきあった"),2,(IF(('[1]フォームの回答 1'!AG12="しばしばあった"),3,(IF(('[1]フォームの回答 1'!AG12="ほとんどいつもあった"),4,"")))))))</f>
        <v>3</v>
      </c>
      <c r="BB12" s="1">
        <f>IF(('[1]フォームの回答 1'!AH12="ほとんどなかった"),1,(IF(('[1]フォームの回答 1'!AH12="ときどきあった"),2,(IF(('[1]フォームの回答 1'!AH12="しばしばあった"),3,(IF(('[1]フォームの回答 1'!AH12="ほとんどいつもあった"),4,"")))))))</f>
        <v>3</v>
      </c>
      <c r="BC12" s="1">
        <f>IF(('[1]フォームの回答 1'!AI12="ほとんどなかった"),1,(IF(('[1]フォームの回答 1'!AI12="ときどきあった"),2,(IF(('[1]フォームの回答 1'!AI12="しばしばあった"),3,(IF(('[1]フォームの回答 1'!AI12="ほとんどいつもあった"),4,"")))))))</f>
        <v>3</v>
      </c>
      <c r="BD12" s="1">
        <f>IF(('[1]フォームの回答 1'!AJ12="ほとんどなかった"),1,(IF(('[1]フォームの回答 1'!AJ12="ときどきあった"),2,(IF(('[1]フォームの回答 1'!AJ12="しばしばあった"),3,(IF(('[1]フォームの回答 1'!AJ12="ほとんどいつもあった"),4,"")))))))</f>
        <v>3</v>
      </c>
      <c r="BE12" s="1">
        <f>IF(('[1]フォームの回答 1'!AK12="ほとんどなかった"),1,(IF(('[1]フォームの回答 1'!AK12="ときどきあった"),2,(IF(('[1]フォームの回答 1'!AK12="しばしばあった"),3,(IF(('[1]フォームの回答 1'!AK12="ほとんどいつもあった"),4,"")))))))</f>
        <v>3</v>
      </c>
      <c r="BF12" s="1">
        <f>IF(('[1]フォームの回答 1'!AL12="ほとんどなかった"),1,(IF(('[1]フォームの回答 1'!AL12="ときどきあった"),2,(IF(('[1]フォームの回答 1'!AL12="しばしばあった"),3,(IF(('[1]フォームの回答 1'!AL12="ほとんどいつもあった"),4,"")))))))</f>
        <v>2</v>
      </c>
      <c r="BG12" s="1">
        <f>IF(('[1]フォームの回答 1'!AM12="ほとんどなかった"),1,(IF(('[1]フォームの回答 1'!AM12="ときどきあった"),2,(IF(('[1]フォームの回答 1'!AM12="しばしばあった"),3,(IF(('[1]フォームの回答 1'!AM12="ほとんどいつもあった"),4,"")))))))</f>
        <v>1</v>
      </c>
      <c r="BH12" s="1">
        <f>IF(('[1]フォームの回答 1'!AN12="ほとんどなかった"),1,(IF(('[1]フォームの回答 1'!AN12="ときどきあった"),2,(IF(('[1]フォームの回答 1'!AN12="しばしばあった"),3,(IF(('[1]フォームの回答 1'!AN12="ほとんどいつもあった"),4,"")))))))</f>
        <v>3</v>
      </c>
      <c r="BI12" s="1">
        <f>IF(('[1]フォームの回答 1'!AO12="ほとんどなかった"),1,(IF(('[1]フォームの回答 1'!AO12="ときどきあった"),2,(IF(('[1]フォームの回答 1'!AO12="しばしばあった"),3,(IF(('[1]フォームの回答 1'!AO12="ほとんどいつもあった"),4,"")))))))</f>
        <v>3</v>
      </c>
      <c r="BJ12" s="1">
        <f>IF(('[1]フォームの回答 1'!AP12="ほとんどなかった"),1,(IF(('[1]フォームの回答 1'!AP12="ときどきあった"),2,(IF(('[1]フォームの回答 1'!AP12="しばしばあった"),3,(IF(('[1]フォームの回答 1'!AP12="ほとんどいつもあった"),4,"")))))))</f>
        <v>3</v>
      </c>
      <c r="BK12" s="1">
        <f>IF(('[1]フォームの回答 1'!AQ12="ほとんどなかった"),1,(IF(('[1]フォームの回答 1'!AQ12="ときどきあった"),2,(IF(('[1]フォームの回答 1'!AQ12="しばしばあった"),3,(IF(('[1]フォームの回答 1'!AQ12="ほとんどいつもあった"),4,"")))))))</f>
        <v>3</v>
      </c>
      <c r="BL12" s="1">
        <f>IF(('[1]フォームの回答 1'!AR12="ほとんどなかった"),1,(IF(('[1]フォームの回答 1'!AR12="ときどきあった"),2,(IF(('[1]フォームの回答 1'!AR12="しばしばあった"),3,(IF(('[1]フォームの回答 1'!AR12="ほとんどいつもあった"),4,"")))))))</f>
        <v>1</v>
      </c>
      <c r="BM12" s="1">
        <f>IF(('[1]フォームの回答 1'!AS12="ほとんどなかった"),1,(IF(('[1]フォームの回答 1'!AS12="ときどきあった"),2,(IF(('[1]フォームの回答 1'!AS12="しばしばあった"),3,(IF(('[1]フォームの回答 1'!AS12="ほとんどいつもあった"),4,"")))))))</f>
        <v>3</v>
      </c>
      <c r="BN12" s="1">
        <f>IF(('[1]フォームの回答 1'!AT12="ほとんどなかった"),1,(IF(('[1]フォームの回答 1'!AT12="ときどきあった"),2,(IF(('[1]フォームの回答 1'!AT12="しばしばあった"),3,(IF(('[1]フォームの回答 1'!AT12="ほとんどいつもあった"),4,"")))))))</f>
        <v>2</v>
      </c>
      <c r="BO12" s="1">
        <f>IF(('[1]フォームの回答 1'!AU12="ほとんどなかった"),1,(IF(('[1]フォームの回答 1'!AU12="ときどきあった"),2,(IF(('[1]フォームの回答 1'!AU12="しばしばあった"),3,(IF(('[1]フォームの回答 1'!AU12="ほとんどいつもあった"),4,"")))))))</f>
        <v>2</v>
      </c>
      <c r="BP12" s="1">
        <f>IF(('[1]フォームの回答 1'!AV12="ほとんどなかった"),1,(IF(('[1]フォームの回答 1'!AV12="ときどきあった"),2,(IF(('[1]フォームの回答 1'!AV12="しばしばあった"),3,(IF(('[1]フォームの回答 1'!AV12="ほとんどいつもあった"),4,"")))))))</f>
        <v>2</v>
      </c>
      <c r="BQ12" s="1">
        <f t="shared" si="32"/>
        <v>7</v>
      </c>
      <c r="BR12" s="1">
        <f t="shared" si="33"/>
        <v>3</v>
      </c>
      <c r="BS12" s="1">
        <f t="shared" si="34"/>
        <v>5</v>
      </c>
      <c r="BT12" s="1">
        <f t="shared" si="4"/>
        <v>2</v>
      </c>
      <c r="BU12" s="1">
        <f t="shared" si="5"/>
        <v>3</v>
      </c>
      <c r="BV12" s="1">
        <f t="shared" si="6"/>
        <v>1</v>
      </c>
      <c r="BW12" s="1">
        <f t="shared" si="35"/>
        <v>4</v>
      </c>
      <c r="BX12" s="1">
        <f t="shared" si="7"/>
        <v>2</v>
      </c>
      <c r="BY12" s="1">
        <f t="shared" si="36"/>
        <v>16</v>
      </c>
      <c r="BZ12" s="1">
        <f t="shared" si="8"/>
        <v>4</v>
      </c>
      <c r="CA12" s="1">
        <f t="shared" si="37"/>
        <v>25</v>
      </c>
      <c r="CB12" s="1">
        <f t="shared" si="9"/>
        <v>4</v>
      </c>
      <c r="CC12" s="1">
        <f>IF(('[1]フォームの回答 1'!AW12="非常に"),1,(IF(('[1]フォームの回答 1'!AW12="かなり"),2,(IF(('[1]フォームの回答 1'!AW12="多少"),3,(IF(('[1]フォームの回答 1'!AW12="全くない"),4,"")))))))</f>
        <v>1</v>
      </c>
      <c r="CD12" s="1">
        <f>IF(('[1]フォームの回答 1'!AX12="非常に"),1,(IF(('[1]フォームの回答 1'!AX12="かなり"),2,(IF(('[1]フォームの回答 1'!AX12="多少"),3,(IF(('[1]フォームの回答 1'!AX12="全くない"),4,"")))))))</f>
        <v>1</v>
      </c>
      <c r="CE12" s="1">
        <f>IF(('[1]フォームの回答 1'!AY12="非常に"),1,(IF(('[1]フォームの回答 1'!AY12="かなり"),2,(IF(('[1]フォームの回答 1'!AY12="多少"),3,(IF(('[1]フォームの回答 1'!AY12="全くない"),4,"")))))))</f>
        <v>1</v>
      </c>
      <c r="CF12" s="1">
        <f>IF(('[1]フォームの回答 1'!AZ12="非常に"),1,(IF(('[1]フォームの回答 1'!AZ12="かなり"),2,(IF(('[1]フォームの回答 1'!AZ12="多少"),3,(IF(('[1]フォームの回答 1'!AZ12="全くない"),4,"")))))))</f>
        <v>3</v>
      </c>
      <c r="CG12" s="1">
        <f>IF(('[1]フォームの回答 1'!BA12="非常に"),1,(IF(('[1]フォームの回答 1'!BA12="かなり"),2,(IF(('[1]フォームの回答 1'!BA12="多少"),3,(IF(('[1]フォームの回答 1'!BA12="全くない"),4,"")))))))</f>
        <v>3</v>
      </c>
      <c r="CH12" s="1">
        <f>IF(('[1]フォームの回答 1'!BB12="非常に"),1,(IF(('[1]フォームの回答 1'!BB12="かなり"),2,(IF(('[1]フォームの回答 1'!BB12="多少"),3,(IF(('[1]フォームの回答 1'!BB12="全くない"),4,"")))))))</f>
        <v>1</v>
      </c>
      <c r="CI12" s="1">
        <f>IF(('[1]フォームの回答 1'!BC12="非常に"),1,(IF(('[1]フォームの回答 1'!BC12="かなり"),2,(IF(('[1]フォームの回答 1'!BC12="多少"),3,(IF(('[1]フォームの回答 1'!BC12="全くない"),4,"")))))))</f>
        <v>2</v>
      </c>
      <c r="CJ12" s="1">
        <f>IF(('[1]フォームの回答 1'!BD12="非常に"),1,(IF(('[1]フォームの回答 1'!BD12="かなり"),2,(IF(('[1]フォームの回答 1'!BD12="多少"),3,(IF(('[1]フォームの回答 1'!BD12="全くない"),4,"")))))))</f>
        <v>2</v>
      </c>
      <c r="CK12" s="1">
        <f>IF(('[1]フォームの回答 1'!BE12="非常に"),1,(IF(('[1]フォームの回答 1'!BE12="かなり"),2,(IF(('[1]フォームの回答 1'!BE12="多少"),3,(IF(('[1]フォームの回答 1'!BE12="全くない"),4,"")))))))</f>
        <v>2</v>
      </c>
      <c r="CL12" s="1">
        <f>IF(('[1]フォームの回答 1'!BF12="満足"),1,(IF(('[1]フォームの回答 1'!BF12="まぁ満足"),2,(IF(('[1]フォームの回答 1'!BF12="やや満足"),3,(IF(('[1]フォームの回答 1'!BF12="不満足"),4,"")))))))</f>
        <v>4</v>
      </c>
      <c r="CM12" s="1">
        <f>IF(('[1]フォームの回答 1'!BG12="満足"),1,(IF(('[1]フォームの回答 1'!BG12="まぁ満足"),2,(IF(('[1]フォームの回答 1'!BG12="やや満足"),3,(IF(('[1]フォームの回答 1'!BG12="不満足"),4,"")))))))</f>
        <v>1</v>
      </c>
      <c r="CN12" s="1">
        <f t="shared" si="38"/>
        <v>9</v>
      </c>
      <c r="CO12" s="1">
        <f t="shared" si="10"/>
        <v>2</v>
      </c>
      <c r="CP12" s="1">
        <f t="shared" si="39"/>
        <v>9</v>
      </c>
      <c r="CQ12" s="1">
        <f t="shared" si="11"/>
        <v>3</v>
      </c>
      <c r="CR12" s="1">
        <f t="shared" si="40"/>
        <v>11</v>
      </c>
      <c r="CS12" s="1">
        <f t="shared" si="41"/>
        <v>2</v>
      </c>
      <c r="CT12" s="1">
        <f t="shared" si="42"/>
        <v>5</v>
      </c>
      <c r="CU12" s="1">
        <f t="shared" si="12"/>
        <v>3</v>
      </c>
      <c r="CV12" s="1">
        <f t="shared" si="13"/>
        <v>16</v>
      </c>
      <c r="CW12" s="1">
        <f t="shared" si="14"/>
        <v>25</v>
      </c>
      <c r="CX12" s="1">
        <f t="shared" si="15"/>
        <v>7</v>
      </c>
      <c r="CY12" s="29" t="str">
        <f t="shared" si="43"/>
        <v>低</v>
      </c>
      <c r="CZ12" s="1">
        <v>0.3</v>
      </c>
      <c r="DA12" s="2">
        <f t="shared" si="16"/>
        <v>0.7</v>
      </c>
      <c r="DB12" s="1">
        <f>IF(('[1]フォームの回答 1'!BI12="いつもより寝つきは良い"),0,(IF(('[1]フォームの回答 1'!BI12="いつもより少し時間がかかった"),1,(IF(('[1]フォームの回答 1'!BI12="いつもよりかなり時間がかかった"),2,(IF(('[1]フォームの回答 1'!BI12="いつもより非常に時間がかかった、あるいは全く眠れなかった"),3,"")))))))</f>
        <v>1</v>
      </c>
      <c r="DC12" s="1">
        <f>IF(('[1]フォームの回答 1'!BJ12="問題になるほどのことはなかった"),0,(IF(('[1]フォームの回答 1'!BJ12="少し困ることがある"),1,(IF(('[1]フォームの回答 1'!BJ12="かなり困っている"),2,(IF(('[1]フォームの回答 1'!BJ12="深刻な状態、あるいは全く眠れなかった"),3,"")))))))</f>
        <v>1</v>
      </c>
      <c r="DD12" s="1">
        <f>IF(('[1]フォームの回答 1'!BK12="そのようなことはなかった"),0,(IF(('[1]フォームの回答 1'!BK12="少し早かった"),1,(IF(('[1]フォームの回答 1'!BK12="かなり早かった"),2,(IF(('[1]フォームの回答 1'!BK12="非常に早かった、あるいは全く眠れなかった"),3,"")))))))</f>
        <v>1</v>
      </c>
      <c r="DE12" s="1">
        <f>IF(('[1]フォームの回答 1'!BL12="十分である"),0,(IF(('[1]フォームの回答 1'!BL12="少し足りない"),1,(IF(('[1]フォームの回答 1'!BL12="かなり足りない"),2,(IF(('[1]フォームの回答 1'!BL12="全く足りない、あるいは全く眠れなかった"),3,"")))))))</f>
        <v>2</v>
      </c>
      <c r="DF12" s="1">
        <f>IF(('[1]フォームの回答 1'!BM12="満足している"),0,(IF(('[1]フォームの回答 1'!BM12="少し不満である"),1,(IF(('[1]フォームの回答 1'!BM12="かなり不満である"),2,(IF(('[1]フォームの回答 1'!BM12="非常に不満である、あるいは全く眠れなかった"),3,"")))))))</f>
        <v>1</v>
      </c>
      <c r="DG12" s="1">
        <f>IF(('[1]フォームの回答 1'!BN12="いつもどおり"),0,(IF(('[1]フォームの回答 1'!BN12="少し滅入った"),1,(IF(('[1]フォームの回答 1'!BN12="かなり滅入った"),2,(IF(('[1]フォームの回答 1'!BN12="非常に滅入った"),3,"")))))))</f>
        <v>1</v>
      </c>
      <c r="DH12" s="1">
        <f>IF(('[1]フォームの回答 1'!BO12="いつもどおり"),0,(IF(('[1]フォームの回答 1'!BO12="少し低下した"),1,(IF(('[1]フォームの回答 1'!BO12="かなり低下した"),2,(IF(('[1]フォームの回答 1'!BO12="非常に低下した"),3,"")))))))</f>
        <v>1</v>
      </c>
      <c r="DI12" s="1">
        <f>IF(('[1]フォームの回答 1'!BP12="全くなかった"),0,(IF(('[1]フォームの回答 1'!BP12="少しあった"),1,(IF(('[1]フォームの回答 1'!BP12="かなりあった"),2,(IF(('[1]フォームの回答 1'!BP12="激しかった"),3,"")))))))</f>
        <v>2</v>
      </c>
      <c r="DJ12">
        <f t="shared" si="44"/>
        <v>10</v>
      </c>
      <c r="DK12" s="4" t="str">
        <f t="shared" si="45"/>
        <v>高</v>
      </c>
      <c r="DL12" s="5">
        <v>0</v>
      </c>
      <c r="DM12" s="5">
        <v>0</v>
      </c>
      <c r="DN12" s="5">
        <v>0.7</v>
      </c>
      <c r="DO12" s="5">
        <v>0.7</v>
      </c>
      <c r="DP12" s="5"/>
      <c r="DQ12" s="5" t="s">
        <v>200</v>
      </c>
      <c r="DR12" s="43">
        <v>0.64400000000000002</v>
      </c>
      <c r="DS12" s="43">
        <v>109.16</v>
      </c>
      <c r="DT12" s="5">
        <v>0.59</v>
      </c>
      <c r="DU12" s="5">
        <v>30</v>
      </c>
      <c r="DV12" s="5" t="s">
        <v>115</v>
      </c>
    </row>
    <row r="13" spans="1:126" ht="14" hidden="1">
      <c r="A13" s="1">
        <v>303</v>
      </c>
      <c r="B13" s="24" t="s">
        <v>139</v>
      </c>
      <c r="C13" s="24">
        <v>28227</v>
      </c>
      <c r="D13" s="38">
        <f t="shared" si="17"/>
        <v>47</v>
      </c>
      <c r="E13" s="1">
        <f>IF(('[1]フォームの回答 1'!C13="そうだ"),1,(IF(('[1]フォームの回答 1'!C13="まぁそうだ"),2,(IF(('[1]フォームの回答 1'!C13="ややちがう"),3,(IF(('[1]フォームの回答 1'!C13="ちがう"),4,"")))))))</f>
        <v>3</v>
      </c>
      <c r="F13" s="1">
        <f>IF(('[1]フォームの回答 1'!D13="そうだ"),1,(IF(('[1]フォームの回答 1'!D13="まぁそうだ"),2,(IF(('[1]フォームの回答 1'!D13="ややちがう"),3,(IF(('[1]フォームの回答 1'!D13="ちがう"),4,"")))))))</f>
        <v>3</v>
      </c>
      <c r="G13" s="1">
        <f>IF(('[1]フォームの回答 1'!E13="そうだ"),1,(IF(('[1]フォームの回答 1'!E13="まぁそうだ"),2,(IF(('[1]フォームの回答 1'!E13="ややちがう"),3,(IF(('[1]フォームの回答 1'!E13="ちがう"),4,"")))))))</f>
        <v>3</v>
      </c>
      <c r="H13" s="1">
        <f>IF(('[1]フォームの回答 1'!F13="そうだ"),1,(IF(('[1]フォームの回答 1'!F13="まぁそうだ"),2,(IF(('[1]フォームの回答 1'!F13="ややちがう"),3,(IF(('[1]フォームの回答 1'!F13="ちがう"),4,"")))))))</f>
        <v>2</v>
      </c>
      <c r="I13" s="1">
        <f>IF(('[1]フォームの回答 1'!G13="そうだ"),1,(IF(('[1]フォームの回答 1'!G13="まぁそうだ"),2,(IF(('[1]フォームの回答 1'!G13="ややちがう"),3,(IF(('[1]フォームの回答 1'!G13="ちがう"),4,"")))))))</f>
        <v>2</v>
      </c>
      <c r="J13" s="1">
        <f>IF(('[1]フォームの回答 1'!H13="そうだ"),1,(IF(('[1]フォームの回答 1'!H13="まぁそうだ"),2,(IF(('[1]フォームの回答 1'!H13="ややちがう"),3,(IF(('[1]フォームの回答 1'!H13="ちがう"),4,"")))))))</f>
        <v>3</v>
      </c>
      <c r="K13" s="1">
        <f>IF(('[1]フォームの回答 1'!I13="そうだ"),1,(IF(('[1]フォームの回答 1'!I13="まぁそうだ"),2,(IF(('[1]フォームの回答 1'!I13="ややちがう"),3,(IF(('[1]フォームの回答 1'!I13="ちがう"),4,"")))))))</f>
        <v>4</v>
      </c>
      <c r="L13" s="1">
        <f>IF(('[1]フォームの回答 1'!J13="そうだ"),1,(IF(('[1]フォームの回答 1'!J13="まぁそうだ"),2,(IF(('[1]フォームの回答 1'!J13="ややちがう"),3,(IF(('[1]フォームの回答 1'!J13="ちがう"),4,"")))))))</f>
        <v>2</v>
      </c>
      <c r="M13" s="1">
        <f>IF(('[1]フォームの回答 1'!K13="そうだ"),1,(IF(('[1]フォームの回答 1'!K13="まぁそうだ"),2,(IF(('[1]フォームの回答 1'!K13="ややちがう"),3,(IF(('[1]フォームの回答 1'!K13="ちがう"),4,"")))))))</f>
        <v>2</v>
      </c>
      <c r="N13" s="1">
        <f>IF(('[1]フォームの回答 1'!L13="そうだ"),1,(IF(('[1]フォームの回答 1'!L13="まぁそうだ"),2,(IF(('[1]フォームの回答 1'!L13="ややちがう"),3,(IF(('[1]フォームの回答 1'!L13="ちがう"),4,"")))))))</f>
        <v>3</v>
      </c>
      <c r="O13" s="1">
        <f>IF(('[1]フォームの回答 1'!M13="そうだ"),1,(IF(('[1]フォームの回答 1'!M13="まぁそうだ"),2,(IF(('[1]フォームの回答 1'!M13="ややちがう"),3,(IF(('[1]フォームの回答 1'!M13="ちがう"),4,"")))))))</f>
        <v>2</v>
      </c>
      <c r="P13" s="1">
        <f>IF(('[1]フォームの回答 1'!N13="そうだ"),1,(IF(('[1]フォームの回答 1'!N13="まぁそうだ"),2,(IF(('[1]フォームの回答 1'!N13="ややちがう"),3,(IF(('[1]フォームの回答 1'!N13="ちがう"),4,"")))))))</f>
        <v>3</v>
      </c>
      <c r="Q13" s="1">
        <f>IF(('[1]フォームの回答 1'!O13="そうだ"),1,(IF(('[1]フォームの回答 1'!O13="まぁそうだ"),2,(IF(('[1]フォームの回答 1'!O13="ややちがう"),3,(IF(('[1]フォームの回答 1'!O13="ちがう"),4,"")))))))</f>
        <v>3</v>
      </c>
      <c r="R13" s="1">
        <f>IF(('[1]フォームの回答 1'!P13="そうだ"),1,(IF(('[1]フォームの回答 1'!P13="まぁそうだ"),2,(IF(('[1]フォームの回答 1'!P13="ややちがう"),3,(IF(('[1]フォームの回答 1'!P13="ちがう"),4,"")))))))</f>
        <v>2</v>
      </c>
      <c r="S13" s="1">
        <f>IF(('[1]フォームの回答 1'!Q13="そうだ"),1,(IF(('[1]フォームの回答 1'!Q13="まぁそうだ"),2,(IF(('[1]フォームの回答 1'!Q13="ややちがう"),3,(IF(('[1]フォームの回答 1'!Q13="ちがう"),4,"")))))))</f>
        <v>2</v>
      </c>
      <c r="T13" s="1">
        <f>IF(('[1]フォームの回答 1'!R13="そうだ"),1,(IF(('[1]フォームの回答 1'!R13="まぁそうだ"),2,(IF(('[1]フォームの回答 1'!R13="ややちがう"),3,(IF(('[1]フォームの回答 1'!R13="ちがう"),4,"")))))))</f>
        <v>3</v>
      </c>
      <c r="U13" s="1">
        <f>IF(('[1]フォームの回答 1'!S13="そうだ"),1,(IF(('[1]フォームの回答 1'!S13="まぁそうだ"),2,(IF(('[1]フォームの回答 1'!S13="ややちがう"),3,(IF(('[1]フォームの回答 1'!S13="ちがう"),4,"")))))))</f>
        <v>3</v>
      </c>
      <c r="V13" s="1">
        <f t="shared" si="18"/>
        <v>6</v>
      </c>
      <c r="W13" s="1">
        <f t="shared" si="0"/>
        <v>2</v>
      </c>
      <c r="X13" s="1">
        <f t="shared" si="19"/>
        <v>8</v>
      </c>
      <c r="Y13" s="1">
        <f t="shared" si="1"/>
        <v>3</v>
      </c>
      <c r="Z13" s="1">
        <f t="shared" si="20"/>
        <v>1</v>
      </c>
      <c r="AA13" s="1">
        <f t="shared" si="21"/>
        <v>2</v>
      </c>
      <c r="AB13" s="1">
        <f t="shared" si="22"/>
        <v>6</v>
      </c>
      <c r="AC13" s="1">
        <f t="shared" si="23"/>
        <v>3</v>
      </c>
      <c r="AD13" s="1">
        <f t="shared" si="24"/>
        <v>3</v>
      </c>
      <c r="AE13" s="1">
        <f t="shared" si="2"/>
        <v>4</v>
      </c>
      <c r="AF13" s="1">
        <f t="shared" si="25"/>
        <v>8</v>
      </c>
      <c r="AG13" s="1">
        <f t="shared" si="3"/>
        <v>3</v>
      </c>
      <c r="AH13" s="1">
        <f t="shared" si="26"/>
        <v>2</v>
      </c>
      <c r="AI13" s="1">
        <f t="shared" si="27"/>
        <v>4</v>
      </c>
      <c r="AJ13" s="1">
        <f t="shared" si="28"/>
        <v>2</v>
      </c>
      <c r="AK13" s="1">
        <f t="shared" si="29"/>
        <v>4</v>
      </c>
      <c r="AL13" s="1">
        <f t="shared" si="30"/>
        <v>2</v>
      </c>
      <c r="AM13" s="1">
        <f t="shared" si="31"/>
        <v>4</v>
      </c>
      <c r="AN13" s="1">
        <f>IF(('[1]フォームの回答 1'!T13="ほとんどなかった"),1,(IF(('[1]フォームの回答 1'!T13="ときどきあった"),2,(IF(('[1]フォームの回答 1'!T13="しばしばあった"),3,(IF(('[1]フォームの回答 1'!T13="ほとんどいつもあった"),4,"")))))))</f>
        <v>2</v>
      </c>
      <c r="AO13" s="1">
        <f>IF(('[1]フォームの回答 1'!U13="ほとんどなかった"),1,(IF(('[1]フォームの回答 1'!U13="ときどきあった"),2,(IF(('[1]フォームの回答 1'!U13="しばしばあった"),3,(IF(('[1]フォームの回答 1'!U13="ほとんどいつもあった"),4,"")))))))</f>
        <v>2</v>
      </c>
      <c r="AP13" s="1">
        <f>IF(('[1]フォームの回答 1'!V13="ほとんどなかった"),1,(IF(('[1]フォームの回答 1'!V13="ときどきあった"),2,(IF(('[1]フォームの回答 1'!V13="しばしばあった"),3,(IF(('[1]フォームの回答 1'!V13="ほとんどいつもあった"),4,"")))))))</f>
        <v>2</v>
      </c>
      <c r="AQ13" s="1">
        <f>IF(('[1]フォームの回答 1'!W13="ほとんどなかった"),1,(IF(('[1]フォームの回答 1'!W13="ときどきあった"),2,(IF(('[1]フォームの回答 1'!W13="しばしばあった"),3,(IF(('[1]フォームの回答 1'!W13="ほとんどいつもあった"),4,"")))))))</f>
        <v>1</v>
      </c>
      <c r="AR13" s="1">
        <f>IF(('[1]フォームの回答 1'!X13="ほとんどなかった"),1,(IF(('[1]フォームの回答 1'!X13="ときどきあった"),2,(IF(('[1]フォームの回答 1'!X13="しばしばあった"),3,(IF(('[1]フォームの回答 1'!X13="ほとんどいつもあった"),4,"")))))))</f>
        <v>1</v>
      </c>
      <c r="AS13" s="1">
        <f>IF(('[1]フォームの回答 1'!Y13="ほとんどなかった"),1,(IF(('[1]フォームの回答 1'!Y13="ときどきあった"),2,(IF(('[1]フォームの回答 1'!Y13="しばしばあった"),3,(IF(('[1]フォームの回答 1'!Y13="ほとんどいつもあった"),4,"")))))))</f>
        <v>1</v>
      </c>
      <c r="AT13" s="1">
        <f>IF(('[1]フォームの回答 1'!Z13="ほとんどなかった"),1,(IF(('[1]フォームの回答 1'!Z13="ときどきあった"),2,(IF(('[1]フォームの回答 1'!Z13="しばしばあった"),3,(IF(('[1]フォームの回答 1'!Z13="ほとんどいつもあった"),4,"")))))))</f>
        <v>2</v>
      </c>
      <c r="AU13" s="1">
        <f>IF(('[1]フォームの回答 1'!AA13="ほとんどなかった"),1,(IF(('[1]フォームの回答 1'!AA13="ときどきあった"),2,(IF(('[1]フォームの回答 1'!AA13="しばしばあった"),3,(IF(('[1]フォームの回答 1'!AA13="ほとんどいつもあった"),4,"")))))))</f>
        <v>2</v>
      </c>
      <c r="AV13" s="1">
        <f>IF(('[1]フォームの回答 1'!AB13="ほとんどなかった"),1,(IF(('[1]フォームの回答 1'!AB13="ときどきばあった"),2,(IF(('[1]フォームの回答 1'!AB13="しばしばあった"),3,(IF(('[1]フォームの回答 1'!AB13="ほとんどいつもあった"),4,"")))))))</f>
        <v>2</v>
      </c>
      <c r="AW13" s="1">
        <f>IF(('[1]フォームの回答 1'!AC13="ほとんどなかった"),1,(IF(('[1]フォームの回答 1'!AC13="ときどきあった"),2,(IF(('[1]フォームの回答 1'!AC13="しばしばあった"),3,(IF(('[1]フォームの回答 1'!AC13="ほとんどいつもあった"),4,"")))))))</f>
        <v>1</v>
      </c>
      <c r="AX13" s="1">
        <f>IF(('[1]フォームの回答 1'!AD13="ほとんどなかった"),1,(IF(('[1]フォームの回答 1'!AD13="ときどきあった"),2,(IF(('[1]フォームの回答 1'!AD13="しばしばあった"),3,(IF(('[1]フォームの回答 1'!AD13="ほとんどいつもあった"),4,"")))))))</f>
        <v>2</v>
      </c>
      <c r="AY13" s="1">
        <f>IF(('[1]フォームの回答 1'!AE13="ほとんどなかった"),1,(IF(('[1]フォームの回答 1'!AE13="ときどきあった"),2,(IF(('[1]フォームの回答 1'!AE13="しばしばあった"),3,(IF(('[1]フォームの回答 1'!AE13="ほとんどいつもあった"),4,"")))))))</f>
        <v>2</v>
      </c>
      <c r="AZ13" s="1">
        <f>IF(('[1]フォームの回答 1'!AF13="ほとんどなかった"),1,(IF(('[1]フォームの回答 1'!AF13="ときどきあった"),2,(IF(('[1]フォームの回答 1'!AF13="しばしばあった"),3,(IF(('[1]フォームの回答 1'!AF13="ほとんどいつもあった"),4,"")))))))</f>
        <v>2</v>
      </c>
      <c r="BA13" s="1">
        <f>IF(('[1]フォームの回答 1'!AG13="ほとんどなかった"),1,(IF(('[1]フォームの回答 1'!AG13="ときどきあった"),2,(IF(('[1]フォームの回答 1'!AG13="しばしばあった"),3,(IF(('[1]フォームの回答 1'!AG13="ほとんどいつもあった"),4,"")))))))</f>
        <v>1</v>
      </c>
      <c r="BB13" s="1">
        <f>IF(('[1]フォームの回答 1'!AH13="ほとんどなかった"),1,(IF(('[1]フォームの回答 1'!AH13="ときどきあった"),2,(IF(('[1]フォームの回答 1'!AH13="しばしばあった"),3,(IF(('[1]フォームの回答 1'!AH13="ほとんどいつもあった"),4,"")))))))</f>
        <v>2</v>
      </c>
      <c r="BC13" s="1">
        <f>IF(('[1]フォームの回答 1'!AI13="ほとんどなかった"),1,(IF(('[1]フォームの回答 1'!AI13="ときどきあった"),2,(IF(('[1]フォームの回答 1'!AI13="しばしばあった"),3,(IF(('[1]フォームの回答 1'!AI13="ほとんどいつもあった"),4,"")))))))</f>
        <v>2</v>
      </c>
      <c r="BD13" s="1">
        <f>IF(('[1]フォームの回答 1'!AJ13="ほとんどなかった"),1,(IF(('[1]フォームの回答 1'!AJ13="ときどきあった"),2,(IF(('[1]フォームの回答 1'!AJ13="しばしばあった"),3,(IF(('[1]フォームの回答 1'!AJ13="ほとんどいつもあった"),4,"")))))))</f>
        <v>2</v>
      </c>
      <c r="BE13" s="1">
        <f>IF(('[1]フォームの回答 1'!AK13="ほとんどなかった"),1,(IF(('[1]フォームの回答 1'!AK13="ときどきあった"),2,(IF(('[1]フォームの回答 1'!AK13="しばしばあった"),3,(IF(('[1]フォームの回答 1'!AK13="ほとんどいつもあった"),4,"")))))))</f>
        <v>1</v>
      </c>
      <c r="BF13" s="1">
        <f>IF(('[1]フォームの回答 1'!AL13="ほとんどなかった"),1,(IF(('[1]フォームの回答 1'!AL13="ときどきあった"),2,(IF(('[1]フォームの回答 1'!AL13="しばしばあった"),3,(IF(('[1]フォームの回答 1'!AL13="ほとんどいつもあった"),4,"")))))))</f>
        <v>2</v>
      </c>
      <c r="BG13" s="1">
        <f>IF(('[1]フォームの回答 1'!AM13="ほとんどなかった"),1,(IF(('[1]フォームの回答 1'!AM13="ときどきあった"),2,(IF(('[1]フォームの回答 1'!AM13="しばしばあった"),3,(IF(('[1]フォームの回答 1'!AM13="ほとんどいつもあった"),4,"")))))))</f>
        <v>2</v>
      </c>
      <c r="BH13" s="1">
        <f>IF(('[1]フォームの回答 1'!AN13="ほとんどなかった"),1,(IF(('[1]フォームの回答 1'!AN13="ときどきあった"),2,(IF(('[1]フォームの回答 1'!AN13="しばしばあった"),3,(IF(('[1]フォームの回答 1'!AN13="ほとんどいつもあった"),4,"")))))))</f>
        <v>2</v>
      </c>
      <c r="BI13" s="1">
        <f>IF(('[1]フォームの回答 1'!AO13="ほとんどなかった"),1,(IF(('[1]フォームの回答 1'!AO13="ときどきあった"),2,(IF(('[1]フォームの回答 1'!AO13="しばしばあった"),3,(IF(('[1]フォームの回答 1'!AO13="ほとんどいつもあった"),4,"")))))))</f>
        <v>2</v>
      </c>
      <c r="BJ13" s="1">
        <f>IF(('[1]フォームの回答 1'!AP13="ほとんどなかった"),1,(IF(('[1]フォームの回答 1'!AP13="ときどきあった"),2,(IF(('[1]フォームの回答 1'!AP13="しばしばあった"),3,(IF(('[1]フォームの回答 1'!AP13="ほとんどいつもあった"),4,"")))))))</f>
        <v>2</v>
      </c>
      <c r="BK13" s="1">
        <f>IF(('[1]フォームの回答 1'!AQ13="ほとんどなかった"),1,(IF(('[1]フォームの回答 1'!AQ13="ときどきあった"),2,(IF(('[1]フォームの回答 1'!AQ13="しばしばあった"),3,(IF(('[1]フォームの回答 1'!AQ13="ほとんどいつもあった"),4,"")))))))</f>
        <v>3</v>
      </c>
      <c r="BL13" s="1">
        <f>IF(('[1]フォームの回答 1'!AR13="ほとんどなかった"),1,(IF(('[1]フォームの回答 1'!AR13="ときどきあった"),2,(IF(('[1]フォームの回答 1'!AR13="しばしばあった"),3,(IF(('[1]フォームの回答 1'!AR13="ほとんどいつもあった"),4,"")))))))</f>
        <v>1</v>
      </c>
      <c r="BM13" s="1">
        <f>IF(('[1]フォームの回答 1'!AS13="ほとんどなかった"),1,(IF(('[1]フォームの回答 1'!AS13="ときどきあった"),2,(IF(('[1]フォームの回答 1'!AS13="しばしばあった"),3,(IF(('[1]フォームの回答 1'!AS13="ほとんどいつもあった"),4,"")))))))</f>
        <v>1</v>
      </c>
      <c r="BN13" s="1">
        <f>IF(('[1]フォームの回答 1'!AT13="ほとんどなかった"),1,(IF(('[1]フォームの回答 1'!AT13="ときどきあった"),2,(IF(('[1]フォームの回答 1'!AT13="しばしばあった"),3,(IF(('[1]フォームの回答 1'!AT13="ほとんどいつもあった"),4,"")))))))</f>
        <v>2</v>
      </c>
      <c r="BO13" s="1">
        <f>IF(('[1]フォームの回答 1'!AU13="ほとんどなかった"),1,(IF(('[1]フォームの回答 1'!AU13="ときどきあった"),2,(IF(('[1]フォームの回答 1'!AU13="しばしばあった"),3,(IF(('[1]フォームの回答 1'!AU13="ほとんどいつもあった"),4,"")))))))</f>
        <v>1</v>
      </c>
      <c r="BP13" s="1">
        <f>IF(('[1]フォームの回答 1'!AV13="ほとんどなかった"),1,(IF(('[1]フォームの回答 1'!AV13="ときどきあった"),2,(IF(('[1]フォームの回答 1'!AV13="しばしばあった"),3,(IF(('[1]フォームの回答 1'!AV13="ほとんどいつもあった"),4,"")))))))</f>
        <v>2</v>
      </c>
      <c r="BQ13" s="1">
        <f t="shared" si="32"/>
        <v>6</v>
      </c>
      <c r="BR13" s="1">
        <f t="shared" si="33"/>
        <v>3</v>
      </c>
      <c r="BS13" s="1">
        <f t="shared" si="34"/>
        <v>3</v>
      </c>
      <c r="BT13" s="1">
        <f t="shared" si="4"/>
        <v>1</v>
      </c>
      <c r="BU13" s="1">
        <f t="shared" si="5"/>
        <v>6</v>
      </c>
      <c r="BV13" s="1">
        <f t="shared" si="6"/>
        <v>3</v>
      </c>
      <c r="BW13" s="1">
        <f t="shared" si="35"/>
        <v>5</v>
      </c>
      <c r="BX13" s="1">
        <f t="shared" si="7"/>
        <v>3</v>
      </c>
      <c r="BY13" s="1">
        <f t="shared" si="36"/>
        <v>10</v>
      </c>
      <c r="BZ13" s="1">
        <f t="shared" si="8"/>
        <v>3</v>
      </c>
      <c r="CA13" s="1">
        <f t="shared" si="37"/>
        <v>20</v>
      </c>
      <c r="CB13" s="1">
        <f t="shared" si="9"/>
        <v>3</v>
      </c>
      <c r="CC13" s="1">
        <f>IF(('[1]フォームの回答 1'!AW13="非常に"),1,(IF(('[1]フォームの回答 1'!AW13="かなり"),2,(IF(('[1]フォームの回答 1'!AW13="多少"),3,(IF(('[1]フォームの回答 1'!AW13="全くない"),4,"")))))))</f>
        <v>3</v>
      </c>
      <c r="CD13" s="1">
        <f>IF(('[1]フォームの回答 1'!AX13="非常に"),1,(IF(('[1]フォームの回答 1'!AX13="かなり"),2,(IF(('[1]フォームの回答 1'!AX13="多少"),3,(IF(('[1]フォームの回答 1'!AX13="全くない"),4,"")))))))</f>
        <v>3</v>
      </c>
      <c r="CE13" s="1">
        <f>IF(('[1]フォームの回答 1'!AY13="非常に"),1,(IF(('[1]フォームの回答 1'!AY13="かなり"),2,(IF(('[1]フォームの回答 1'!AY13="多少"),3,(IF(('[1]フォームの回答 1'!AY13="全くない"),4,"")))))))</f>
        <v>3</v>
      </c>
      <c r="CF13" s="1">
        <f>IF(('[1]フォームの回答 1'!AZ13="非常に"),1,(IF(('[1]フォームの回答 1'!AZ13="かなり"),2,(IF(('[1]フォームの回答 1'!AZ13="多少"),3,(IF(('[1]フォームの回答 1'!AZ13="全くない"),4,"")))))))</f>
        <v>3</v>
      </c>
      <c r="CG13" s="1">
        <f>IF(('[1]フォームの回答 1'!BA13="非常に"),1,(IF(('[1]フォームの回答 1'!BA13="かなり"),2,(IF(('[1]フォームの回答 1'!BA13="多少"),3,(IF(('[1]フォームの回答 1'!BA13="全くない"),4,"")))))))</f>
        <v>3</v>
      </c>
      <c r="CH13" s="1">
        <f>IF(('[1]フォームの回答 1'!BB13="非常に"),1,(IF(('[1]フォームの回答 1'!BB13="かなり"),2,(IF(('[1]フォームの回答 1'!BB13="多少"),3,(IF(('[1]フォームの回答 1'!BB13="全くない"),4,"")))))))</f>
        <v>3</v>
      </c>
      <c r="CI13" s="1">
        <f>IF(('[1]フォームの回答 1'!BC13="非常に"),1,(IF(('[1]フォームの回答 1'!BC13="かなり"),2,(IF(('[1]フォームの回答 1'!BC13="多少"),3,(IF(('[1]フォームの回答 1'!BC13="全くない"),4,"")))))))</f>
        <v>3</v>
      </c>
      <c r="CJ13" s="1">
        <f>IF(('[1]フォームの回答 1'!BD13="非常に"),1,(IF(('[1]フォームの回答 1'!BD13="かなり"),2,(IF(('[1]フォームの回答 1'!BD13="多少"),3,(IF(('[1]フォームの回答 1'!BD13="全くない"),4,"")))))))</f>
        <v>3</v>
      </c>
      <c r="CK13" s="1">
        <f>IF(('[1]フォームの回答 1'!BE13="非常に"),1,(IF(('[1]フォームの回答 1'!BE13="かなり"),2,(IF(('[1]フォームの回答 1'!BE13="多少"),3,(IF(('[1]フォームの回答 1'!BE13="全くない"),4,"")))))))</f>
        <v>3</v>
      </c>
      <c r="CL13" s="1">
        <f>IF(('[1]フォームの回答 1'!BF13="満足"),1,(IF(('[1]フォームの回答 1'!BF13="まぁ満足"),2,(IF(('[1]フォームの回答 1'!BF13="やや満足"),3,(IF(('[1]フォームの回答 1'!BF13="不満足"),4,"")))))))</f>
        <v>3</v>
      </c>
      <c r="CM13" s="1">
        <f>IF(('[1]フォームの回答 1'!BG13="満足"),1,(IF(('[1]フォームの回答 1'!BG13="まぁ満足"),2,(IF(('[1]フォームの回答 1'!BG13="やや満足"),3,(IF(('[1]フォームの回答 1'!BG13="不満足"),4,"")))))))</f>
        <v>3</v>
      </c>
      <c r="CN13" s="1">
        <f t="shared" si="38"/>
        <v>6</v>
      </c>
      <c r="CO13" s="1">
        <f t="shared" si="10"/>
        <v>4</v>
      </c>
      <c r="CP13" s="1">
        <f t="shared" si="39"/>
        <v>6</v>
      </c>
      <c r="CQ13" s="1">
        <f t="shared" si="11"/>
        <v>4</v>
      </c>
      <c r="CR13" s="1">
        <f t="shared" si="40"/>
        <v>6</v>
      </c>
      <c r="CS13" s="1">
        <f t="shared" si="41"/>
        <v>5</v>
      </c>
      <c r="CT13" s="1">
        <f t="shared" si="42"/>
        <v>4</v>
      </c>
      <c r="CU13" s="1">
        <f t="shared" si="12"/>
        <v>4</v>
      </c>
      <c r="CV13" s="1">
        <f t="shared" si="13"/>
        <v>16</v>
      </c>
      <c r="CW13" s="1">
        <f t="shared" si="14"/>
        <v>29</v>
      </c>
      <c r="CX13" s="1">
        <f t="shared" si="15"/>
        <v>13</v>
      </c>
      <c r="CY13" s="29" t="str">
        <f t="shared" si="43"/>
        <v>低</v>
      </c>
      <c r="CZ13" s="1">
        <v>0.7</v>
      </c>
      <c r="DA13" s="2">
        <f t="shared" si="16"/>
        <v>0.30000000000000004</v>
      </c>
      <c r="DB13" s="1">
        <f>IF(('[1]フォームの回答 1'!BI13="いつもより寝つきは良い"),0,(IF(('[1]フォームの回答 1'!BI13="いつもより少し時間がかかった"),1,(IF(('[1]フォームの回答 1'!BI13="いつもよりかなり時間がかかった"),2,(IF(('[1]フォームの回答 1'!BI13="いつもより非常に時間がかかった、あるいは全く眠れなかった"),3,"")))))))</f>
        <v>1</v>
      </c>
      <c r="DC13" s="1">
        <f>IF(('[1]フォームの回答 1'!BJ13="問題になるほどのことはなかった"),0,(IF(('[1]フォームの回答 1'!BJ13="少し困ることがある"),1,(IF(('[1]フォームの回答 1'!BJ13="かなり困っている"),2,(IF(('[1]フォームの回答 1'!BJ13="深刻な状態、あるいは全く眠れなかった"),3,"")))))))</f>
        <v>1</v>
      </c>
      <c r="DD13" s="1">
        <f>IF(('[1]フォームの回答 1'!BK13="そのようなことはなかった"),0,(IF(('[1]フォームの回答 1'!BK13="少し早かった"),1,(IF(('[1]フォームの回答 1'!BK13="かなり早かった"),2,(IF(('[1]フォームの回答 1'!BK13="非常に早かった、あるいは全く眠れなかった"),3,"")))))))</f>
        <v>1</v>
      </c>
      <c r="DE13" s="1">
        <f>IF(('[1]フォームの回答 1'!BL13="十分である"),0,(IF(('[1]フォームの回答 1'!BL13="少し足りない"),1,(IF(('[1]フォームの回答 1'!BL13="かなり足りない"),2,(IF(('[1]フォームの回答 1'!BL13="全く足りない、あるいは全く眠れなかった"),3,"")))))))</f>
        <v>2</v>
      </c>
      <c r="DF13" s="1">
        <f>IF(('[1]フォームの回答 1'!BM13="満足している"),0,(IF(('[1]フォームの回答 1'!BM13="少し不満である"),1,(IF(('[1]フォームの回答 1'!BM13="かなり不満である"),2,(IF(('[1]フォームの回答 1'!BM13="非常に不満である、あるいは全く眠れなかった"),3,"")))))))</f>
        <v>2</v>
      </c>
      <c r="DG13" s="1">
        <f>IF(('[1]フォームの回答 1'!BN13="いつもどおり"),0,(IF(('[1]フォームの回答 1'!BN13="少し滅入った"),1,(IF(('[1]フォームの回答 1'!BN13="かなり滅入った"),2,(IF(('[1]フォームの回答 1'!BN13="非常に滅入った"),3,"")))))))</f>
        <v>1</v>
      </c>
      <c r="DH13" s="1">
        <f>IF(('[1]フォームの回答 1'!BO13="いつもどおり"),0,(IF(('[1]フォームの回答 1'!BO13="少し低下した"),1,(IF(('[1]フォームの回答 1'!BO13="かなり低下した"),2,(IF(('[1]フォームの回答 1'!BO13="非常に低下した"),3,"")))))))</f>
        <v>1</v>
      </c>
      <c r="DI13" s="1">
        <f>IF(('[1]フォームの回答 1'!BP13="全くなかった"),0,(IF(('[1]フォームの回答 1'!BP13="少しあった"),1,(IF(('[1]フォームの回答 1'!BP13="かなりあった"),2,(IF(('[1]フォームの回答 1'!BP13="激しかった"),3,"")))))))</f>
        <v>1</v>
      </c>
      <c r="DJ13">
        <f t="shared" si="44"/>
        <v>10</v>
      </c>
      <c r="DK13" s="4" t="str">
        <f t="shared" si="45"/>
        <v>高</v>
      </c>
      <c r="DL13" s="5">
        <v>18.7</v>
      </c>
      <c r="DM13" s="5">
        <v>18</v>
      </c>
      <c r="DN13" s="5">
        <v>18.8</v>
      </c>
      <c r="DO13" s="5">
        <v>55.5</v>
      </c>
      <c r="DP13" s="5"/>
      <c r="DQ13" s="5"/>
      <c r="DR13" s="43">
        <v>0.128</v>
      </c>
      <c r="DS13" s="43">
        <v>12.08</v>
      </c>
      <c r="DT13" s="5">
        <v>1.06</v>
      </c>
      <c r="DU13" s="5">
        <v>10</v>
      </c>
      <c r="DV13" s="5" t="s">
        <v>115</v>
      </c>
    </row>
    <row r="14" spans="1:126" ht="14">
      <c r="A14" s="1">
        <v>304</v>
      </c>
      <c r="B14" s="24" t="s">
        <v>140</v>
      </c>
      <c r="C14" s="24">
        <v>32706</v>
      </c>
      <c r="D14" s="38">
        <f t="shared" si="17"/>
        <v>34</v>
      </c>
      <c r="E14" s="1">
        <f>IF(('[1]フォームの回答 1'!C14="そうだ"),1,(IF(('[1]フォームの回答 1'!C14="まぁそうだ"),2,(IF(('[1]フォームの回答 1'!C14="ややちがう"),3,(IF(('[1]フォームの回答 1'!C14="ちがう"),4,"")))))))</f>
        <v>4</v>
      </c>
      <c r="F14" s="1">
        <f>IF(('[1]フォームの回答 1'!D14="そうだ"),1,(IF(('[1]フォームの回答 1'!D14="まぁそうだ"),2,(IF(('[1]フォームの回答 1'!D14="ややちがう"),3,(IF(('[1]フォームの回答 1'!D14="ちがう"),4,"")))))))</f>
        <v>4</v>
      </c>
      <c r="G14" s="1">
        <f>IF(('[1]フォームの回答 1'!E14="そうだ"),1,(IF(('[1]フォームの回答 1'!E14="まぁそうだ"),2,(IF(('[1]フォームの回答 1'!E14="ややちがう"),3,(IF(('[1]フォームの回答 1'!E14="ちがう"),4,"")))))))</f>
        <v>3</v>
      </c>
      <c r="H14" s="1">
        <f>IF(('[1]フォームの回答 1'!F14="そうだ"),1,(IF(('[1]フォームの回答 1'!F14="まぁそうだ"),2,(IF(('[1]フォームの回答 1'!F14="ややちがう"),3,(IF(('[1]フォームの回答 1'!F14="ちがう"),4,"")))))))</f>
        <v>4</v>
      </c>
      <c r="I14" s="1">
        <f>IF(('[1]フォームの回答 1'!G14="そうだ"),1,(IF(('[1]フォームの回答 1'!G14="まぁそうだ"),2,(IF(('[1]フォームの回答 1'!G14="ややちがう"),3,(IF(('[1]フォームの回答 1'!G14="ちがう"),4,"")))))))</f>
        <v>3</v>
      </c>
      <c r="J14" s="1">
        <f>IF(('[1]フォームの回答 1'!H14="そうだ"),1,(IF(('[1]フォームの回答 1'!H14="まぁそうだ"),2,(IF(('[1]フォームの回答 1'!H14="ややちがう"),3,(IF(('[1]フォームの回答 1'!H14="ちがう"),4,"")))))))</f>
        <v>2</v>
      </c>
      <c r="K14" s="1">
        <f>IF(('[1]フォームの回答 1'!I14="そうだ"),1,(IF(('[1]フォームの回答 1'!I14="まぁそうだ"),2,(IF(('[1]フォームの回答 1'!I14="ややちがう"),3,(IF(('[1]フォームの回答 1'!I14="ちがう"),4,"")))))))</f>
        <v>4</v>
      </c>
      <c r="L14" s="1">
        <f>IF(('[1]フォームの回答 1'!J14="そうだ"),1,(IF(('[1]フォームの回答 1'!J14="まぁそうだ"),2,(IF(('[1]フォームの回答 1'!J14="ややちがう"),3,(IF(('[1]フォームの回答 1'!J14="ちがう"),4,"")))))))</f>
        <v>2</v>
      </c>
      <c r="M14" s="1">
        <f>IF(('[1]フォームの回答 1'!K14="そうだ"),1,(IF(('[1]フォームの回答 1'!K14="まぁそうだ"),2,(IF(('[1]フォームの回答 1'!K14="ややちがう"),3,(IF(('[1]フォームの回答 1'!K14="ちがう"),4,"")))))))</f>
        <v>2</v>
      </c>
      <c r="N14" s="1">
        <f>IF(('[1]フォームの回答 1'!L14="そうだ"),1,(IF(('[1]フォームの回答 1'!L14="まぁそうだ"),2,(IF(('[1]フォームの回答 1'!L14="ややちがう"),3,(IF(('[1]フォームの回答 1'!L14="ちがう"),4,"")))))))</f>
        <v>2</v>
      </c>
      <c r="O14" s="1">
        <f>IF(('[1]フォームの回答 1'!M14="そうだ"),1,(IF(('[1]フォームの回答 1'!M14="まぁそうだ"),2,(IF(('[1]フォームの回答 1'!M14="ややちがう"),3,(IF(('[1]フォームの回答 1'!M14="ちがう"),4,"")))))))</f>
        <v>3</v>
      </c>
      <c r="P14" s="1">
        <f>IF(('[1]フォームの回答 1'!N14="そうだ"),1,(IF(('[1]フォームの回答 1'!N14="まぁそうだ"),2,(IF(('[1]フォームの回答 1'!N14="ややちがう"),3,(IF(('[1]フォームの回答 1'!N14="ちがう"),4,"")))))))</f>
        <v>3</v>
      </c>
      <c r="Q14" s="1">
        <f>IF(('[1]フォームの回答 1'!O14="そうだ"),1,(IF(('[1]フォームの回答 1'!O14="まぁそうだ"),2,(IF(('[1]フォームの回答 1'!O14="ややちがう"),3,(IF(('[1]フォームの回答 1'!O14="ちがう"),4,"")))))))</f>
        <v>3</v>
      </c>
      <c r="R14" s="1">
        <f>IF(('[1]フォームの回答 1'!P14="そうだ"),1,(IF(('[1]フォームの回答 1'!P14="まぁそうだ"),2,(IF(('[1]フォームの回答 1'!P14="ややちがう"),3,(IF(('[1]フォームの回答 1'!P14="ちがう"),4,"")))))))</f>
        <v>2</v>
      </c>
      <c r="S14" s="1">
        <f>IF(('[1]フォームの回答 1'!Q14="そうだ"),1,(IF(('[1]フォームの回答 1'!Q14="まぁそうだ"),2,(IF(('[1]フォームの回答 1'!Q14="ややちがう"),3,(IF(('[1]フォームの回答 1'!Q14="ちがう"),4,"")))))))</f>
        <v>3</v>
      </c>
      <c r="T14" s="1">
        <f>IF(('[1]フォームの回答 1'!R14="そうだ"),1,(IF(('[1]フォームの回答 1'!R14="まぁそうだ"),2,(IF(('[1]フォームの回答 1'!R14="ややちがう"),3,(IF(('[1]フォームの回答 1'!R14="ちがう"),4,"")))))))</f>
        <v>2</v>
      </c>
      <c r="U14" s="1">
        <f>IF(('[1]フォームの回答 1'!S14="そうだ"),1,(IF(('[1]フォームの回答 1'!S14="まぁそうだ"),2,(IF(('[1]フォームの回答 1'!S14="ややちがう"),3,(IF(('[1]フォームの回答 1'!S14="ちがう"),4,"")))))))</f>
        <v>3</v>
      </c>
      <c r="V14" s="1">
        <f t="shared" si="18"/>
        <v>4</v>
      </c>
      <c r="W14" s="1">
        <f t="shared" si="0"/>
        <v>1</v>
      </c>
      <c r="X14" s="1">
        <f t="shared" si="19"/>
        <v>6</v>
      </c>
      <c r="Y14" s="1">
        <f t="shared" si="1"/>
        <v>2</v>
      </c>
      <c r="Z14" s="1">
        <f t="shared" si="20"/>
        <v>1</v>
      </c>
      <c r="AA14" s="1">
        <f t="shared" si="21"/>
        <v>2</v>
      </c>
      <c r="AB14" s="1">
        <f t="shared" si="22"/>
        <v>6</v>
      </c>
      <c r="AC14" s="1">
        <f t="shared" si="23"/>
        <v>3</v>
      </c>
      <c r="AD14" s="1">
        <f t="shared" si="24"/>
        <v>2</v>
      </c>
      <c r="AE14" s="1">
        <f t="shared" si="2"/>
        <v>3</v>
      </c>
      <c r="AF14" s="1">
        <f t="shared" si="25"/>
        <v>9</v>
      </c>
      <c r="AG14" s="1">
        <f t="shared" si="3"/>
        <v>2</v>
      </c>
      <c r="AH14" s="1">
        <f t="shared" si="26"/>
        <v>3</v>
      </c>
      <c r="AI14" s="1">
        <f t="shared" si="27"/>
        <v>3</v>
      </c>
      <c r="AJ14" s="1">
        <f t="shared" si="28"/>
        <v>3</v>
      </c>
      <c r="AK14" s="1">
        <f t="shared" si="29"/>
        <v>3</v>
      </c>
      <c r="AL14" s="1">
        <f t="shared" si="30"/>
        <v>2</v>
      </c>
      <c r="AM14" s="1">
        <f t="shared" si="31"/>
        <v>4</v>
      </c>
      <c r="AN14" s="1">
        <f>IF(('[1]フォームの回答 1'!T14="ほとんどなかった"),1,(IF(('[1]フォームの回答 1'!T14="ときどきあった"),2,(IF(('[1]フォームの回答 1'!T14="しばしばあった"),3,(IF(('[1]フォームの回答 1'!T14="ほとんどいつもあった"),4,"")))))))</f>
        <v>2</v>
      </c>
      <c r="AO14" s="1">
        <f>IF(('[1]フォームの回答 1'!U14="ほとんどなかった"),1,(IF(('[1]フォームの回答 1'!U14="ときどきあった"),2,(IF(('[1]フォームの回答 1'!U14="しばしばあった"),3,(IF(('[1]フォームの回答 1'!U14="ほとんどいつもあった"),4,"")))))))</f>
        <v>1</v>
      </c>
      <c r="AP14" s="1">
        <f>IF(('[1]フォームの回答 1'!V14="ほとんどなかった"),1,(IF(('[1]フォームの回答 1'!V14="ときどきあった"),2,(IF(('[1]フォームの回答 1'!V14="しばしばあった"),3,(IF(('[1]フォームの回答 1'!V14="ほとんどいつもあった"),4,"")))))))</f>
        <v>2</v>
      </c>
      <c r="AQ14" s="1">
        <f>IF(('[1]フォームの回答 1'!W14="ほとんどなかった"),1,(IF(('[1]フォームの回答 1'!W14="ときどきあった"),2,(IF(('[1]フォームの回答 1'!W14="しばしばあった"),3,(IF(('[1]フォームの回答 1'!W14="ほとんどいつもあった"),4,"")))))))</f>
        <v>2</v>
      </c>
      <c r="AR14" s="1">
        <f>IF(('[1]フォームの回答 1'!X14="ほとんどなかった"),1,(IF(('[1]フォームの回答 1'!X14="ときどきあった"),2,(IF(('[1]フォームの回答 1'!X14="しばしばあった"),3,(IF(('[1]フォームの回答 1'!X14="ほとんどいつもあった"),4,"")))))))</f>
        <v>2</v>
      </c>
      <c r="AS14" s="1">
        <f>IF(('[1]フォームの回答 1'!Y14="ほとんどなかった"),1,(IF(('[1]フォームの回答 1'!Y14="ときどきあった"),2,(IF(('[1]フォームの回答 1'!Y14="しばしばあった"),3,(IF(('[1]フォームの回答 1'!Y14="ほとんどいつもあった"),4,"")))))))</f>
        <v>3</v>
      </c>
      <c r="AT14" s="1">
        <f>IF(('[1]フォームの回答 1'!Z14="ほとんどなかった"),1,(IF(('[1]フォームの回答 1'!Z14="ときどきあった"),2,(IF(('[1]フォームの回答 1'!Z14="しばしばあった"),3,(IF(('[1]フォームの回答 1'!Z14="ほとんどいつもあった"),4,"")))))))</f>
        <v>4</v>
      </c>
      <c r="AU14" s="1">
        <f>IF(('[1]フォームの回答 1'!AA14="ほとんどなかった"),1,(IF(('[1]フォームの回答 1'!AA14="ときどきあった"),2,(IF(('[1]フォームの回答 1'!AA14="しばしばあった"),3,(IF(('[1]フォームの回答 1'!AA14="ほとんどいつもあった"),4,"")))))))</f>
        <v>4</v>
      </c>
      <c r="AV14" s="1">
        <f>IF(('[1]フォームの回答 1'!AB14="ほとんどなかった"),1,(IF(('[1]フォームの回答 1'!AB14="ときどきばあった"),2,(IF(('[1]フォームの回答 1'!AB14="しばしばあった"),3,(IF(('[1]フォームの回答 1'!AB14="ほとんどいつもあった"),4,"")))))))</f>
        <v>4</v>
      </c>
      <c r="AW14" s="1">
        <f>IF(('[1]フォームの回答 1'!AC14="ほとんどなかった"),1,(IF(('[1]フォームの回答 1'!AC14="ときどきあった"),2,(IF(('[1]フォームの回答 1'!AC14="しばしばあった"),3,(IF(('[1]フォームの回答 1'!AC14="ほとんどいつもあった"),4,"")))))))</f>
        <v>3</v>
      </c>
      <c r="AX14" s="1">
        <f>IF(('[1]フォームの回答 1'!AD14="ほとんどなかった"),1,(IF(('[1]フォームの回答 1'!AD14="ときどきあった"),2,(IF(('[1]フォームの回答 1'!AD14="しばしばあった"),3,(IF(('[1]フォームの回答 1'!AD14="ほとんどいつもあった"),4,"")))))))</f>
        <v>3</v>
      </c>
      <c r="AY14" s="1">
        <f>IF(('[1]フォームの回答 1'!AE14="ほとんどなかった"),1,(IF(('[1]フォームの回答 1'!AE14="ときどきあった"),2,(IF(('[1]フォームの回答 1'!AE14="しばしばあった"),3,(IF(('[1]フォームの回答 1'!AE14="ほとんどいつもあった"),4,"")))))))</f>
        <v>3</v>
      </c>
      <c r="AZ14" s="1">
        <f>IF(('[1]フォームの回答 1'!AF14="ほとんどなかった"),1,(IF(('[1]フォームの回答 1'!AF14="ときどきあった"),2,(IF(('[1]フォームの回答 1'!AF14="しばしばあった"),3,(IF(('[1]フォームの回答 1'!AF14="ほとんどいつもあった"),4,"")))))))</f>
        <v>2</v>
      </c>
      <c r="BA14" s="1">
        <f>IF(('[1]フォームの回答 1'!AG14="ほとんどなかった"),1,(IF(('[1]フォームの回答 1'!AG14="ときどきあった"),2,(IF(('[1]フォームの回答 1'!AG14="しばしばあった"),3,(IF(('[1]フォームの回答 1'!AG14="ほとんどいつもあった"),4,"")))))))</f>
        <v>3</v>
      </c>
      <c r="BB14" s="1">
        <f>IF(('[1]フォームの回答 1'!AH14="ほとんどなかった"),1,(IF(('[1]フォームの回答 1'!AH14="ときどきあった"),2,(IF(('[1]フォームの回答 1'!AH14="しばしばあった"),3,(IF(('[1]フォームの回答 1'!AH14="ほとんどいつもあった"),4,"")))))))</f>
        <v>3</v>
      </c>
      <c r="BC14" s="1">
        <f>IF(('[1]フォームの回答 1'!AI14="ほとんどなかった"),1,(IF(('[1]フォームの回答 1'!AI14="ときどきあった"),2,(IF(('[1]フォームの回答 1'!AI14="しばしばあった"),3,(IF(('[1]フォームの回答 1'!AI14="ほとんどいつもあった"),4,"")))))))</f>
        <v>2</v>
      </c>
      <c r="BD14" s="1">
        <f>IF(('[1]フォームの回答 1'!AJ14="ほとんどなかった"),1,(IF(('[1]フォームの回答 1'!AJ14="ときどきあった"),2,(IF(('[1]フォームの回答 1'!AJ14="しばしばあった"),3,(IF(('[1]フォームの回答 1'!AJ14="ほとんどいつもあった"),4,"")))))))</f>
        <v>2</v>
      </c>
      <c r="BE14" s="1">
        <f>IF(('[1]フォームの回答 1'!AK14="ほとんどなかった"),1,(IF(('[1]フォームの回答 1'!AK14="ときどきあった"),2,(IF(('[1]フォームの回答 1'!AK14="しばしばあった"),3,(IF(('[1]フォームの回答 1'!AK14="ほとんどいつもあった"),4,"")))))))</f>
        <v>2</v>
      </c>
      <c r="BF14" s="1">
        <f>IF(('[1]フォームの回答 1'!AL14="ほとんどなかった"),1,(IF(('[1]フォームの回答 1'!AL14="ときどきあった"),2,(IF(('[1]フォームの回答 1'!AL14="しばしばあった"),3,(IF(('[1]フォームの回答 1'!AL14="ほとんどいつもあった"),4,"")))))))</f>
        <v>3</v>
      </c>
      <c r="BG14" s="1">
        <f>IF(('[1]フォームの回答 1'!AM14="ほとんどなかった"),1,(IF(('[1]フォームの回答 1'!AM14="ときどきあった"),2,(IF(('[1]フォームの回答 1'!AM14="しばしばあった"),3,(IF(('[1]フォームの回答 1'!AM14="ほとんどいつもあった"),4,"")))))))</f>
        <v>1</v>
      </c>
      <c r="BH14" s="1">
        <f>IF(('[1]フォームの回答 1'!AN14="ほとんどなかった"),1,(IF(('[1]フォームの回答 1'!AN14="ときどきあった"),2,(IF(('[1]フォームの回答 1'!AN14="しばしばあった"),3,(IF(('[1]フォームの回答 1'!AN14="ほとんどいつもあった"),4,"")))))))</f>
        <v>2</v>
      </c>
      <c r="BI14" s="1">
        <f>IF(('[1]フォームの回答 1'!AO14="ほとんどなかった"),1,(IF(('[1]フォームの回答 1'!AO14="ときどきあった"),2,(IF(('[1]フォームの回答 1'!AO14="しばしばあった"),3,(IF(('[1]フォームの回答 1'!AO14="ほとんどいつもあった"),4,"")))))))</f>
        <v>4</v>
      </c>
      <c r="BJ14" s="1">
        <f>IF(('[1]フォームの回答 1'!AP14="ほとんどなかった"),1,(IF(('[1]フォームの回答 1'!AP14="ときどきあった"),2,(IF(('[1]フォームの回答 1'!AP14="しばしばあった"),3,(IF(('[1]フォームの回答 1'!AP14="ほとんどいつもあった"),4,"")))))))</f>
        <v>1</v>
      </c>
      <c r="BK14" s="1">
        <f>IF(('[1]フォームの回答 1'!AQ14="ほとんどなかった"),1,(IF(('[1]フォームの回答 1'!AQ14="ときどきあった"),2,(IF(('[1]フォームの回答 1'!AQ14="しばしばあった"),3,(IF(('[1]フォームの回答 1'!AQ14="ほとんどいつもあった"),4,"")))))))</f>
        <v>2</v>
      </c>
      <c r="BL14" s="1">
        <f>IF(('[1]フォームの回答 1'!AR14="ほとんどなかった"),1,(IF(('[1]フォームの回答 1'!AR14="ときどきあった"),2,(IF(('[1]フォームの回答 1'!AR14="しばしばあった"),3,(IF(('[1]フォームの回答 1'!AR14="ほとんどいつもあった"),4,"")))))))</f>
        <v>1</v>
      </c>
      <c r="BM14" s="1">
        <f>IF(('[1]フォームの回答 1'!AS14="ほとんどなかった"),1,(IF(('[1]フォームの回答 1'!AS14="ときどきあった"),2,(IF(('[1]フォームの回答 1'!AS14="しばしばあった"),3,(IF(('[1]フォームの回答 1'!AS14="ほとんどいつもあった"),4,"")))))))</f>
        <v>3</v>
      </c>
      <c r="BN14" s="1">
        <f>IF(('[1]フォームの回答 1'!AT14="ほとんどなかった"),1,(IF(('[1]フォームの回答 1'!AT14="ときどきあった"),2,(IF(('[1]フォームの回答 1'!AT14="しばしばあった"),3,(IF(('[1]フォームの回答 1'!AT14="ほとんどいつもあった"),4,"")))))))</f>
        <v>2</v>
      </c>
      <c r="BO14" s="1">
        <f>IF(('[1]フォームの回答 1'!AU14="ほとんどなかった"),1,(IF(('[1]フォームの回答 1'!AU14="ときどきあった"),2,(IF(('[1]フォームの回答 1'!AU14="しばしばあった"),3,(IF(('[1]フォームの回答 1'!AU14="ほとんどいつもあった"),4,"")))))))</f>
        <v>4</v>
      </c>
      <c r="BP14" s="1">
        <f>IF(('[1]フォームの回答 1'!AV14="ほとんどなかった"),1,(IF(('[1]フォームの回答 1'!AV14="ときどきあった"),2,(IF(('[1]フォームの回答 1'!AV14="しばしばあった"),3,(IF(('[1]フォームの回答 1'!AV14="ほとんどいつもあった"),4,"")))))))</f>
        <v>4</v>
      </c>
      <c r="BQ14" s="1">
        <f t="shared" si="32"/>
        <v>5</v>
      </c>
      <c r="BR14" s="1">
        <f t="shared" si="33"/>
        <v>4</v>
      </c>
      <c r="BS14" s="1">
        <f t="shared" si="34"/>
        <v>7</v>
      </c>
      <c r="BT14" s="1">
        <f t="shared" si="4"/>
        <v>3</v>
      </c>
      <c r="BU14" s="1">
        <f t="shared" si="5"/>
        <v>12</v>
      </c>
      <c r="BV14" s="1">
        <f t="shared" si="6"/>
        <v>5</v>
      </c>
      <c r="BW14" s="1">
        <f t="shared" si="35"/>
        <v>9</v>
      </c>
      <c r="BX14" s="1">
        <f t="shared" si="7"/>
        <v>4</v>
      </c>
      <c r="BY14" s="1">
        <f t="shared" si="36"/>
        <v>14</v>
      </c>
      <c r="BZ14" s="1">
        <f t="shared" si="8"/>
        <v>4</v>
      </c>
      <c r="CA14" s="1">
        <f t="shared" si="37"/>
        <v>27</v>
      </c>
      <c r="CB14" s="1">
        <f t="shared" si="9"/>
        <v>4</v>
      </c>
      <c r="CC14" s="1">
        <f>IF(('[1]フォームの回答 1'!AW14="非常に"),1,(IF(('[1]フォームの回答 1'!AW14="かなり"),2,(IF(('[1]フォームの回答 1'!AW14="多少"),3,(IF(('[1]フォームの回答 1'!AW14="全くない"),4,"")))))))</f>
        <v>3</v>
      </c>
      <c r="CD14" s="1">
        <f>IF(('[1]フォームの回答 1'!AX14="非常に"),1,(IF(('[1]フォームの回答 1'!AX14="かなり"),2,(IF(('[1]フォームの回答 1'!AX14="多少"),3,(IF(('[1]フォームの回答 1'!AX14="全くない"),4,"")))))))</f>
        <v>2</v>
      </c>
      <c r="CE14" s="1">
        <f>IF(('[1]フォームの回答 1'!AY14="非常に"),1,(IF(('[1]フォームの回答 1'!AY14="かなり"),2,(IF(('[1]フォームの回答 1'!AY14="多少"),3,(IF(('[1]フォームの回答 1'!AY14="全くない"),4,"")))))))</f>
        <v>1</v>
      </c>
      <c r="CF14" s="1">
        <f>IF(('[1]フォームの回答 1'!AZ14="非常に"),1,(IF(('[1]フォームの回答 1'!AZ14="かなり"),2,(IF(('[1]フォームの回答 1'!AZ14="多少"),3,(IF(('[1]フォームの回答 1'!AZ14="全くない"),4,"")))))))</f>
        <v>3</v>
      </c>
      <c r="CG14" s="1">
        <f>IF(('[1]フォームの回答 1'!BA14="非常に"),1,(IF(('[1]フォームの回答 1'!BA14="かなり"),2,(IF(('[1]フォームの回答 1'!BA14="多少"),3,(IF(('[1]フォームの回答 1'!BA14="全くない"),4,"")))))))</f>
        <v>3</v>
      </c>
      <c r="CH14" s="1">
        <f>IF(('[1]フォームの回答 1'!BB14="非常に"),1,(IF(('[1]フォームの回答 1'!BB14="かなり"),2,(IF(('[1]フォームの回答 1'!BB14="多少"),3,(IF(('[1]フォームの回答 1'!BB14="全くない"),4,"")))))))</f>
        <v>2</v>
      </c>
      <c r="CI14" s="1">
        <f>IF(('[1]フォームの回答 1'!BC14="非常に"),1,(IF(('[1]フォームの回答 1'!BC14="かなり"),2,(IF(('[1]フォームの回答 1'!BC14="多少"),3,(IF(('[1]フォームの回答 1'!BC14="全くない"),4,"")))))))</f>
        <v>3</v>
      </c>
      <c r="CJ14" s="1">
        <f>IF(('[1]フォームの回答 1'!BD14="非常に"),1,(IF(('[1]フォームの回答 1'!BD14="かなり"),2,(IF(('[1]フォームの回答 1'!BD14="多少"),3,(IF(('[1]フォームの回答 1'!BD14="全くない"),4,"")))))))</f>
        <v>3</v>
      </c>
      <c r="CK14" s="1">
        <f>IF(('[1]フォームの回答 1'!BE14="非常に"),1,(IF(('[1]フォームの回答 1'!BE14="かなり"),2,(IF(('[1]フォームの回答 1'!BE14="多少"),3,(IF(('[1]フォームの回答 1'!BE14="全くない"),4,"")))))))</f>
        <v>1</v>
      </c>
      <c r="CL14" s="1">
        <f>IF(('[1]フォームの回答 1'!BF14="満足"),1,(IF(('[1]フォームの回答 1'!BF14="まぁ満足"),2,(IF(('[1]フォームの回答 1'!BF14="やや満足"),3,(IF(('[1]フォームの回答 1'!BF14="不満足"),4,"")))))))</f>
        <v>3</v>
      </c>
      <c r="CM14" s="1">
        <f>IF(('[1]フォームの回答 1'!BG14="満足"),1,(IF(('[1]フォームの回答 1'!BG14="まぁ満足"),2,(IF(('[1]フォームの回答 1'!BG14="やや満足"),3,(IF(('[1]フォームの回答 1'!BG14="不満足"),4,"")))))))</f>
        <v>1</v>
      </c>
      <c r="CN14" s="1">
        <f t="shared" si="38"/>
        <v>6</v>
      </c>
      <c r="CO14" s="1">
        <f t="shared" si="10"/>
        <v>3</v>
      </c>
      <c r="CP14" s="1">
        <f t="shared" si="39"/>
        <v>7</v>
      </c>
      <c r="CQ14" s="1">
        <f t="shared" si="11"/>
        <v>4</v>
      </c>
      <c r="CR14" s="1">
        <f t="shared" si="40"/>
        <v>11</v>
      </c>
      <c r="CS14" s="1">
        <f t="shared" si="41"/>
        <v>2</v>
      </c>
      <c r="CT14" s="1">
        <f t="shared" si="42"/>
        <v>6</v>
      </c>
      <c r="CU14" s="1">
        <f t="shared" si="12"/>
        <v>3</v>
      </c>
      <c r="CV14" s="1">
        <f t="shared" si="13"/>
        <v>24</v>
      </c>
      <c r="CW14" s="1">
        <f t="shared" si="14"/>
        <v>23</v>
      </c>
      <c r="CX14" s="1">
        <f t="shared" si="15"/>
        <v>9</v>
      </c>
      <c r="CY14" s="29" t="str">
        <f t="shared" si="43"/>
        <v>高</v>
      </c>
      <c r="CZ14" s="1">
        <v>0.6</v>
      </c>
      <c r="DA14" s="2">
        <f t="shared" si="16"/>
        <v>0.4</v>
      </c>
      <c r="DB14" s="1">
        <f>IF(('[1]フォームの回答 1'!BI14="いつもより寝つきは良い"),0,(IF(('[1]フォームの回答 1'!BI14="いつもより少し時間がかかった"),1,(IF(('[1]フォームの回答 1'!BI14="いつもよりかなり時間がかかった"),2,(IF(('[1]フォームの回答 1'!BI14="いつもより非常に時間がかかった、あるいは全く眠れなかった"),3,"")))))))</f>
        <v>1</v>
      </c>
      <c r="DC14" s="1">
        <f>IF(('[1]フォームの回答 1'!BJ14="問題になるほどのことはなかった"),0,(IF(('[1]フォームの回答 1'!BJ14="少し困ることがある"),1,(IF(('[1]フォームの回答 1'!BJ14="かなり困っている"),2,(IF(('[1]フォームの回答 1'!BJ14="深刻な状態、あるいは全く眠れなかった"),3,"")))))))</f>
        <v>1</v>
      </c>
      <c r="DD14" s="1">
        <f>IF(('[1]フォームの回答 1'!BK14="そのようなことはなかった"),0,(IF(('[1]フォームの回答 1'!BK14="少し早かった"),1,(IF(('[1]フォームの回答 1'!BK14="かなり早かった"),2,(IF(('[1]フォームの回答 1'!BK14="非常に早かった、あるいは全く眠れなかった"),3,"")))))))</f>
        <v>0</v>
      </c>
      <c r="DE14" s="1">
        <f>IF(('[1]フォームの回答 1'!BL14="十分である"),0,(IF(('[1]フォームの回答 1'!BL14="少し足りない"),1,(IF(('[1]フォームの回答 1'!BL14="かなり足りない"),2,(IF(('[1]フォームの回答 1'!BL14="全く足りない、あるいは全く眠れなかった"),3,"")))))))</f>
        <v>1</v>
      </c>
      <c r="DF14" s="1">
        <f>IF(('[1]フォームの回答 1'!BM14="満足している"),0,(IF(('[1]フォームの回答 1'!BM14="少し不満である"),1,(IF(('[1]フォームの回答 1'!BM14="かなり不満である"),2,(IF(('[1]フォームの回答 1'!BM14="非常に不満である、あるいは全く眠れなかった"),3,"")))))))</f>
        <v>3</v>
      </c>
      <c r="DG14" s="1">
        <f>IF(('[1]フォームの回答 1'!BN14="いつもどおり"),0,(IF(('[1]フォームの回答 1'!BN14="少し滅入った"),1,(IF(('[1]フォームの回答 1'!BN14="かなり滅入った"),2,(IF(('[1]フォームの回答 1'!BN14="非常に滅入った"),3,"")))))))</f>
        <v>3</v>
      </c>
      <c r="DH14" s="1">
        <f>IF(('[1]フォームの回答 1'!BO14="いつもどおり"),0,(IF(('[1]フォームの回答 1'!BO14="少し低下した"),1,(IF(('[1]フォームの回答 1'!BO14="かなり低下した"),2,(IF(('[1]フォームの回答 1'!BO14="非常に低下した"),3,"")))))))</f>
        <v>2</v>
      </c>
      <c r="DI14" s="1">
        <f>IF(('[1]フォームの回答 1'!BP14="全くなかった"),0,(IF(('[1]フォームの回答 1'!BP14="少しあった"),1,(IF(('[1]フォームの回答 1'!BP14="かなりあった"),2,(IF(('[1]フォームの回答 1'!BP14="激しかった"),3,"")))))))</f>
        <v>3</v>
      </c>
      <c r="DJ14">
        <f t="shared" si="44"/>
        <v>14</v>
      </c>
      <c r="DK14" s="4" t="str">
        <f t="shared" si="45"/>
        <v>高</v>
      </c>
      <c r="DL14" s="5">
        <v>0.1</v>
      </c>
      <c r="DM14" s="5">
        <v>0.9</v>
      </c>
      <c r="DN14" s="5">
        <v>1.2</v>
      </c>
      <c r="DO14" s="5">
        <v>2.2000000000000002</v>
      </c>
      <c r="DP14" s="5"/>
      <c r="DQ14" s="5"/>
      <c r="DR14" s="43">
        <v>0.82399999999999995</v>
      </c>
      <c r="DS14" s="43">
        <v>116.69</v>
      </c>
      <c r="DT14" s="5">
        <v>0.71</v>
      </c>
      <c r="DU14" s="5">
        <v>36</v>
      </c>
      <c r="DV14" s="5" t="s">
        <v>115</v>
      </c>
    </row>
    <row r="15" spans="1:126" ht="14">
      <c r="A15" s="1">
        <v>305</v>
      </c>
      <c r="B15" s="24" t="s">
        <v>140</v>
      </c>
      <c r="C15" s="24">
        <v>35811</v>
      </c>
      <c r="D15" s="38">
        <f t="shared" si="17"/>
        <v>26</v>
      </c>
      <c r="E15" s="1">
        <f>IF(('[1]フォームの回答 1'!C15="そうだ"),1,(IF(('[1]フォームの回答 1'!C15="まぁそうだ"),2,(IF(('[1]フォームの回答 1'!C15="ややちがう"),3,(IF(('[1]フォームの回答 1'!C15="ちがう"),4,"")))))))</f>
        <v>2</v>
      </c>
      <c r="F15" s="1">
        <f>IF(('[1]フォームの回答 1'!D15="そうだ"),1,(IF(('[1]フォームの回答 1'!D15="まぁそうだ"),2,(IF(('[1]フォームの回答 1'!D15="ややちがう"),3,(IF(('[1]フォームの回答 1'!D15="ちがう"),4,"")))))))</f>
        <v>2</v>
      </c>
      <c r="G15" s="1">
        <f>IF(('[1]フォームの回答 1'!E15="そうだ"),1,(IF(('[1]フォームの回答 1'!E15="まぁそうだ"),2,(IF(('[1]フォームの回答 1'!E15="ややちがう"),3,(IF(('[1]フォームの回答 1'!E15="ちがう"),4,"")))))))</f>
        <v>2</v>
      </c>
      <c r="H15" s="1">
        <f>IF(('[1]フォームの回答 1'!F15="そうだ"),1,(IF(('[1]フォームの回答 1'!F15="まぁそうだ"),2,(IF(('[1]フォームの回答 1'!F15="ややちがう"),3,(IF(('[1]フォームの回答 1'!F15="ちがう"),4,"")))))))</f>
        <v>2</v>
      </c>
      <c r="I15" s="1">
        <f>IF(('[1]フォームの回答 1'!G15="そうだ"),1,(IF(('[1]フォームの回答 1'!G15="まぁそうだ"),2,(IF(('[1]フォームの回答 1'!G15="ややちがう"),3,(IF(('[1]フォームの回答 1'!G15="ちがう"),4,"")))))))</f>
        <v>2</v>
      </c>
      <c r="J15" s="1">
        <f>IF(('[1]フォームの回答 1'!H15="そうだ"),1,(IF(('[1]フォームの回答 1'!H15="まぁそうだ"),2,(IF(('[1]フォームの回答 1'!H15="ややちがう"),3,(IF(('[1]フォームの回答 1'!H15="ちがう"),4,"")))))))</f>
        <v>4</v>
      </c>
      <c r="K15" s="1">
        <f>IF(('[1]フォームの回答 1'!I15="そうだ"),1,(IF(('[1]フォームの回答 1'!I15="まぁそうだ"),2,(IF(('[1]フォームの回答 1'!I15="ややちがう"),3,(IF(('[1]フォームの回答 1'!I15="ちがう"),4,"")))))))</f>
        <v>3</v>
      </c>
      <c r="L15" s="1">
        <f>IF(('[1]フォームの回答 1'!J15="そうだ"),1,(IF(('[1]フォームの回答 1'!J15="まぁそうだ"),2,(IF(('[1]フォームの回答 1'!J15="ややちがう"),3,(IF(('[1]フォームの回答 1'!J15="ちがう"),4,"")))))))</f>
        <v>1</v>
      </c>
      <c r="M15" s="1">
        <f>IF(('[1]フォームの回答 1'!K15="そうだ"),1,(IF(('[1]フォームの回答 1'!K15="まぁそうだ"),2,(IF(('[1]フォームの回答 1'!K15="ややちがう"),3,(IF(('[1]フォームの回答 1'!K15="ちがう"),4,"")))))))</f>
        <v>1</v>
      </c>
      <c r="N15" s="1">
        <f>IF(('[1]フォームの回答 1'!L15="そうだ"),1,(IF(('[1]フォームの回答 1'!L15="まぁそうだ"),2,(IF(('[1]フォームの回答 1'!L15="ややちがう"),3,(IF(('[1]フォームの回答 1'!L15="ちがう"),4,"")))))))</f>
        <v>1</v>
      </c>
      <c r="O15" s="1">
        <f>IF(('[1]フォームの回答 1'!M15="そうだ"),1,(IF(('[1]フォームの回答 1'!M15="まぁそうだ"),2,(IF(('[1]フォームの回答 1'!M15="ややちがう"),3,(IF(('[1]フォームの回答 1'!M15="ちがう"),4,"")))))))</f>
        <v>4</v>
      </c>
      <c r="P15" s="1">
        <f>IF(('[1]フォームの回答 1'!N15="そうだ"),1,(IF(('[1]フォームの回答 1'!N15="まぁそうだ"),2,(IF(('[1]フォームの回答 1'!N15="ややちがう"),3,(IF(('[1]フォームの回答 1'!N15="ちがう"),4,"")))))))</f>
        <v>2</v>
      </c>
      <c r="Q15" s="1">
        <f>IF(('[1]フォームの回答 1'!O15="そうだ"),1,(IF(('[1]フォームの回答 1'!O15="まぁそうだ"),2,(IF(('[1]フォームの回答 1'!O15="ややちがう"),3,(IF(('[1]フォームの回答 1'!O15="ちがう"),4,"")))))))</f>
        <v>4</v>
      </c>
      <c r="R15" s="1">
        <f>IF(('[1]フォームの回答 1'!P15="そうだ"),1,(IF(('[1]フォームの回答 1'!P15="まぁそうだ"),2,(IF(('[1]フォームの回答 1'!P15="ややちがう"),3,(IF(('[1]フォームの回答 1'!P15="ちがう"),4,"")))))))</f>
        <v>1</v>
      </c>
      <c r="S15" s="1">
        <f>IF(('[1]フォームの回答 1'!Q15="そうだ"),1,(IF(('[1]フォームの回答 1'!Q15="まぁそうだ"),2,(IF(('[1]フォームの回答 1'!Q15="ややちがう"),3,(IF(('[1]フォームの回答 1'!Q15="ちがう"),4,"")))))))</f>
        <v>4</v>
      </c>
      <c r="T15" s="1">
        <f>IF(('[1]フォームの回答 1'!R15="そうだ"),1,(IF(('[1]フォームの回答 1'!R15="まぁそうだ"),2,(IF(('[1]フォームの回答 1'!R15="ややちがう"),3,(IF(('[1]フォームの回答 1'!R15="ちがう"),4,"")))))))</f>
        <v>2</v>
      </c>
      <c r="U15" s="1">
        <f>IF(('[1]フォームの回答 1'!S15="そうだ"),1,(IF(('[1]フォームの回答 1'!S15="まぁそうだ"),2,(IF(('[1]フォームの回答 1'!S15="ややちがう"),3,(IF(('[1]フォームの回答 1'!S15="ちがう"),4,"")))))))</f>
        <v>2</v>
      </c>
      <c r="V15" s="1">
        <f t="shared" si="18"/>
        <v>9</v>
      </c>
      <c r="W15" s="1">
        <f t="shared" si="0"/>
        <v>3</v>
      </c>
      <c r="X15" s="1">
        <f t="shared" si="19"/>
        <v>7</v>
      </c>
      <c r="Y15" s="1">
        <f t="shared" si="1"/>
        <v>3</v>
      </c>
      <c r="Z15" s="1">
        <f t="shared" si="20"/>
        <v>2</v>
      </c>
      <c r="AA15" s="1">
        <f t="shared" si="21"/>
        <v>3</v>
      </c>
      <c r="AB15" s="1">
        <f t="shared" si="22"/>
        <v>5</v>
      </c>
      <c r="AC15" s="1">
        <f t="shared" si="23"/>
        <v>2</v>
      </c>
      <c r="AD15" s="1">
        <f t="shared" si="24"/>
        <v>1</v>
      </c>
      <c r="AE15" s="1">
        <f t="shared" si="2"/>
        <v>1</v>
      </c>
      <c r="AF15" s="1">
        <f t="shared" si="25"/>
        <v>12</v>
      </c>
      <c r="AG15" s="1">
        <f t="shared" si="3"/>
        <v>1</v>
      </c>
      <c r="AH15" s="1">
        <f t="shared" si="26"/>
        <v>4</v>
      </c>
      <c r="AI15" s="1">
        <f t="shared" si="27"/>
        <v>2</v>
      </c>
      <c r="AJ15" s="1">
        <f t="shared" si="28"/>
        <v>3</v>
      </c>
      <c r="AK15" s="1">
        <f t="shared" si="29"/>
        <v>3</v>
      </c>
      <c r="AL15" s="1">
        <f t="shared" si="30"/>
        <v>3</v>
      </c>
      <c r="AM15" s="1">
        <f t="shared" si="31"/>
        <v>3</v>
      </c>
      <c r="AN15" s="1">
        <f>IF(('[1]フォームの回答 1'!T15="ほとんどなかった"),1,(IF(('[1]フォームの回答 1'!T15="ときどきあった"),2,(IF(('[1]フォームの回答 1'!T15="しばしばあった"),3,(IF(('[1]フォームの回答 1'!T15="ほとんどいつもあった"),4,"")))))))</f>
        <v>3</v>
      </c>
      <c r="AO15" s="1">
        <f>IF(('[1]フォームの回答 1'!U15="ほとんどなかった"),1,(IF(('[1]フォームの回答 1'!U15="ときどきあった"),2,(IF(('[1]フォームの回答 1'!U15="しばしばあった"),3,(IF(('[1]フォームの回答 1'!U15="ほとんどいつもあった"),4,"")))))))</f>
        <v>3</v>
      </c>
      <c r="AP15" s="1">
        <f>IF(('[1]フォームの回答 1'!V15="ほとんどなかった"),1,(IF(('[1]フォームの回答 1'!V15="ときどきあった"),2,(IF(('[1]フォームの回答 1'!V15="しばしばあった"),3,(IF(('[1]フォームの回答 1'!V15="ほとんどいつもあった"),4,"")))))))</f>
        <v>3</v>
      </c>
      <c r="AQ15" s="1">
        <f>IF(('[1]フォームの回答 1'!W15="ほとんどなかった"),1,(IF(('[1]フォームの回答 1'!W15="ときどきあった"),2,(IF(('[1]フォームの回答 1'!W15="しばしばあった"),3,(IF(('[1]フォームの回答 1'!W15="ほとんどいつもあった"),4,"")))))))</f>
        <v>2</v>
      </c>
      <c r="AR15" s="1">
        <f>IF(('[1]フォームの回答 1'!X15="ほとんどなかった"),1,(IF(('[1]フォームの回答 1'!X15="ときどきあった"),2,(IF(('[1]フォームの回答 1'!X15="しばしばあった"),3,(IF(('[1]フォームの回答 1'!X15="ほとんどいつもあった"),4,"")))))))</f>
        <v>2</v>
      </c>
      <c r="AS15" s="1">
        <f>IF(('[1]フォームの回答 1'!Y15="ほとんどなかった"),1,(IF(('[1]フォームの回答 1'!Y15="ときどきあった"),2,(IF(('[1]フォームの回答 1'!Y15="しばしばあった"),3,(IF(('[1]フォームの回答 1'!Y15="ほとんどいつもあった"),4,"")))))))</f>
        <v>2</v>
      </c>
      <c r="AT15" s="1">
        <f>IF(('[1]フォームの回答 1'!Z15="ほとんどなかった"),1,(IF(('[1]フォームの回答 1'!Z15="ときどきあった"),2,(IF(('[1]フォームの回答 1'!Z15="しばしばあった"),3,(IF(('[1]フォームの回答 1'!Z15="ほとんどいつもあった"),4,"")))))))</f>
        <v>2</v>
      </c>
      <c r="AU15" s="1">
        <f>IF(('[1]フォームの回答 1'!AA15="ほとんどなかった"),1,(IF(('[1]フォームの回答 1'!AA15="ときどきあった"),2,(IF(('[1]フォームの回答 1'!AA15="しばしばあった"),3,(IF(('[1]フォームの回答 1'!AA15="ほとんどいつもあった"),4,"")))))))</f>
        <v>2</v>
      </c>
      <c r="AV15" s="1">
        <f>IF(('[1]フォームの回答 1'!AB15="ほとんどなかった"),1,(IF(('[1]フォームの回答 1'!AB15="ときどきばあった"),2,(IF(('[1]フォームの回答 1'!AB15="しばしばあった"),3,(IF(('[1]フォームの回答 1'!AB15="ほとんどいつもあった"),4,"")))))))</f>
        <v>3</v>
      </c>
      <c r="AW15" s="1">
        <f>IF(('[1]フォームの回答 1'!AC15="ほとんどなかった"),1,(IF(('[1]フォームの回答 1'!AC15="ときどきあった"),2,(IF(('[1]フォームの回答 1'!AC15="しばしばあった"),3,(IF(('[1]フォームの回答 1'!AC15="ほとんどいつもあった"),4,"")))))))</f>
        <v>1</v>
      </c>
      <c r="AX15" s="1">
        <f>IF(('[1]フォームの回答 1'!AD15="ほとんどなかった"),1,(IF(('[1]フォームの回答 1'!AD15="ときどきあった"),2,(IF(('[1]フォームの回答 1'!AD15="しばしばあった"),3,(IF(('[1]フォームの回答 1'!AD15="ほとんどいつもあった"),4,"")))))))</f>
        <v>1</v>
      </c>
      <c r="AY15" s="1">
        <f>IF(('[1]フォームの回答 1'!AE15="ほとんどなかった"),1,(IF(('[1]フォームの回答 1'!AE15="ときどきあった"),2,(IF(('[1]フォームの回答 1'!AE15="しばしばあった"),3,(IF(('[1]フォームの回答 1'!AE15="ほとんどいつもあった"),4,"")))))))</f>
        <v>1</v>
      </c>
      <c r="AZ15" s="1">
        <f>IF(('[1]フォームの回答 1'!AF15="ほとんどなかった"),1,(IF(('[1]フォームの回答 1'!AF15="ときどきあった"),2,(IF(('[1]フォームの回答 1'!AF15="しばしばあった"),3,(IF(('[1]フォームの回答 1'!AF15="ほとんどいつもあった"),4,"")))))))</f>
        <v>2</v>
      </c>
      <c r="BA15" s="1">
        <f>IF(('[1]フォームの回答 1'!AG15="ほとんどなかった"),1,(IF(('[1]フォームの回答 1'!AG15="ときどきあった"),2,(IF(('[1]フォームの回答 1'!AG15="しばしばあった"),3,(IF(('[1]フォームの回答 1'!AG15="ほとんどいつもあった"),4,"")))))))</f>
        <v>2</v>
      </c>
      <c r="BB15" s="1">
        <f>IF(('[1]フォームの回答 1'!AH15="ほとんどなかった"),1,(IF(('[1]フォームの回答 1'!AH15="ときどきあった"),2,(IF(('[1]フォームの回答 1'!AH15="しばしばあった"),3,(IF(('[1]フォームの回答 1'!AH15="ほとんどいつもあった"),4,"")))))))</f>
        <v>2</v>
      </c>
      <c r="BC15" s="1">
        <f>IF(('[1]フォームの回答 1'!AI15="ほとんどなかった"),1,(IF(('[1]フォームの回答 1'!AI15="ときどきあった"),2,(IF(('[1]フォームの回答 1'!AI15="しばしばあった"),3,(IF(('[1]フォームの回答 1'!AI15="ほとんどいつもあった"),4,"")))))))</f>
        <v>1</v>
      </c>
      <c r="BD15" s="1">
        <f>IF(('[1]フォームの回答 1'!AJ15="ほとんどなかった"),1,(IF(('[1]フォームの回答 1'!AJ15="ときどきあった"),2,(IF(('[1]フォームの回答 1'!AJ15="しばしばあった"),3,(IF(('[1]フォームの回答 1'!AJ15="ほとんどいつもあった"),4,"")))))))</f>
        <v>2</v>
      </c>
      <c r="BE15" s="1">
        <f>IF(('[1]フォームの回答 1'!AK15="ほとんどなかった"),1,(IF(('[1]フォームの回答 1'!AK15="ときどきあった"),2,(IF(('[1]フォームの回答 1'!AK15="しばしばあった"),3,(IF(('[1]フォームの回答 1'!AK15="ほとんどいつもあった"),4,"")))))))</f>
        <v>1</v>
      </c>
      <c r="BF15" s="1">
        <f>IF(('[1]フォームの回答 1'!AL15="ほとんどなかった"),1,(IF(('[1]フォームの回答 1'!AL15="ときどきあった"),2,(IF(('[1]フォームの回答 1'!AL15="しばしばあった"),3,(IF(('[1]フォームの回答 1'!AL15="ほとんどいつもあった"),4,"")))))))</f>
        <v>1</v>
      </c>
      <c r="BG15" s="1">
        <f>IF(('[1]フォームの回答 1'!AM15="ほとんどなかった"),1,(IF(('[1]フォームの回答 1'!AM15="ときどきあった"),2,(IF(('[1]フォームの回答 1'!AM15="しばしばあった"),3,(IF(('[1]フォームの回答 1'!AM15="ほとんどいつもあった"),4,"")))))))</f>
        <v>1</v>
      </c>
      <c r="BH15" s="1">
        <f>IF(('[1]フォームの回答 1'!AN15="ほとんどなかった"),1,(IF(('[1]フォームの回答 1'!AN15="ときどきあった"),2,(IF(('[1]フォームの回答 1'!AN15="しばしばあった"),3,(IF(('[1]フォームの回答 1'!AN15="ほとんどいつもあった"),4,"")))))))</f>
        <v>1</v>
      </c>
      <c r="BI15" s="1">
        <f>IF(('[1]フォームの回答 1'!AO15="ほとんどなかった"),1,(IF(('[1]フォームの回答 1'!AO15="ときどきあった"),2,(IF(('[1]フォームの回答 1'!AO15="しばしばあった"),3,(IF(('[1]フォームの回答 1'!AO15="ほとんどいつもあった"),4,"")))))))</f>
        <v>2</v>
      </c>
      <c r="BJ15" s="1">
        <f>IF(('[1]フォームの回答 1'!AP15="ほとんどなかった"),1,(IF(('[1]フォームの回答 1'!AP15="ときどきあった"),2,(IF(('[1]フォームの回答 1'!AP15="しばしばあった"),3,(IF(('[1]フォームの回答 1'!AP15="ほとんどいつもあった"),4,"")))))))</f>
        <v>3</v>
      </c>
      <c r="BK15" s="1">
        <f>IF(('[1]フォームの回答 1'!AQ15="ほとんどなかった"),1,(IF(('[1]フォームの回答 1'!AQ15="ときどきあった"),2,(IF(('[1]フォームの回答 1'!AQ15="しばしばあった"),3,(IF(('[1]フォームの回答 1'!AQ15="ほとんどいつもあった"),4,"")))))))</f>
        <v>1</v>
      </c>
      <c r="BL15" s="1">
        <f>IF(('[1]フォームの回答 1'!AR15="ほとんどなかった"),1,(IF(('[1]フォームの回答 1'!AR15="ときどきあった"),2,(IF(('[1]フォームの回答 1'!AR15="しばしばあった"),3,(IF(('[1]フォームの回答 1'!AR15="ほとんどいつもあった"),4,"")))))))</f>
        <v>1</v>
      </c>
      <c r="BM15" s="1">
        <f>IF(('[1]フォームの回答 1'!AS15="ほとんどなかった"),1,(IF(('[1]フォームの回答 1'!AS15="ときどきあった"),2,(IF(('[1]フォームの回答 1'!AS15="しばしばあった"),3,(IF(('[1]フォームの回答 1'!AS15="ほとんどいつもあった"),4,"")))))))</f>
        <v>2</v>
      </c>
      <c r="BN15" s="1">
        <f>IF(('[1]フォームの回答 1'!AT15="ほとんどなかった"),1,(IF(('[1]フォームの回答 1'!AT15="ときどきあった"),2,(IF(('[1]フォームの回答 1'!AT15="しばしばあった"),3,(IF(('[1]フォームの回答 1'!AT15="ほとんどいつもあった"),4,"")))))))</f>
        <v>1</v>
      </c>
      <c r="BO15" s="1">
        <f>IF(('[1]フォームの回答 1'!AU15="ほとんどなかった"),1,(IF(('[1]フォームの回答 1'!AU15="ときどきあった"),2,(IF(('[1]フォームの回答 1'!AU15="しばしばあった"),3,(IF(('[1]フォームの回答 1'!AU15="ほとんどいつもあった"),4,"")))))))</f>
        <v>3</v>
      </c>
      <c r="BP15" s="1">
        <f>IF(('[1]フォームの回答 1'!AV15="ほとんどなかった"),1,(IF(('[1]フォームの回答 1'!AV15="ときどきあった"),2,(IF(('[1]フォームの回答 1'!AV15="しばしばあった"),3,(IF(('[1]フォームの回答 1'!AV15="ほとんどいつもあった"),4,"")))))))</f>
        <v>1</v>
      </c>
      <c r="BQ15" s="1">
        <f t="shared" si="32"/>
        <v>9</v>
      </c>
      <c r="BR15" s="1">
        <f t="shared" si="33"/>
        <v>2</v>
      </c>
      <c r="BS15" s="1">
        <f t="shared" si="34"/>
        <v>6</v>
      </c>
      <c r="BT15" s="1">
        <f t="shared" si="4"/>
        <v>3</v>
      </c>
      <c r="BU15" s="1">
        <f t="shared" si="5"/>
        <v>7</v>
      </c>
      <c r="BV15" s="1">
        <f t="shared" si="6"/>
        <v>3</v>
      </c>
      <c r="BW15" s="1">
        <f t="shared" si="35"/>
        <v>3</v>
      </c>
      <c r="BX15" s="1">
        <f t="shared" si="7"/>
        <v>1</v>
      </c>
      <c r="BY15" s="1">
        <f t="shared" si="36"/>
        <v>10</v>
      </c>
      <c r="BZ15" s="1">
        <f t="shared" si="8"/>
        <v>3</v>
      </c>
      <c r="CA15" s="1">
        <f t="shared" si="37"/>
        <v>17</v>
      </c>
      <c r="CB15" s="1">
        <f t="shared" si="9"/>
        <v>2</v>
      </c>
      <c r="CC15" s="1">
        <f>IF(('[1]フォームの回答 1'!AW15="非常に"),1,(IF(('[1]フォームの回答 1'!AW15="かなり"),2,(IF(('[1]フォームの回答 1'!AW15="多少"),3,(IF(('[1]フォームの回答 1'!AW15="全くない"),4,"")))))))</f>
        <v>2</v>
      </c>
      <c r="CD15" s="1">
        <f>IF(('[1]フォームの回答 1'!AX15="非常に"),1,(IF(('[1]フォームの回答 1'!AX15="かなり"),2,(IF(('[1]フォームの回答 1'!AX15="多少"),3,(IF(('[1]フォームの回答 1'!AX15="全くない"),4,"")))))))</f>
        <v>2</v>
      </c>
      <c r="CE15" s="1">
        <f>IF(('[1]フォームの回答 1'!AY15="非常に"),1,(IF(('[1]フォームの回答 1'!AY15="かなり"),2,(IF(('[1]フォームの回答 1'!AY15="多少"),3,(IF(('[1]フォームの回答 1'!AY15="全くない"),4,"")))))))</f>
        <v>1</v>
      </c>
      <c r="CF15" s="1">
        <f>IF(('[1]フォームの回答 1'!AZ15="非常に"),1,(IF(('[1]フォームの回答 1'!AZ15="かなり"),2,(IF(('[1]フォームの回答 1'!AZ15="多少"),3,(IF(('[1]フォームの回答 1'!AZ15="全くない"),4,"")))))))</f>
        <v>2</v>
      </c>
      <c r="CG15" s="1">
        <f>IF(('[1]フォームの回答 1'!BA15="非常に"),1,(IF(('[1]フォームの回答 1'!BA15="かなり"),2,(IF(('[1]フォームの回答 1'!BA15="多少"),3,(IF(('[1]フォームの回答 1'!BA15="全くない"),4,"")))))))</f>
        <v>2</v>
      </c>
      <c r="CH15" s="1">
        <f>IF(('[1]フォームの回答 1'!BB15="非常に"),1,(IF(('[1]フォームの回答 1'!BB15="かなり"),2,(IF(('[1]フォームの回答 1'!BB15="多少"),3,(IF(('[1]フォームの回答 1'!BB15="全くない"),4,"")))))))</f>
        <v>1</v>
      </c>
      <c r="CI15" s="1">
        <f>IF(('[1]フォームの回答 1'!BC15="非常に"),1,(IF(('[1]フォームの回答 1'!BC15="かなり"),2,(IF(('[1]フォームの回答 1'!BC15="多少"),3,(IF(('[1]フォームの回答 1'!BC15="全くない"),4,"")))))))</f>
        <v>2</v>
      </c>
      <c r="CJ15" s="1">
        <f>IF(('[1]フォームの回答 1'!BD15="非常に"),1,(IF(('[1]フォームの回答 1'!BD15="かなり"),2,(IF(('[1]フォームの回答 1'!BD15="多少"),3,(IF(('[1]フォームの回答 1'!BD15="全くない"),4,"")))))))</f>
        <v>1</v>
      </c>
      <c r="CK15" s="1">
        <f>IF(('[1]フォームの回答 1'!BE15="非常に"),1,(IF(('[1]フォームの回答 1'!BE15="かなり"),2,(IF(('[1]フォームの回答 1'!BE15="多少"),3,(IF(('[1]フォームの回答 1'!BE15="全くない"),4,"")))))))</f>
        <v>1</v>
      </c>
      <c r="CL15" s="1">
        <f>IF(('[1]フォームの回答 1'!BF15="満足"),1,(IF(('[1]フォームの回答 1'!BF15="まぁ満足"),2,(IF(('[1]フォームの回答 1'!BF15="やや満足"),3,(IF(('[1]フォームの回答 1'!BF15="不満足"),4,"")))))))</f>
        <v>2</v>
      </c>
      <c r="CM15" s="1">
        <f>IF(('[1]フォームの回答 1'!BG15="満足"),1,(IF(('[1]フォームの回答 1'!BG15="まぁ満足"),2,(IF(('[1]フォームの回答 1'!BG15="やや満足"),3,(IF(('[1]フォームの回答 1'!BG15="不満足"),4,"")))))))</f>
        <v>2</v>
      </c>
      <c r="CN15" s="1">
        <f t="shared" si="38"/>
        <v>9</v>
      </c>
      <c r="CO15" s="1">
        <f t="shared" si="10"/>
        <v>2</v>
      </c>
      <c r="CP15" s="1">
        <f t="shared" si="39"/>
        <v>10</v>
      </c>
      <c r="CQ15" s="1">
        <f t="shared" si="11"/>
        <v>1</v>
      </c>
      <c r="CR15" s="1">
        <f t="shared" si="40"/>
        <v>12</v>
      </c>
      <c r="CS15" s="1">
        <f t="shared" si="41"/>
        <v>1</v>
      </c>
      <c r="CT15" s="1">
        <f t="shared" si="42"/>
        <v>6</v>
      </c>
      <c r="CU15" s="1">
        <f t="shared" si="12"/>
        <v>3</v>
      </c>
      <c r="CV15" s="1">
        <f t="shared" si="13"/>
        <v>14</v>
      </c>
      <c r="CW15" s="1">
        <f t="shared" si="14"/>
        <v>21</v>
      </c>
      <c r="CX15" s="1">
        <f t="shared" si="15"/>
        <v>4</v>
      </c>
      <c r="CY15" s="29" t="str">
        <f t="shared" si="43"/>
        <v>低</v>
      </c>
      <c r="CZ15" s="1">
        <v>0.8</v>
      </c>
      <c r="DA15" s="2">
        <f t="shared" si="16"/>
        <v>0.19999999999999996</v>
      </c>
      <c r="DB15" s="1">
        <f>IF(('[1]フォームの回答 1'!BI15="いつもより寝つきは良い"),0,(IF(('[1]フォームの回答 1'!BI15="いつもより少し時間がかかった"),1,(IF(('[1]フォームの回答 1'!BI15="いつもよりかなり時間がかかった"),2,(IF(('[1]フォームの回答 1'!BI15="いつもより非常に時間がかかった、あるいは全く眠れなかった"),3,"")))))))</f>
        <v>0</v>
      </c>
      <c r="DC15" s="1">
        <f>IF(('[1]フォームの回答 1'!BJ15="問題になるほどのことはなかった"),0,(IF(('[1]フォームの回答 1'!BJ15="少し困ることがある"),1,(IF(('[1]フォームの回答 1'!BJ15="かなり困っている"),2,(IF(('[1]フォームの回答 1'!BJ15="深刻な状態、あるいは全く眠れなかった"),3,"")))))))</f>
        <v>0</v>
      </c>
      <c r="DD15" s="1">
        <f>IF(('[1]フォームの回答 1'!BK15="そのようなことはなかった"),0,(IF(('[1]フォームの回答 1'!BK15="少し早かった"),1,(IF(('[1]フォームの回答 1'!BK15="かなり早かった"),2,(IF(('[1]フォームの回答 1'!BK15="非常に早かった、あるいは全く眠れなかった"),3,"")))))))</f>
        <v>0</v>
      </c>
      <c r="DE15" s="1">
        <f>IF(('[1]フォームの回答 1'!BL15="十分である"),0,(IF(('[1]フォームの回答 1'!BL15="少し足りない"),1,(IF(('[1]フォームの回答 1'!BL15="かなり足りない"),2,(IF(('[1]フォームの回答 1'!BL15="全く足りない、あるいは全く眠れなかった"),3,"")))))))</f>
        <v>1</v>
      </c>
      <c r="DF15" s="1">
        <f>IF(('[1]フォームの回答 1'!BM15="満足している"),0,(IF(('[1]フォームの回答 1'!BM15="少し不満である"),1,(IF(('[1]フォームの回答 1'!BM15="かなり不満である"),2,(IF(('[1]フォームの回答 1'!BM15="非常に不満である、あるいは全く眠れなかった"),3,"")))))))</f>
        <v>0</v>
      </c>
      <c r="DG15" s="1">
        <f>IF(('[1]フォームの回答 1'!BN15="いつもどおり"),0,(IF(('[1]フォームの回答 1'!BN15="少し滅入った"),1,(IF(('[1]フォームの回答 1'!BN15="かなり滅入った"),2,(IF(('[1]フォームの回答 1'!BN15="非常に滅入った"),3,"")))))))</f>
        <v>1</v>
      </c>
      <c r="DH15" s="1">
        <f>IF(('[1]フォームの回答 1'!BO15="いつもどおり"),0,(IF(('[1]フォームの回答 1'!BO15="少し低下した"),1,(IF(('[1]フォームの回答 1'!BO15="かなり低下した"),2,(IF(('[1]フォームの回答 1'!BO15="非常に低下した"),3,"")))))))</f>
        <v>0</v>
      </c>
      <c r="DI15" s="1">
        <f>IF(('[1]フォームの回答 1'!BP15="全くなかった"),0,(IF(('[1]フォームの回答 1'!BP15="少しあった"),1,(IF(('[1]フォームの回答 1'!BP15="かなりあった"),2,(IF(('[1]フォームの回答 1'!BP15="激しかった"),3,"")))))))</f>
        <v>1</v>
      </c>
      <c r="DJ15">
        <f t="shared" si="44"/>
        <v>3</v>
      </c>
      <c r="DK15" s="4" t="str">
        <f t="shared" si="45"/>
        <v>低</v>
      </c>
      <c r="DL15" s="5">
        <v>5.4</v>
      </c>
      <c r="DM15" s="5">
        <v>24.8</v>
      </c>
      <c r="DN15" s="5">
        <v>32.5</v>
      </c>
      <c r="DO15" s="5">
        <v>62.7</v>
      </c>
      <c r="DP15" s="5"/>
      <c r="DQ15" s="5"/>
      <c r="DR15" s="43">
        <v>4.8159999999999998</v>
      </c>
      <c r="DS15" s="43">
        <v>389.76</v>
      </c>
      <c r="DT15" s="5">
        <v>1.24</v>
      </c>
      <c r="DU15" s="5">
        <v>62</v>
      </c>
      <c r="DV15" s="5" t="s">
        <v>115</v>
      </c>
    </row>
    <row r="16" spans="1:126" ht="14">
      <c r="A16" s="1">
        <v>306</v>
      </c>
      <c r="B16" s="24" t="s">
        <v>140</v>
      </c>
      <c r="C16" s="24">
        <v>36619</v>
      </c>
      <c r="D16" s="38">
        <f t="shared" si="17"/>
        <v>24</v>
      </c>
      <c r="E16" s="1">
        <f>IF(('[1]フォームの回答 1'!C16="そうだ"),1,(IF(('[1]フォームの回答 1'!C16="まぁそうだ"),2,(IF(('[1]フォームの回答 1'!C16="ややちがう"),3,(IF(('[1]フォームの回答 1'!C16="ちがう"),4,"")))))))</f>
        <v>3</v>
      </c>
      <c r="F16" s="1">
        <f>IF(('[1]フォームの回答 1'!D16="そうだ"),1,(IF(('[1]フォームの回答 1'!D16="まぁそうだ"),2,(IF(('[1]フォームの回答 1'!D16="ややちがう"),3,(IF(('[1]フォームの回答 1'!D16="ちがう"),4,"")))))))</f>
        <v>3</v>
      </c>
      <c r="G16" s="1">
        <f>IF(('[1]フォームの回答 1'!E16="そうだ"),1,(IF(('[1]フォームの回答 1'!E16="まぁそうだ"),2,(IF(('[1]フォームの回答 1'!E16="ややちがう"),3,(IF(('[1]フォームの回答 1'!E16="ちがう"),4,"")))))))</f>
        <v>1</v>
      </c>
      <c r="H16" s="1">
        <f>IF(('[1]フォームの回答 1'!F16="そうだ"),1,(IF(('[1]フォームの回答 1'!F16="まぁそうだ"),2,(IF(('[1]フォームの回答 1'!F16="ややちがう"),3,(IF(('[1]フォームの回答 1'!F16="ちがう"),4,"")))))))</f>
        <v>2</v>
      </c>
      <c r="I16" s="1">
        <f>IF(('[1]フォームの回答 1'!G16="そうだ"),1,(IF(('[1]フォームの回答 1'!G16="まぁそうだ"),2,(IF(('[1]フォームの回答 1'!G16="ややちがう"),3,(IF(('[1]フォームの回答 1'!G16="ちがう"),4,"")))))))</f>
        <v>2</v>
      </c>
      <c r="J16" s="1">
        <f>IF(('[1]フォームの回答 1'!H16="そうだ"),1,(IF(('[1]フォームの回答 1'!H16="まぁそうだ"),2,(IF(('[1]フォームの回答 1'!H16="ややちがう"),3,(IF(('[1]フォームの回答 1'!H16="ちがう"),4,"")))))))</f>
        <v>3</v>
      </c>
      <c r="K16" s="1">
        <f>IF(('[1]フォームの回答 1'!I16="そうだ"),1,(IF(('[1]フォームの回答 1'!I16="まぁそうだ"),2,(IF(('[1]フォームの回答 1'!I16="ややちがう"),3,(IF(('[1]フォームの回答 1'!I16="ちがう"),4,"")))))))</f>
        <v>3</v>
      </c>
      <c r="L16" s="1">
        <f>IF(('[1]フォームの回答 1'!J16="そうだ"),1,(IF(('[1]フォームの回答 1'!J16="まぁそうだ"),2,(IF(('[1]フォームの回答 1'!J16="ややちがう"),3,(IF(('[1]フォームの回答 1'!J16="ちがう"),4,"")))))))</f>
        <v>2</v>
      </c>
      <c r="M16" s="1">
        <f>IF(('[1]フォームの回答 1'!K16="そうだ"),1,(IF(('[1]フォームの回答 1'!K16="まぁそうだ"),2,(IF(('[1]フォームの回答 1'!K16="ややちがう"),3,(IF(('[1]フォームの回答 1'!K16="ちがう"),4,"")))))))</f>
        <v>2</v>
      </c>
      <c r="N16" s="1">
        <f>IF(('[1]フォームの回答 1'!L16="そうだ"),1,(IF(('[1]フォームの回答 1'!L16="まぁそうだ"),2,(IF(('[1]フォームの回答 1'!L16="ややちがう"),3,(IF(('[1]フォームの回答 1'!L16="ちがう"),4,"")))))))</f>
        <v>2</v>
      </c>
      <c r="O16" s="1">
        <f>IF(('[1]フォームの回答 1'!M16="そうだ"),1,(IF(('[1]フォームの回答 1'!M16="まぁそうだ"),2,(IF(('[1]フォームの回答 1'!M16="ややちがう"),3,(IF(('[1]フォームの回答 1'!M16="ちがう"),4,"")))))))</f>
        <v>4</v>
      </c>
      <c r="P16" s="1">
        <f>IF(('[1]フォームの回答 1'!N16="そうだ"),1,(IF(('[1]フォームの回答 1'!N16="まぁそうだ"),2,(IF(('[1]フォームの回答 1'!N16="ややちがう"),3,(IF(('[1]フォームの回答 1'!N16="ちがう"),4,"")))))))</f>
        <v>3</v>
      </c>
      <c r="Q16" s="1">
        <f>IF(('[1]フォームの回答 1'!O16="そうだ"),1,(IF(('[1]フォームの回答 1'!O16="まぁそうだ"),2,(IF(('[1]フォームの回答 1'!O16="ややちがう"),3,(IF(('[1]フォームの回答 1'!O16="ちがう"),4,"")))))))</f>
        <v>3</v>
      </c>
      <c r="R16" s="1">
        <f>IF(('[1]フォームの回答 1'!P16="そうだ"),1,(IF(('[1]フォームの回答 1'!P16="まぁそうだ"),2,(IF(('[1]フォームの回答 1'!P16="ややちがう"),3,(IF(('[1]フォームの回答 1'!P16="ちがう"),4,"")))))))</f>
        <v>3</v>
      </c>
      <c r="S16" s="1">
        <f>IF(('[1]フォームの回答 1'!Q16="そうだ"),1,(IF(('[1]フォームの回答 1'!Q16="まぁそうだ"),2,(IF(('[1]フォームの回答 1'!Q16="ややちがう"),3,(IF(('[1]フォームの回答 1'!Q16="ちがう"),4,"")))))))</f>
        <v>3</v>
      </c>
      <c r="T16" s="1">
        <f>IF(('[1]フォームの回答 1'!R16="そうだ"),1,(IF(('[1]フォームの回答 1'!R16="まぁそうだ"),2,(IF(('[1]フォームの回答 1'!R16="ややちがう"),3,(IF(('[1]フォームの回答 1'!R16="ちがう"),4,"")))))))</f>
        <v>2</v>
      </c>
      <c r="U16" s="1">
        <f>IF(('[1]フォームの回答 1'!S16="そうだ"),1,(IF(('[1]フォームの回答 1'!S16="まぁそうだ"),2,(IF(('[1]フォームの回答 1'!S16="ややちがう"),3,(IF(('[1]フォームの回答 1'!S16="ちがう"),4,"")))))))</f>
        <v>1</v>
      </c>
      <c r="V16" s="1">
        <f t="shared" si="18"/>
        <v>8</v>
      </c>
      <c r="W16" s="1">
        <f t="shared" si="0"/>
        <v>3</v>
      </c>
      <c r="X16" s="1">
        <f t="shared" si="19"/>
        <v>8</v>
      </c>
      <c r="Y16" s="1">
        <f t="shared" si="1"/>
        <v>3</v>
      </c>
      <c r="Z16" s="1">
        <f t="shared" si="20"/>
        <v>2</v>
      </c>
      <c r="AA16" s="1">
        <f t="shared" si="21"/>
        <v>3</v>
      </c>
      <c r="AB16" s="1">
        <f t="shared" si="22"/>
        <v>7</v>
      </c>
      <c r="AC16" s="1">
        <f t="shared" si="23"/>
        <v>3</v>
      </c>
      <c r="AD16" s="1">
        <f t="shared" si="24"/>
        <v>2</v>
      </c>
      <c r="AE16" s="1">
        <f t="shared" si="2"/>
        <v>3</v>
      </c>
      <c r="AF16" s="1">
        <f t="shared" si="25"/>
        <v>9</v>
      </c>
      <c r="AG16" s="1">
        <f t="shared" si="3"/>
        <v>2</v>
      </c>
      <c r="AH16" s="1">
        <f t="shared" si="26"/>
        <v>4</v>
      </c>
      <c r="AI16" s="1">
        <f t="shared" si="27"/>
        <v>2</v>
      </c>
      <c r="AJ16" s="1">
        <f t="shared" si="28"/>
        <v>3</v>
      </c>
      <c r="AK16" s="1">
        <f t="shared" si="29"/>
        <v>3</v>
      </c>
      <c r="AL16" s="1">
        <f t="shared" si="30"/>
        <v>4</v>
      </c>
      <c r="AM16" s="1">
        <f t="shared" si="31"/>
        <v>1</v>
      </c>
      <c r="AN16" s="1">
        <f>IF(('[1]フォームの回答 1'!T16="ほとんどなかった"),1,(IF(('[1]フォームの回答 1'!T16="ときどきあった"),2,(IF(('[1]フォームの回答 1'!T16="しばしばあった"),3,(IF(('[1]フォームの回答 1'!T16="ほとんどいつもあった"),4,"")))))))</f>
        <v>2</v>
      </c>
      <c r="AO16" s="1">
        <f>IF(('[1]フォームの回答 1'!U16="ほとんどなかった"),1,(IF(('[1]フォームの回答 1'!U16="ときどきあった"),2,(IF(('[1]フォームの回答 1'!U16="しばしばあった"),3,(IF(('[1]フォームの回答 1'!U16="ほとんどいつもあった"),4,"")))))))</f>
        <v>2</v>
      </c>
      <c r="AP16" s="1">
        <f>IF(('[1]フォームの回答 1'!V16="ほとんどなかった"),1,(IF(('[1]フォームの回答 1'!V16="ときどきあった"),2,(IF(('[1]フォームの回答 1'!V16="しばしばあった"),3,(IF(('[1]フォームの回答 1'!V16="ほとんどいつもあった"),4,"")))))))</f>
        <v>2</v>
      </c>
      <c r="AQ16" s="1">
        <f>IF(('[1]フォームの回答 1'!W16="ほとんどなかった"),1,(IF(('[1]フォームの回答 1'!W16="ときどきあった"),2,(IF(('[1]フォームの回答 1'!W16="しばしばあった"),3,(IF(('[1]フォームの回答 1'!W16="ほとんどいつもあった"),4,"")))))))</f>
        <v>2</v>
      </c>
      <c r="AR16" s="1">
        <f>IF(('[1]フォームの回答 1'!X16="ほとんどなかった"),1,(IF(('[1]フォームの回答 1'!X16="ときどきあった"),2,(IF(('[1]フォームの回答 1'!X16="しばしばあった"),3,(IF(('[1]フォームの回答 1'!X16="ほとんどいつもあった"),4,"")))))))</f>
        <v>2</v>
      </c>
      <c r="AS16" s="1">
        <f>IF(('[1]フォームの回答 1'!Y16="ほとんどなかった"),1,(IF(('[1]フォームの回答 1'!Y16="ときどきあった"),2,(IF(('[1]フォームの回答 1'!Y16="しばしばあった"),3,(IF(('[1]フォームの回答 1'!Y16="ほとんどいつもあった"),4,"")))))))</f>
        <v>2</v>
      </c>
      <c r="AT16" s="1">
        <f>IF(('[1]フォームの回答 1'!Z16="ほとんどなかった"),1,(IF(('[1]フォームの回答 1'!Z16="ときどきあった"),2,(IF(('[1]フォームの回答 1'!Z16="しばしばあった"),3,(IF(('[1]フォームの回答 1'!Z16="ほとんどいつもあった"),4,"")))))))</f>
        <v>2</v>
      </c>
      <c r="AU16" s="1">
        <f>IF(('[1]フォームの回答 1'!AA16="ほとんどなかった"),1,(IF(('[1]フォームの回答 1'!AA16="ときどきあった"),2,(IF(('[1]フォームの回答 1'!AA16="しばしばあった"),3,(IF(('[1]フォームの回答 1'!AA16="ほとんどいつもあった"),4,"")))))))</f>
        <v>2</v>
      </c>
      <c r="AV16" s="1">
        <f>IF(('[1]フォームの回答 1'!AB16="ほとんどなかった"),1,(IF(('[1]フォームの回答 1'!AB16="ときどきばあった"),2,(IF(('[1]フォームの回答 1'!AB16="しばしばあった"),3,(IF(('[1]フォームの回答 1'!AB16="ほとんどいつもあった"),4,"")))))))</f>
        <v>2</v>
      </c>
      <c r="AW16" s="1">
        <f>IF(('[1]フォームの回答 1'!AC16="ほとんどなかった"),1,(IF(('[1]フォームの回答 1'!AC16="ときどきあった"),2,(IF(('[1]フォームの回答 1'!AC16="しばしばあった"),3,(IF(('[1]フォームの回答 1'!AC16="ほとんどいつもあった"),4,"")))))))</f>
        <v>2</v>
      </c>
      <c r="AX16" s="1">
        <f>IF(('[1]フォームの回答 1'!AD16="ほとんどなかった"),1,(IF(('[1]フォームの回答 1'!AD16="ときどきあった"),2,(IF(('[1]フォームの回答 1'!AD16="しばしばあった"),3,(IF(('[1]フォームの回答 1'!AD16="ほとんどいつもあった"),4,"")))))))</f>
        <v>2</v>
      </c>
      <c r="AY16" s="1">
        <f>IF(('[1]フォームの回答 1'!AE16="ほとんどなかった"),1,(IF(('[1]フォームの回答 1'!AE16="ときどきあった"),2,(IF(('[1]フォームの回答 1'!AE16="しばしばあった"),3,(IF(('[1]フォームの回答 1'!AE16="ほとんどいつもあった"),4,"")))))))</f>
        <v>2</v>
      </c>
      <c r="AZ16" s="1">
        <f>IF(('[1]フォームの回答 1'!AF16="ほとんどなかった"),1,(IF(('[1]フォームの回答 1'!AF16="ときどきあった"),2,(IF(('[1]フォームの回答 1'!AF16="しばしばあった"),3,(IF(('[1]フォームの回答 1'!AF16="ほとんどいつもあった"),4,"")))))))</f>
        <v>2</v>
      </c>
      <c r="BA16" s="1">
        <f>IF(('[1]フォームの回答 1'!AG16="ほとんどなかった"),1,(IF(('[1]フォームの回答 1'!AG16="ときどきあった"),2,(IF(('[1]フォームの回答 1'!AG16="しばしばあった"),3,(IF(('[1]フォームの回答 1'!AG16="ほとんどいつもあった"),4,"")))))))</f>
        <v>1</v>
      </c>
      <c r="BB16" s="1">
        <f>IF(('[1]フォームの回答 1'!AH16="ほとんどなかった"),1,(IF(('[1]フォームの回答 1'!AH16="ときどきあった"),2,(IF(('[1]フォームの回答 1'!AH16="しばしばあった"),3,(IF(('[1]フォームの回答 1'!AH16="ほとんどいつもあった"),4,"")))))))</f>
        <v>2</v>
      </c>
      <c r="BC16" s="1">
        <f>IF(('[1]フォームの回答 1'!AI16="ほとんどなかった"),1,(IF(('[1]フォームの回答 1'!AI16="ときどきあった"),2,(IF(('[1]フォームの回答 1'!AI16="しばしばあった"),3,(IF(('[1]フォームの回答 1'!AI16="ほとんどいつもあった"),4,"")))))))</f>
        <v>1</v>
      </c>
      <c r="BD16" s="1">
        <f>IF(('[1]フォームの回答 1'!AJ16="ほとんどなかった"),1,(IF(('[1]フォームの回答 1'!AJ16="ときどきあった"),2,(IF(('[1]フォームの回答 1'!AJ16="しばしばあった"),3,(IF(('[1]フォームの回答 1'!AJ16="ほとんどいつもあった"),4,"")))))))</f>
        <v>1</v>
      </c>
      <c r="BE16" s="1">
        <f>IF(('[1]フォームの回答 1'!AK16="ほとんどなかった"),1,(IF(('[1]フォームの回答 1'!AK16="ときどきあった"),2,(IF(('[1]フォームの回答 1'!AK16="しばしばあった"),3,(IF(('[1]フォームの回答 1'!AK16="ほとんどいつもあった"),4,"")))))))</f>
        <v>1</v>
      </c>
      <c r="BF16" s="1">
        <f>IF(('[1]フォームの回答 1'!AL16="ほとんどなかった"),1,(IF(('[1]フォームの回答 1'!AL16="ときどきあった"),2,(IF(('[1]フォームの回答 1'!AL16="しばしばあった"),3,(IF(('[1]フォームの回答 1'!AL16="ほとんどいつもあった"),4,"")))))))</f>
        <v>1</v>
      </c>
      <c r="BG16" s="1">
        <f>IF(('[1]フォームの回答 1'!AM16="ほとんどなかった"),1,(IF(('[1]フォームの回答 1'!AM16="ときどきあった"),2,(IF(('[1]フォームの回答 1'!AM16="しばしばあった"),3,(IF(('[1]フォームの回答 1'!AM16="ほとんどいつもあった"),4,"")))))))</f>
        <v>2</v>
      </c>
      <c r="BH16" s="1">
        <f>IF(('[1]フォームの回答 1'!AN16="ほとんどなかった"),1,(IF(('[1]フォームの回答 1'!AN16="ときどきあった"),2,(IF(('[1]フォームの回答 1'!AN16="しばしばあった"),3,(IF(('[1]フォームの回答 1'!AN16="ほとんどいつもあった"),4,"")))))))</f>
        <v>3</v>
      </c>
      <c r="BI16" s="1">
        <f>IF(('[1]フォームの回答 1'!AO16="ほとんどなかった"),1,(IF(('[1]フォームの回答 1'!AO16="ときどきあった"),2,(IF(('[1]フォームの回答 1'!AO16="しばしばあった"),3,(IF(('[1]フォームの回答 1'!AO16="ほとんどいつもあった"),4,"")))))))</f>
        <v>3</v>
      </c>
      <c r="BJ16" s="1">
        <f>IF(('[1]フォームの回答 1'!AP16="ほとんどなかった"),1,(IF(('[1]フォームの回答 1'!AP16="ときどきあった"),2,(IF(('[1]フォームの回答 1'!AP16="しばしばあった"),3,(IF(('[1]フォームの回答 1'!AP16="ほとんどいつもあった"),4,"")))))))</f>
        <v>1</v>
      </c>
      <c r="BK16" s="1">
        <f>IF(('[1]フォームの回答 1'!AQ16="ほとんどなかった"),1,(IF(('[1]フォームの回答 1'!AQ16="ときどきあった"),2,(IF(('[1]フォームの回答 1'!AQ16="しばしばあった"),3,(IF(('[1]フォームの回答 1'!AQ16="ほとんどいつもあった"),4,"")))))))</f>
        <v>3</v>
      </c>
      <c r="BL16" s="1">
        <f>IF(('[1]フォームの回答 1'!AR16="ほとんどなかった"),1,(IF(('[1]フォームの回答 1'!AR16="ときどきあった"),2,(IF(('[1]フォームの回答 1'!AR16="しばしばあった"),3,(IF(('[1]フォームの回答 1'!AR16="ほとんどいつもあった"),4,"")))))))</f>
        <v>1</v>
      </c>
      <c r="BM16" s="1">
        <f>IF(('[1]フォームの回答 1'!AS16="ほとんどなかった"),1,(IF(('[1]フォームの回答 1'!AS16="ときどきあった"),2,(IF(('[1]フォームの回答 1'!AS16="しばしばあった"),3,(IF(('[1]フォームの回答 1'!AS16="ほとんどいつもあった"),4,"")))))))</f>
        <v>3</v>
      </c>
      <c r="BN16" s="1">
        <f>IF(('[1]フォームの回答 1'!AT16="ほとんどなかった"),1,(IF(('[1]フォームの回答 1'!AT16="ときどきあった"),2,(IF(('[1]フォームの回答 1'!AT16="しばしばあった"),3,(IF(('[1]フォームの回答 1'!AT16="ほとんどいつもあった"),4,"")))))))</f>
        <v>2</v>
      </c>
      <c r="BO16" s="1">
        <f>IF(('[1]フォームの回答 1'!AU16="ほとんどなかった"),1,(IF(('[1]フォームの回答 1'!AU16="ときどきあった"),2,(IF(('[1]フォームの回答 1'!AU16="しばしばあった"),3,(IF(('[1]フォームの回答 1'!AU16="ほとんどいつもあった"),4,"")))))))</f>
        <v>1</v>
      </c>
      <c r="BP16" s="1">
        <f>IF(('[1]フォームの回答 1'!AV16="ほとんどなかった"),1,(IF(('[1]フォームの回答 1'!AV16="ときどきあった"),2,(IF(('[1]フォームの回答 1'!AV16="しばしばあった"),3,(IF(('[1]フォームの回答 1'!AV16="ほとんどいつもあった"),4,"")))))))</f>
        <v>2</v>
      </c>
      <c r="BQ16" s="1">
        <f t="shared" si="32"/>
        <v>6</v>
      </c>
      <c r="BR16" s="1">
        <f t="shared" si="33"/>
        <v>3</v>
      </c>
      <c r="BS16" s="1">
        <f t="shared" si="34"/>
        <v>6</v>
      </c>
      <c r="BT16" s="1">
        <f t="shared" si="4"/>
        <v>3</v>
      </c>
      <c r="BU16" s="1">
        <f t="shared" si="5"/>
        <v>6</v>
      </c>
      <c r="BV16" s="1">
        <f t="shared" si="6"/>
        <v>3</v>
      </c>
      <c r="BW16" s="1">
        <f t="shared" si="35"/>
        <v>6</v>
      </c>
      <c r="BX16" s="1">
        <f t="shared" si="7"/>
        <v>3</v>
      </c>
      <c r="BY16" s="1">
        <f t="shared" si="36"/>
        <v>8</v>
      </c>
      <c r="BZ16" s="1">
        <f t="shared" si="8"/>
        <v>2</v>
      </c>
      <c r="CA16" s="1">
        <f t="shared" si="37"/>
        <v>22</v>
      </c>
      <c r="CB16" s="1">
        <f t="shared" si="9"/>
        <v>3</v>
      </c>
      <c r="CC16" s="1">
        <f>IF(('[1]フォームの回答 1'!AW16="非常に"),1,(IF(('[1]フォームの回答 1'!AW16="かなり"),2,(IF(('[1]フォームの回答 1'!AW16="多少"),3,(IF(('[1]フォームの回答 1'!AW16="全くない"),4,"")))))))</f>
        <v>3</v>
      </c>
      <c r="CD16" s="1">
        <f>IF(('[1]フォームの回答 1'!AX16="非常に"),1,(IF(('[1]フォームの回答 1'!AX16="かなり"),2,(IF(('[1]フォームの回答 1'!AX16="多少"),3,(IF(('[1]フォームの回答 1'!AX16="全くない"),4,"")))))))</f>
        <v>3</v>
      </c>
      <c r="CE16" s="1">
        <f>IF(('[1]フォームの回答 1'!AY16="非常に"),1,(IF(('[1]フォームの回答 1'!AY16="かなり"),2,(IF(('[1]フォームの回答 1'!AY16="多少"),3,(IF(('[1]フォームの回答 1'!AY16="全くない"),4,"")))))))</f>
        <v>2</v>
      </c>
      <c r="CF16" s="1">
        <f>IF(('[1]フォームの回答 1'!AZ16="非常に"),1,(IF(('[1]フォームの回答 1'!AZ16="かなり"),2,(IF(('[1]フォームの回答 1'!AZ16="多少"),3,(IF(('[1]フォームの回答 1'!AZ16="全くない"),4,"")))))))</f>
        <v>1</v>
      </c>
      <c r="CG16" s="1">
        <f>IF(('[1]フォームの回答 1'!BA16="非常に"),1,(IF(('[1]フォームの回答 1'!BA16="かなり"),2,(IF(('[1]フォームの回答 1'!BA16="多少"),3,(IF(('[1]フォームの回答 1'!BA16="全くない"),4,"")))))))</f>
        <v>1</v>
      </c>
      <c r="CH16" s="1">
        <f>IF(('[1]フォームの回答 1'!BB16="非常に"),1,(IF(('[1]フォームの回答 1'!BB16="かなり"),2,(IF(('[1]フォームの回答 1'!BB16="多少"),3,(IF(('[1]フォームの回答 1'!BB16="全くない"),4,"")))))))</f>
        <v>1</v>
      </c>
      <c r="CI16" s="1">
        <f>IF(('[1]フォームの回答 1'!BC16="非常に"),1,(IF(('[1]フォームの回答 1'!BC16="かなり"),2,(IF(('[1]フォームの回答 1'!BC16="多少"),3,(IF(('[1]フォームの回答 1'!BC16="全くない"),4,"")))))))</f>
        <v>2</v>
      </c>
      <c r="CJ16" s="1">
        <f>IF(('[1]フォームの回答 1'!BD16="非常に"),1,(IF(('[1]フォームの回答 1'!BD16="かなり"),2,(IF(('[1]フォームの回答 1'!BD16="多少"),3,(IF(('[1]フォームの回答 1'!BD16="全くない"),4,"")))))))</f>
        <v>2</v>
      </c>
      <c r="CK16" s="1">
        <f>IF(('[1]フォームの回答 1'!BE16="非常に"),1,(IF(('[1]フォームの回答 1'!BE16="かなり"),2,(IF(('[1]フォームの回答 1'!BE16="多少"),3,(IF(('[1]フォームの回答 1'!BE16="全くない"),4,"")))))))</f>
        <v>2</v>
      </c>
      <c r="CL16" s="1">
        <f>IF(('[1]フォームの回答 1'!BF16="満足"),1,(IF(('[1]フォームの回答 1'!BF16="まぁ満足"),2,(IF(('[1]フォームの回答 1'!BF16="やや満足"),3,(IF(('[1]フォームの回答 1'!BF16="不満足"),4,"")))))))</f>
        <v>2</v>
      </c>
      <c r="CM16" s="1">
        <f>IF(('[1]フォームの回答 1'!BG16="満足"),1,(IF(('[1]フォームの回答 1'!BG16="まぁ満足"),2,(IF(('[1]フォームの回答 1'!BG16="やや満足"),3,(IF(('[1]フォームの回答 1'!BG16="不満足"),4,"")))))))</f>
        <v>2</v>
      </c>
      <c r="CN16" s="1">
        <f t="shared" si="38"/>
        <v>9</v>
      </c>
      <c r="CO16" s="1">
        <f t="shared" si="10"/>
        <v>2</v>
      </c>
      <c r="CP16" s="1">
        <f t="shared" si="39"/>
        <v>9</v>
      </c>
      <c r="CQ16" s="1">
        <f t="shared" si="11"/>
        <v>3</v>
      </c>
      <c r="CR16" s="1">
        <f t="shared" si="40"/>
        <v>10</v>
      </c>
      <c r="CS16" s="1">
        <f t="shared" si="41"/>
        <v>2</v>
      </c>
      <c r="CT16" s="1">
        <f t="shared" si="42"/>
        <v>6</v>
      </c>
      <c r="CU16" s="1">
        <f t="shared" si="12"/>
        <v>3</v>
      </c>
      <c r="CV16" s="1">
        <f t="shared" si="13"/>
        <v>17</v>
      </c>
      <c r="CW16" s="1">
        <f t="shared" si="14"/>
        <v>23</v>
      </c>
      <c r="CX16" s="1">
        <f t="shared" si="15"/>
        <v>7</v>
      </c>
      <c r="CY16" s="29" t="str">
        <f t="shared" si="43"/>
        <v>低</v>
      </c>
      <c r="CZ16" s="63">
        <v>0.8</v>
      </c>
      <c r="DA16" s="2">
        <f t="shared" si="16"/>
        <v>0.19999999999999996</v>
      </c>
      <c r="DB16" s="1">
        <f>IF(('[1]フォームの回答 1'!BI16="いつもより寝つきは良い"),0,(IF(('[1]フォームの回答 1'!BI16="いつもより少し時間がかかった"),1,(IF(('[1]フォームの回答 1'!BI16="いつもよりかなり時間がかかった"),2,(IF(('[1]フォームの回答 1'!BI16="いつもより非常に時間がかかった、あるいは全く眠れなかった"),3,"")))))))</f>
        <v>1</v>
      </c>
      <c r="DC16" s="1">
        <f>IF(('[1]フォームの回答 1'!BJ16="問題になるほどのことはなかった"),0,(IF(('[1]フォームの回答 1'!BJ16="少し困ることがある"),1,(IF(('[1]フォームの回答 1'!BJ16="かなり困っている"),2,(IF(('[1]フォームの回答 1'!BJ16="深刻な状態、あるいは全く眠れなかった"),3,"")))))))</f>
        <v>1</v>
      </c>
      <c r="DD16" s="1">
        <f>IF(('[1]フォームの回答 1'!BK16="そのようなことはなかった"),0,(IF(('[1]フォームの回答 1'!BK16="少し早かった"),1,(IF(('[1]フォームの回答 1'!BK16="かなり早かった"),2,(IF(('[1]フォームの回答 1'!BK16="非常に早かった、あるいは全く眠れなかった"),3,"")))))))</f>
        <v>0</v>
      </c>
      <c r="DE16" s="1">
        <f>IF(('[1]フォームの回答 1'!BL16="十分である"),0,(IF(('[1]フォームの回答 1'!BL16="少し足りない"),1,(IF(('[1]フォームの回答 1'!BL16="かなり足りない"),2,(IF(('[1]フォームの回答 1'!BL16="全く足りない、あるいは全く眠れなかった"),3,"")))))))</f>
        <v>1</v>
      </c>
      <c r="DF16" s="1">
        <f>IF(('[1]フォームの回答 1'!BM16="満足している"),0,(IF(('[1]フォームの回答 1'!BM16="少し不満である"),1,(IF(('[1]フォームの回答 1'!BM16="かなり不満である"),2,(IF(('[1]フォームの回答 1'!BM16="非常に不満である、あるいは全く眠れなかった"),3,"")))))))</f>
        <v>1</v>
      </c>
      <c r="DG16" s="1">
        <f>IF(('[1]フォームの回答 1'!BN16="いつもどおり"),0,(IF(('[1]フォームの回答 1'!BN16="少し滅入った"),1,(IF(('[1]フォームの回答 1'!BN16="かなり滅入った"),2,(IF(('[1]フォームの回答 1'!BN16="非常に滅入った"),3,"")))))))</f>
        <v>1</v>
      </c>
      <c r="DH16" s="1">
        <f>IF(('[1]フォームの回答 1'!BO16="いつもどおり"),0,(IF(('[1]フォームの回答 1'!BO16="少し低下した"),1,(IF(('[1]フォームの回答 1'!BO16="かなり低下した"),2,(IF(('[1]フォームの回答 1'!BO16="非常に低下した"),3,"")))))))</f>
        <v>1</v>
      </c>
      <c r="DI16" s="1">
        <f>IF(('[1]フォームの回答 1'!BP16="全くなかった"),0,(IF(('[1]フォームの回答 1'!BP16="少しあった"),1,(IF(('[1]フォームの回答 1'!BP16="かなりあった"),2,(IF(('[1]フォームの回答 1'!BP16="激しかった"),3,"")))))))</f>
        <v>2</v>
      </c>
      <c r="DJ16">
        <f t="shared" si="44"/>
        <v>8</v>
      </c>
      <c r="DK16" s="4" t="str">
        <f t="shared" si="45"/>
        <v>高</v>
      </c>
      <c r="DL16" s="5">
        <v>2</v>
      </c>
      <c r="DM16" s="5">
        <v>3.7</v>
      </c>
      <c r="DN16" s="5">
        <v>3.7</v>
      </c>
      <c r="DO16" s="5">
        <v>9.4</v>
      </c>
      <c r="DP16" s="5" t="s">
        <v>203</v>
      </c>
      <c r="DQ16" s="5"/>
      <c r="DR16" s="43">
        <v>0.82</v>
      </c>
      <c r="DS16" s="43">
        <v>129.65</v>
      </c>
      <c r="DT16" s="5">
        <v>0.63</v>
      </c>
      <c r="DU16" s="5">
        <v>32</v>
      </c>
      <c r="DV16" s="5" t="s">
        <v>115</v>
      </c>
    </row>
    <row r="17" spans="1:126" ht="14">
      <c r="A17" s="1">
        <v>307</v>
      </c>
      <c r="B17" s="24" t="s">
        <v>139</v>
      </c>
      <c r="C17" s="24">
        <v>25799</v>
      </c>
      <c r="D17" s="38">
        <f t="shared" si="17"/>
        <v>53</v>
      </c>
      <c r="E17" s="1">
        <f>IF(('[1]フォームの回答 1'!C17="そうだ"),1,(IF(('[1]フォームの回答 1'!C17="まぁそうだ"),2,(IF(('[1]フォームの回答 1'!C17="ややちがう"),3,(IF(('[1]フォームの回答 1'!C17="ちがう"),4,"")))))))</f>
        <v>3</v>
      </c>
      <c r="F17" s="1">
        <f>IF(('[1]フォームの回答 1'!D17="そうだ"),1,(IF(('[1]フォームの回答 1'!D17="まぁそうだ"),2,(IF(('[1]フォームの回答 1'!D17="ややちがう"),3,(IF(('[1]フォームの回答 1'!D17="ちがう"),4,"")))))))</f>
        <v>3</v>
      </c>
      <c r="G17" s="1">
        <f>IF(('[1]フォームの回答 1'!E17="そうだ"),1,(IF(('[1]フォームの回答 1'!E17="まぁそうだ"),2,(IF(('[1]フォームの回答 1'!E17="ややちがう"),3,(IF(('[1]フォームの回答 1'!E17="ちがう"),4,"")))))))</f>
        <v>2</v>
      </c>
      <c r="H17" s="1">
        <f>IF(('[1]フォームの回答 1'!F17="そうだ"),1,(IF(('[1]フォームの回答 1'!F17="まぁそうだ"),2,(IF(('[1]フォームの回答 1'!F17="ややちがう"),3,(IF(('[1]フォームの回答 1'!F17="ちがう"),4,"")))))))</f>
        <v>3</v>
      </c>
      <c r="I17" s="1">
        <f>IF(('[1]フォームの回答 1'!G17="そうだ"),1,(IF(('[1]フォームの回答 1'!G17="まぁそうだ"),2,(IF(('[1]フォームの回答 1'!G17="ややちがう"),3,(IF(('[1]フォームの回答 1'!G17="ちがう"),4,"")))))))</f>
        <v>2</v>
      </c>
      <c r="J17" s="1">
        <f>IF(('[1]フォームの回答 1'!H17="そうだ"),1,(IF(('[1]フォームの回答 1'!H17="まぁそうだ"),2,(IF(('[1]フォームの回答 1'!H17="ややちがう"),3,(IF(('[1]フォームの回答 1'!H17="ちがう"),4,"")))))))</f>
        <v>2</v>
      </c>
      <c r="K17" s="1">
        <f>IF(('[1]フォームの回答 1'!I17="そうだ"),1,(IF(('[1]フォームの回答 1'!I17="まぁそうだ"),2,(IF(('[1]フォームの回答 1'!I17="ややちがう"),3,(IF(('[1]フォームの回答 1'!I17="ちがう"),4,"")))))))</f>
        <v>3</v>
      </c>
      <c r="L17" s="1">
        <f>IF(('[1]フォームの回答 1'!J17="そうだ"),1,(IF(('[1]フォームの回答 1'!J17="まぁそうだ"),2,(IF(('[1]フォームの回答 1'!J17="ややちがう"),3,(IF(('[1]フォームの回答 1'!J17="ちがう"),4,"")))))))</f>
        <v>2</v>
      </c>
      <c r="M17" s="1">
        <f>IF(('[1]フォームの回答 1'!K17="そうだ"),1,(IF(('[1]フォームの回答 1'!K17="まぁそうだ"),2,(IF(('[1]フォームの回答 1'!K17="ややちがう"),3,(IF(('[1]フォームの回答 1'!K17="ちがう"),4,"")))))))</f>
        <v>2</v>
      </c>
      <c r="N17" s="1">
        <f>IF(('[1]フォームの回答 1'!L17="そうだ"),1,(IF(('[1]フォームの回答 1'!L17="まぁそうだ"),2,(IF(('[1]フォームの回答 1'!L17="ややちがう"),3,(IF(('[1]フォームの回答 1'!L17="ちがう"),4,"")))))))</f>
        <v>2</v>
      </c>
      <c r="O17" s="1">
        <f>IF(('[1]フォームの回答 1'!M17="そうだ"),1,(IF(('[1]フォームの回答 1'!M17="まぁそうだ"),2,(IF(('[1]フォームの回答 1'!M17="ややちがう"),3,(IF(('[1]フォームの回答 1'!M17="ちがう"),4,"")))))))</f>
        <v>2</v>
      </c>
      <c r="P17" s="1">
        <f>IF(('[1]フォームの回答 1'!N17="そうだ"),1,(IF(('[1]フォームの回答 1'!N17="まぁそうだ"),2,(IF(('[1]フォームの回答 1'!N17="ややちがう"),3,(IF(('[1]フォームの回答 1'!N17="ちがう"),4,"")))))))</f>
        <v>3</v>
      </c>
      <c r="Q17" s="1">
        <f>IF(('[1]フォームの回答 1'!O17="そうだ"),1,(IF(('[1]フォームの回答 1'!O17="まぁそうだ"),2,(IF(('[1]フォームの回答 1'!O17="ややちがう"),3,(IF(('[1]フォームの回答 1'!O17="ちがう"),4,"")))))))</f>
        <v>3</v>
      </c>
      <c r="R17" s="1">
        <f>IF(('[1]フォームの回答 1'!P17="そうだ"),1,(IF(('[1]フォームの回答 1'!P17="まぁそうだ"),2,(IF(('[1]フォームの回答 1'!P17="ややちがう"),3,(IF(('[1]フォームの回答 1'!P17="ちがう"),4,"")))))))</f>
        <v>2</v>
      </c>
      <c r="S17" s="1">
        <f>IF(('[1]フォームの回答 1'!Q17="そうだ"),1,(IF(('[1]フォームの回答 1'!Q17="まぁそうだ"),2,(IF(('[1]フォームの回答 1'!Q17="ややちがう"),3,(IF(('[1]フォームの回答 1'!Q17="ちがう"),4,"")))))))</f>
        <v>4</v>
      </c>
      <c r="T17" s="1">
        <f>IF(('[1]フォームの回答 1'!R17="そうだ"),1,(IF(('[1]フォームの回答 1'!R17="まぁそうだ"),2,(IF(('[1]フォームの回答 1'!R17="ややちがう"),3,(IF(('[1]フォームの回答 1'!R17="ちがう"),4,"")))))))</f>
        <v>3</v>
      </c>
      <c r="U17" s="1">
        <f>IF(('[1]フォームの回答 1'!S17="そうだ"),1,(IF(('[1]フォームの回答 1'!S17="まぁそうだ"),2,(IF(('[1]フォームの回答 1'!S17="ややちがう"),3,(IF(('[1]フォームの回答 1'!S17="ちがう"),4,"")))))))</f>
        <v>2</v>
      </c>
      <c r="V17" s="1">
        <f t="shared" si="18"/>
        <v>7</v>
      </c>
      <c r="W17" s="1">
        <f t="shared" si="0"/>
        <v>2</v>
      </c>
      <c r="X17" s="1">
        <f t="shared" si="19"/>
        <v>8</v>
      </c>
      <c r="Y17" s="1">
        <f t="shared" si="1"/>
        <v>3</v>
      </c>
      <c r="Z17" s="1">
        <f t="shared" si="20"/>
        <v>2</v>
      </c>
      <c r="AA17" s="1">
        <f t="shared" si="21"/>
        <v>3</v>
      </c>
      <c r="AB17" s="1">
        <f t="shared" si="22"/>
        <v>6</v>
      </c>
      <c r="AC17" s="1">
        <f t="shared" si="23"/>
        <v>3</v>
      </c>
      <c r="AD17" s="1">
        <f t="shared" si="24"/>
        <v>1</v>
      </c>
      <c r="AE17" s="1">
        <f t="shared" si="2"/>
        <v>2</v>
      </c>
      <c r="AF17" s="1">
        <f t="shared" si="25"/>
        <v>9</v>
      </c>
      <c r="AG17" s="1">
        <f t="shared" si="3"/>
        <v>2</v>
      </c>
      <c r="AH17" s="1">
        <f t="shared" si="26"/>
        <v>2</v>
      </c>
      <c r="AI17" s="1">
        <f t="shared" si="27"/>
        <v>4</v>
      </c>
      <c r="AJ17" s="1">
        <f t="shared" si="28"/>
        <v>2</v>
      </c>
      <c r="AK17" s="1">
        <f t="shared" si="29"/>
        <v>4</v>
      </c>
      <c r="AL17" s="1">
        <f t="shared" si="30"/>
        <v>3</v>
      </c>
      <c r="AM17" s="1">
        <f t="shared" si="31"/>
        <v>3</v>
      </c>
      <c r="AN17" s="1">
        <f>IF(('[1]フォームの回答 1'!T17="ほとんどなかった"),1,(IF(('[1]フォームの回答 1'!T17="ときどきあった"),2,(IF(('[1]フォームの回答 1'!T17="しばしばあった"),3,(IF(('[1]フォームの回答 1'!T17="ほとんどいつもあった"),4,"")))))))</f>
        <v>2</v>
      </c>
      <c r="AO17" s="1">
        <f>IF(('[1]フォームの回答 1'!U17="ほとんどなかった"),1,(IF(('[1]フォームの回答 1'!U17="ときどきあった"),2,(IF(('[1]フォームの回答 1'!U17="しばしばあった"),3,(IF(('[1]フォームの回答 1'!U17="ほとんどいつもあった"),4,"")))))))</f>
        <v>2</v>
      </c>
      <c r="AP17" s="1">
        <f>IF(('[1]フォームの回答 1'!V17="ほとんどなかった"),1,(IF(('[1]フォームの回答 1'!V17="ときどきあった"),2,(IF(('[1]フォームの回答 1'!V17="しばしばあった"),3,(IF(('[1]フォームの回答 1'!V17="ほとんどいつもあった"),4,"")))))))</f>
        <v>2</v>
      </c>
      <c r="AQ17" s="1">
        <f>IF(('[1]フォームの回答 1'!W17="ほとんどなかった"),1,(IF(('[1]フォームの回答 1'!W17="ときどきあった"),2,(IF(('[1]フォームの回答 1'!W17="しばしばあった"),3,(IF(('[1]フォームの回答 1'!W17="ほとんどいつもあった"),4,"")))))))</f>
        <v>1</v>
      </c>
      <c r="AR17" s="1">
        <f>IF(('[1]フォームの回答 1'!X17="ほとんどなかった"),1,(IF(('[1]フォームの回答 1'!X17="ときどきあった"),2,(IF(('[1]フォームの回答 1'!X17="しばしばあった"),3,(IF(('[1]フォームの回答 1'!X17="ほとんどいつもあった"),4,"")))))))</f>
        <v>1</v>
      </c>
      <c r="AS17" s="1">
        <f>IF(('[1]フォームの回答 1'!Y17="ほとんどなかった"),1,(IF(('[1]フォームの回答 1'!Y17="ときどきあった"),2,(IF(('[1]フォームの回答 1'!Y17="しばしばあった"),3,(IF(('[1]フォームの回答 1'!Y17="ほとんどいつもあった"),4,"")))))))</f>
        <v>2</v>
      </c>
      <c r="AT17" s="1">
        <f>IF(('[1]フォームの回答 1'!Z17="ほとんどなかった"),1,(IF(('[1]フォームの回答 1'!Z17="ときどきあった"),2,(IF(('[1]フォームの回答 1'!Z17="しばしばあった"),3,(IF(('[1]フォームの回答 1'!Z17="ほとんどいつもあった"),4,"")))))))</f>
        <v>1</v>
      </c>
      <c r="AU17" s="1">
        <f>IF(('[1]フォームの回答 1'!AA17="ほとんどなかった"),1,(IF(('[1]フォームの回答 1'!AA17="ときどきあった"),2,(IF(('[1]フォームの回答 1'!AA17="しばしばあった"),3,(IF(('[1]フォームの回答 1'!AA17="ほとんどいつもあった"),4,"")))))))</f>
        <v>1</v>
      </c>
      <c r="AV17" s="1">
        <f>IF(('[1]フォームの回答 1'!AB17="ほとんどなかった"),1,(IF(('[1]フォームの回答 1'!AB17="ときどきばあった"),2,(IF(('[1]フォームの回答 1'!AB17="しばしばあった"),3,(IF(('[1]フォームの回答 1'!AB17="ほとんどいつもあった"),4,"")))))))</f>
        <v>2</v>
      </c>
      <c r="AW17" s="1">
        <f>IF(('[1]フォームの回答 1'!AC17="ほとんどなかった"),1,(IF(('[1]フォームの回答 1'!AC17="ときどきあった"),2,(IF(('[1]フォームの回答 1'!AC17="しばしばあった"),3,(IF(('[1]フォームの回答 1'!AC17="ほとんどいつもあった"),4,"")))))))</f>
        <v>1</v>
      </c>
      <c r="AX17" s="1">
        <f>IF(('[1]フォームの回答 1'!AD17="ほとんどなかった"),1,(IF(('[1]フォームの回答 1'!AD17="ときどきあった"),2,(IF(('[1]フォームの回答 1'!AD17="しばしばあった"),3,(IF(('[1]フォームの回答 1'!AD17="ほとんどいつもあった"),4,"")))))))</f>
        <v>1</v>
      </c>
      <c r="AY17" s="1">
        <f>IF(('[1]フォームの回答 1'!AE17="ほとんどなかった"),1,(IF(('[1]フォームの回答 1'!AE17="ときどきあった"),2,(IF(('[1]フォームの回答 1'!AE17="しばしばあった"),3,(IF(('[1]フォームの回答 1'!AE17="ほとんどいつもあった"),4,"")))))))</f>
        <v>2</v>
      </c>
      <c r="AZ17" s="1">
        <f>IF(('[1]フォームの回答 1'!AF17="ほとんどなかった"),1,(IF(('[1]フォームの回答 1'!AF17="ときどきあった"),2,(IF(('[1]フォームの回答 1'!AF17="しばしばあった"),3,(IF(('[1]フォームの回答 1'!AF17="ほとんどいつもあった"),4,"")))))))</f>
        <v>1</v>
      </c>
      <c r="BA17" s="1">
        <f>IF(('[1]フォームの回答 1'!AG17="ほとんどなかった"),1,(IF(('[1]フォームの回答 1'!AG17="ときどきあった"),2,(IF(('[1]フォームの回答 1'!AG17="しばしばあった"),3,(IF(('[1]フォームの回答 1'!AG17="ほとんどいつもあった"),4,"")))))))</f>
        <v>2</v>
      </c>
      <c r="BB17" s="1">
        <f>IF(('[1]フォームの回答 1'!AH17="ほとんどなかった"),1,(IF(('[1]フォームの回答 1'!AH17="ときどきあった"),2,(IF(('[1]フォームの回答 1'!AH17="しばしばあった"),3,(IF(('[1]フォームの回答 1'!AH17="ほとんどいつもあった"),4,"")))))))</f>
        <v>2</v>
      </c>
      <c r="BC17" s="1">
        <f>IF(('[1]フォームの回答 1'!AI17="ほとんどなかった"),1,(IF(('[1]フォームの回答 1'!AI17="ときどきあった"),2,(IF(('[1]フォームの回答 1'!AI17="しばしばあった"),3,(IF(('[1]フォームの回答 1'!AI17="ほとんどいつもあった"),4,"")))))))</f>
        <v>1</v>
      </c>
      <c r="BD17" s="1">
        <f>IF(('[1]フォームの回答 1'!AJ17="ほとんどなかった"),1,(IF(('[1]フォームの回答 1'!AJ17="ときどきあった"),2,(IF(('[1]フォームの回答 1'!AJ17="しばしばあった"),3,(IF(('[1]フォームの回答 1'!AJ17="ほとんどいつもあった"),4,"")))))))</f>
        <v>2</v>
      </c>
      <c r="BE17" s="1">
        <f>IF(('[1]フォームの回答 1'!AK17="ほとんどなかった"),1,(IF(('[1]フォームの回答 1'!AK17="ときどきあった"),2,(IF(('[1]フォームの回答 1'!AK17="しばしばあった"),3,(IF(('[1]フォームの回答 1'!AK17="ほとんどいつもあった"),4,"")))))))</f>
        <v>1</v>
      </c>
      <c r="BF17" s="1">
        <f>IF(('[1]フォームの回答 1'!AL17="ほとんどなかった"),1,(IF(('[1]フォームの回答 1'!AL17="ときどきあった"),2,(IF(('[1]フォームの回答 1'!AL17="しばしばあった"),3,(IF(('[1]フォームの回答 1'!AL17="ほとんどいつもあった"),4,"")))))))</f>
        <v>1</v>
      </c>
      <c r="BG17" s="1">
        <f>IF(('[1]フォームの回答 1'!AM17="ほとんどなかった"),1,(IF(('[1]フォームの回答 1'!AM17="ときどきあった"),2,(IF(('[1]フォームの回答 1'!AM17="しばしばあった"),3,(IF(('[1]フォームの回答 1'!AM17="ほとんどいつもあった"),4,"")))))))</f>
        <v>1</v>
      </c>
      <c r="BH17" s="1">
        <f>IF(('[1]フォームの回答 1'!AN17="ほとんどなかった"),1,(IF(('[1]フォームの回答 1'!AN17="ときどきあった"),2,(IF(('[1]フォームの回答 1'!AN17="しばしばあった"),3,(IF(('[1]フォームの回答 1'!AN17="ほとんどいつもあった"),4,"")))))))</f>
        <v>1</v>
      </c>
      <c r="BI17" s="1">
        <f>IF(('[1]フォームの回答 1'!AO17="ほとんどなかった"),1,(IF(('[1]フォームの回答 1'!AO17="ときどきあった"),2,(IF(('[1]フォームの回答 1'!AO17="しばしばあった"),3,(IF(('[1]フォームの回答 1'!AO17="ほとんどいつもあった"),4,"")))))))</f>
        <v>1</v>
      </c>
      <c r="BJ17" s="1">
        <f>IF(('[1]フォームの回答 1'!AP17="ほとんどなかった"),1,(IF(('[1]フォームの回答 1'!AP17="ときどきあった"),2,(IF(('[1]フォームの回答 1'!AP17="しばしばあった"),3,(IF(('[1]フォームの回答 1'!AP17="ほとんどいつもあった"),4,"")))))))</f>
        <v>1</v>
      </c>
      <c r="BK17" s="1">
        <f>IF(('[1]フォームの回答 1'!AQ17="ほとんどなかった"),1,(IF(('[1]フォームの回答 1'!AQ17="ときどきあった"),2,(IF(('[1]フォームの回答 1'!AQ17="しばしばあった"),3,(IF(('[1]フォームの回答 1'!AQ17="ほとんどいつもあった"),4,"")))))))</f>
        <v>2</v>
      </c>
      <c r="BL17" s="1">
        <f>IF(('[1]フォームの回答 1'!AR17="ほとんどなかった"),1,(IF(('[1]フォームの回答 1'!AR17="ときどきあった"),2,(IF(('[1]フォームの回答 1'!AR17="しばしばあった"),3,(IF(('[1]フォームの回答 1'!AR17="ほとんどいつもあった"),4,"")))))))</f>
        <v>1</v>
      </c>
      <c r="BM17" s="1">
        <f>IF(('[1]フォームの回答 1'!AS17="ほとんどなかった"),1,(IF(('[1]フォームの回答 1'!AS17="ときどきあった"),2,(IF(('[1]フォームの回答 1'!AS17="しばしばあった"),3,(IF(('[1]フォームの回答 1'!AS17="ほとんどいつもあった"),4,"")))))))</f>
        <v>1</v>
      </c>
      <c r="BN17" s="1">
        <f>IF(('[1]フォームの回答 1'!AT17="ほとんどなかった"),1,(IF(('[1]フォームの回答 1'!AT17="ときどきあった"),2,(IF(('[1]フォームの回答 1'!AT17="しばしばあった"),3,(IF(('[1]フォームの回答 1'!AT17="ほとんどいつもあった"),4,"")))))))</f>
        <v>1</v>
      </c>
      <c r="BO17" s="1">
        <f>IF(('[1]フォームの回答 1'!AU17="ほとんどなかった"),1,(IF(('[1]フォームの回答 1'!AU17="ときどきあった"),2,(IF(('[1]フォームの回答 1'!AU17="しばしばあった"),3,(IF(('[1]フォームの回答 1'!AU17="ほとんどいつもあった"),4,"")))))))</f>
        <v>1</v>
      </c>
      <c r="BP17" s="1">
        <f>IF(('[1]フォームの回答 1'!AV17="ほとんどなかった"),1,(IF(('[1]フォームの回答 1'!AV17="ときどきあった"),2,(IF(('[1]フォームの回答 1'!AV17="しばしばあった"),3,(IF(('[1]フォームの回答 1'!AV17="ほとんどいつもあった"),4,"")))))))</f>
        <v>1</v>
      </c>
      <c r="BQ17" s="1">
        <f t="shared" si="32"/>
        <v>6</v>
      </c>
      <c r="BR17" s="1">
        <f t="shared" si="33"/>
        <v>3</v>
      </c>
      <c r="BS17" s="1">
        <f t="shared" si="34"/>
        <v>4</v>
      </c>
      <c r="BT17" s="1">
        <f t="shared" si="4"/>
        <v>2</v>
      </c>
      <c r="BU17" s="1">
        <f t="shared" si="5"/>
        <v>4</v>
      </c>
      <c r="BV17" s="1">
        <f t="shared" si="6"/>
        <v>2</v>
      </c>
      <c r="BW17" s="1">
        <f t="shared" si="35"/>
        <v>4</v>
      </c>
      <c r="BX17" s="1">
        <f t="shared" si="7"/>
        <v>2</v>
      </c>
      <c r="BY17" s="1">
        <f t="shared" si="36"/>
        <v>9</v>
      </c>
      <c r="BZ17" s="1">
        <f t="shared" si="8"/>
        <v>3</v>
      </c>
      <c r="CA17" s="1">
        <f t="shared" si="37"/>
        <v>12</v>
      </c>
      <c r="CB17" s="1">
        <f t="shared" si="9"/>
        <v>2</v>
      </c>
      <c r="CC17" s="1">
        <f>IF(('[1]フォームの回答 1'!AW17="非常に"),1,(IF(('[1]フォームの回答 1'!AW17="かなり"),2,(IF(('[1]フォームの回答 1'!AW17="多少"),3,(IF(('[1]フォームの回答 1'!AW17="全くない"),4,"")))))))</f>
        <v>3</v>
      </c>
      <c r="CD17" s="1">
        <f>IF(('[1]フォームの回答 1'!AX17="非常に"),1,(IF(('[1]フォームの回答 1'!AX17="かなり"),2,(IF(('[1]フォームの回答 1'!AX17="多少"),3,(IF(('[1]フォームの回答 1'!AX17="全くない"),4,"")))))))</f>
        <v>3</v>
      </c>
      <c r="CE17" s="1">
        <f>IF(('[1]フォームの回答 1'!AY17="非常に"),1,(IF(('[1]フォームの回答 1'!AY17="かなり"),2,(IF(('[1]フォームの回答 1'!AY17="多少"),3,(IF(('[1]フォームの回答 1'!AY17="全くない"),4,"")))))))</f>
        <v>3</v>
      </c>
      <c r="CF17" s="1">
        <f>IF(('[1]フォームの回答 1'!AZ17="非常に"),1,(IF(('[1]フォームの回答 1'!AZ17="かなり"),2,(IF(('[1]フォームの回答 1'!AZ17="多少"),3,(IF(('[1]フォームの回答 1'!AZ17="全くない"),4,"")))))))</f>
        <v>3</v>
      </c>
      <c r="CG17" s="1">
        <f>IF(('[1]フォームの回答 1'!BA17="非常に"),1,(IF(('[1]フォームの回答 1'!BA17="かなり"),2,(IF(('[1]フォームの回答 1'!BA17="多少"),3,(IF(('[1]フォームの回答 1'!BA17="全くない"),4,"")))))))</f>
        <v>3</v>
      </c>
      <c r="CH17" s="1">
        <f>IF(('[1]フォームの回答 1'!BB17="非常に"),1,(IF(('[1]フォームの回答 1'!BB17="かなり"),2,(IF(('[1]フォームの回答 1'!BB17="多少"),3,(IF(('[1]フォームの回答 1'!BB17="全くない"),4,"")))))))</f>
        <v>3</v>
      </c>
      <c r="CI17" s="1">
        <f>IF(('[1]フォームの回答 1'!BC17="非常に"),1,(IF(('[1]フォームの回答 1'!BC17="かなり"),2,(IF(('[1]フォームの回答 1'!BC17="多少"),3,(IF(('[1]フォームの回答 1'!BC17="全くない"),4,"")))))))</f>
        <v>3</v>
      </c>
      <c r="CJ17" s="1">
        <f>IF(('[1]フォームの回答 1'!BD17="非常に"),1,(IF(('[1]フォームの回答 1'!BD17="かなり"),2,(IF(('[1]フォームの回答 1'!BD17="多少"),3,(IF(('[1]フォームの回答 1'!BD17="全くない"),4,"")))))))</f>
        <v>3</v>
      </c>
      <c r="CK17" s="1">
        <f>IF(('[1]フォームの回答 1'!BE17="非常に"),1,(IF(('[1]フォームの回答 1'!BE17="かなり"),2,(IF(('[1]フォームの回答 1'!BE17="多少"),3,(IF(('[1]フォームの回答 1'!BE17="全くない"),4,"")))))))</f>
        <v>3</v>
      </c>
      <c r="CL17" s="1">
        <f>IF(('[1]フォームの回答 1'!BF17="満足"),1,(IF(('[1]フォームの回答 1'!BF17="まぁ満足"),2,(IF(('[1]フォームの回答 1'!BF17="やや満足"),3,(IF(('[1]フォームの回答 1'!BF17="不満足"),4,"")))))))</f>
        <v>2</v>
      </c>
      <c r="CM17" s="1">
        <f>IF(('[1]フォームの回答 1'!BG17="満足"),1,(IF(('[1]フォームの回答 1'!BG17="まぁ満足"),2,(IF(('[1]フォームの回答 1'!BG17="やや満足"),3,(IF(('[1]フォームの回答 1'!BG17="不満足"),4,"")))))))</f>
        <v>2</v>
      </c>
      <c r="CN17" s="1">
        <f t="shared" si="38"/>
        <v>6</v>
      </c>
      <c r="CO17" s="1">
        <f t="shared" si="10"/>
        <v>4</v>
      </c>
      <c r="CP17" s="1">
        <f t="shared" si="39"/>
        <v>6</v>
      </c>
      <c r="CQ17" s="1">
        <f t="shared" si="11"/>
        <v>4</v>
      </c>
      <c r="CR17" s="1">
        <f t="shared" si="40"/>
        <v>6</v>
      </c>
      <c r="CS17" s="1">
        <f t="shared" si="41"/>
        <v>5</v>
      </c>
      <c r="CT17" s="1">
        <f t="shared" si="42"/>
        <v>6</v>
      </c>
      <c r="CU17" s="1">
        <f t="shared" si="12"/>
        <v>3</v>
      </c>
      <c r="CV17" s="1">
        <f t="shared" si="13"/>
        <v>14</v>
      </c>
      <c r="CW17" s="1">
        <f t="shared" si="14"/>
        <v>26</v>
      </c>
      <c r="CX17" s="1">
        <f t="shared" si="15"/>
        <v>13</v>
      </c>
      <c r="CY17" s="29" t="str">
        <f t="shared" si="43"/>
        <v>低</v>
      </c>
      <c r="CZ17" s="1">
        <v>0.75</v>
      </c>
      <c r="DA17" s="2">
        <f t="shared" si="16"/>
        <v>0.25</v>
      </c>
      <c r="DB17" s="1">
        <f>IF(('[1]フォームの回答 1'!BI17="いつもより寝つきは良い"),0,(IF(('[1]フォームの回答 1'!BI17="いつもより少し時間がかかった"),1,(IF(('[1]フォームの回答 1'!BI17="いつもよりかなり時間がかかった"),2,(IF(('[1]フォームの回答 1'!BI17="いつもより非常に時間がかかった、あるいは全く眠れなかった"),3,"")))))))</f>
        <v>0</v>
      </c>
      <c r="DC17" s="1">
        <f>IF(('[1]フォームの回答 1'!BJ17="問題になるほどのことはなかった"),0,(IF(('[1]フォームの回答 1'!BJ17="少し困ることがある"),1,(IF(('[1]フォームの回答 1'!BJ17="かなり困っている"),2,(IF(('[1]フォームの回答 1'!BJ17="深刻な状態、あるいは全く眠れなかった"),3,"")))))))</f>
        <v>0</v>
      </c>
      <c r="DD17" s="1">
        <f>IF(('[1]フォームの回答 1'!BK17="そのようなことはなかった"),0,(IF(('[1]フォームの回答 1'!BK17="少し早かった"),1,(IF(('[1]フォームの回答 1'!BK17="かなり早かった"),2,(IF(('[1]フォームの回答 1'!BK17="非常に早かった、あるいは全く眠れなかった"),3,"")))))))</f>
        <v>0</v>
      </c>
      <c r="DE17" s="1">
        <f>IF(('[1]フォームの回答 1'!BL17="十分である"),0,(IF(('[1]フォームの回答 1'!BL17="少し足りない"),1,(IF(('[1]フォームの回答 1'!BL17="かなり足りない"),2,(IF(('[1]フォームの回答 1'!BL17="全く足りない、あるいは全く眠れなかった"),3,"")))))))</f>
        <v>1</v>
      </c>
      <c r="DF17" s="1">
        <f>IF(('[1]フォームの回答 1'!BM17="満足している"),0,(IF(('[1]フォームの回答 1'!BM17="少し不満である"),1,(IF(('[1]フォームの回答 1'!BM17="かなり不満である"),2,(IF(('[1]フォームの回答 1'!BM17="非常に不満である、あるいは全く眠れなかった"),3,"")))))))</f>
        <v>1</v>
      </c>
      <c r="DG17" s="1">
        <f>IF(('[1]フォームの回答 1'!BN17="いつもどおり"),0,(IF(('[1]フォームの回答 1'!BN17="少し滅入った"),1,(IF(('[1]フォームの回答 1'!BN17="かなり滅入った"),2,(IF(('[1]フォームの回答 1'!BN17="非常に滅入った"),3,"")))))))</f>
        <v>0</v>
      </c>
      <c r="DH17" s="1">
        <f>IF(('[1]フォームの回答 1'!BO17="いつもどおり"),0,(IF(('[1]フォームの回答 1'!BO17="少し低下した"),1,(IF(('[1]フォームの回答 1'!BO17="かなり低下した"),2,(IF(('[1]フォームの回答 1'!BO17="非常に低下した"),3,"")))))))</f>
        <v>0</v>
      </c>
      <c r="DI17" s="1">
        <f>IF(('[1]フォームの回答 1'!BP17="全くなかった"),0,(IF(('[1]フォームの回答 1'!BP17="少しあった"),1,(IF(('[1]フォームの回答 1'!BP17="かなりあった"),2,(IF(('[1]フォームの回答 1'!BP17="激しかった"),3,"")))))))</f>
        <v>0</v>
      </c>
      <c r="DJ17">
        <f t="shared" si="44"/>
        <v>2</v>
      </c>
      <c r="DK17" s="4" t="str">
        <f t="shared" si="45"/>
        <v>低</v>
      </c>
      <c r="DL17" s="5">
        <v>3.1</v>
      </c>
      <c r="DM17" s="5">
        <v>1.1000000000000001</v>
      </c>
      <c r="DN17" s="5">
        <v>10</v>
      </c>
      <c r="DO17" s="5">
        <v>14.2</v>
      </c>
      <c r="DP17" s="5"/>
      <c r="DQ17" s="5"/>
      <c r="DR17" s="43">
        <v>1.056</v>
      </c>
      <c r="DS17" s="43">
        <v>115.7</v>
      </c>
      <c r="DT17" s="5">
        <v>0.91</v>
      </c>
      <c r="DU17" s="5">
        <v>46</v>
      </c>
      <c r="DV17" s="5" t="s">
        <v>115</v>
      </c>
    </row>
    <row r="18" spans="1:126" ht="14" hidden="1">
      <c r="A18" s="1">
        <v>308</v>
      </c>
      <c r="B18" s="24" t="s">
        <v>139</v>
      </c>
      <c r="C18" s="24">
        <v>32863</v>
      </c>
      <c r="D18" s="38">
        <f t="shared" si="17"/>
        <v>34</v>
      </c>
      <c r="E18" s="1">
        <f>IF(('[1]フォームの回答 1'!C18="そうだ"),1,(IF(('[1]フォームの回答 1'!C18="まぁそうだ"),2,(IF(('[1]フォームの回答 1'!C18="ややちがう"),3,(IF(('[1]フォームの回答 1'!C18="ちがう"),4,"")))))))</f>
        <v>2</v>
      </c>
      <c r="F18" s="1">
        <f>IF(('[1]フォームの回答 1'!D18="そうだ"),1,(IF(('[1]フォームの回答 1'!D18="まぁそうだ"),2,(IF(('[1]フォームの回答 1'!D18="ややちがう"),3,(IF(('[1]フォームの回答 1'!D18="ちがう"),4,"")))))))</f>
        <v>2</v>
      </c>
      <c r="G18" s="1">
        <f>IF(('[1]フォームの回答 1'!E18="そうだ"),1,(IF(('[1]フォームの回答 1'!E18="まぁそうだ"),2,(IF(('[1]フォームの回答 1'!E18="ややちがう"),3,(IF(('[1]フォームの回答 1'!E18="ちがう"),4,"")))))))</f>
        <v>2</v>
      </c>
      <c r="H18" s="1">
        <f>IF(('[1]フォームの回答 1'!F18="そうだ"),1,(IF(('[1]フォームの回答 1'!F18="まぁそうだ"),2,(IF(('[1]フォームの回答 1'!F18="ややちがう"),3,(IF(('[1]フォームの回答 1'!F18="ちがう"),4,"")))))))</f>
        <v>2</v>
      </c>
      <c r="I18" s="1">
        <f>IF(('[1]フォームの回答 1'!G18="そうだ"),1,(IF(('[1]フォームの回答 1'!G18="まぁそうだ"),2,(IF(('[1]フォームの回答 1'!G18="ややちがう"),3,(IF(('[1]フォームの回答 1'!G18="ちがう"),4,"")))))))</f>
        <v>2</v>
      </c>
      <c r="J18" s="1">
        <f>IF(('[1]フォームの回答 1'!H18="そうだ"),1,(IF(('[1]フォームの回答 1'!H18="まぁそうだ"),2,(IF(('[1]フォームの回答 1'!H18="ややちがう"),3,(IF(('[1]フォームの回答 1'!H18="ちがう"),4,"")))))))</f>
        <v>3</v>
      </c>
      <c r="K18" s="1">
        <f>IF(('[1]フォームの回答 1'!I18="そうだ"),1,(IF(('[1]フォームの回答 1'!I18="まぁそうだ"),2,(IF(('[1]フォームの回答 1'!I18="ややちがう"),3,(IF(('[1]フォームの回答 1'!I18="ちがう"),4,"")))))))</f>
        <v>3</v>
      </c>
      <c r="L18" s="1">
        <f>IF(('[1]フォームの回答 1'!J18="そうだ"),1,(IF(('[1]フォームの回答 1'!J18="まぁそうだ"),2,(IF(('[1]フォームの回答 1'!J18="ややちがう"),3,(IF(('[1]フォームの回答 1'!J18="ちがう"),4,"")))))))</f>
        <v>2</v>
      </c>
      <c r="M18" s="1">
        <f>IF(('[1]フォームの回答 1'!K18="そうだ"),1,(IF(('[1]フォームの回答 1'!K18="まぁそうだ"),2,(IF(('[1]フォームの回答 1'!K18="ややちがう"),3,(IF(('[1]フォームの回答 1'!K18="ちがう"),4,"")))))))</f>
        <v>2</v>
      </c>
      <c r="N18" s="1">
        <f>IF(('[1]フォームの回答 1'!L18="そうだ"),1,(IF(('[1]フォームの回答 1'!L18="まぁそうだ"),2,(IF(('[1]フォームの回答 1'!L18="ややちがう"),3,(IF(('[1]フォームの回答 1'!L18="ちがう"),4,"")))))))</f>
        <v>2</v>
      </c>
      <c r="O18" s="1">
        <f>IF(('[1]フォームの回答 1'!M18="そうだ"),1,(IF(('[1]フォームの回答 1'!M18="まぁそうだ"),2,(IF(('[1]フォームの回答 1'!M18="ややちがう"),3,(IF(('[1]フォームの回答 1'!M18="ちがう"),4,"")))))))</f>
        <v>1</v>
      </c>
      <c r="P18" s="1">
        <f>IF(('[1]フォームの回答 1'!N18="そうだ"),1,(IF(('[1]フォームの回答 1'!N18="まぁそうだ"),2,(IF(('[1]フォームの回答 1'!N18="ややちがう"),3,(IF(('[1]フォームの回答 1'!N18="ちがう"),4,"")))))))</f>
        <v>2</v>
      </c>
      <c r="Q18" s="1">
        <f>IF(('[1]フォームの回答 1'!O18="そうだ"),1,(IF(('[1]フォームの回答 1'!O18="まぁそうだ"),2,(IF(('[1]フォームの回答 1'!O18="ややちがう"),3,(IF(('[1]フォームの回答 1'!O18="ちがう"),4,"")))))))</f>
        <v>2</v>
      </c>
      <c r="R18" s="1">
        <f>IF(('[1]フォームの回答 1'!P18="そうだ"),1,(IF(('[1]フォームの回答 1'!P18="まぁそうだ"),2,(IF(('[1]フォームの回答 1'!P18="ややちがう"),3,(IF(('[1]フォームの回答 1'!P18="ちがう"),4,"")))))))</f>
        <v>2</v>
      </c>
      <c r="S18" s="1">
        <f>IF(('[1]フォームの回答 1'!Q18="そうだ"),1,(IF(('[1]フォームの回答 1'!Q18="まぁそうだ"),2,(IF(('[1]フォームの回答 1'!Q18="ややちがう"),3,(IF(('[1]フォームの回答 1'!Q18="ちがう"),4,"")))))))</f>
        <v>1</v>
      </c>
      <c r="T18" s="1">
        <f>IF(('[1]フォームの回答 1'!R18="そうだ"),1,(IF(('[1]フォームの回答 1'!R18="まぁそうだ"),2,(IF(('[1]フォームの回答 1'!R18="ややちがう"),3,(IF(('[1]フォームの回答 1'!R18="ちがう"),4,"")))))))</f>
        <v>3</v>
      </c>
      <c r="U18" s="1">
        <f>IF(('[1]フォームの回答 1'!S18="そうだ"),1,(IF(('[1]フォームの回答 1'!S18="まぁそうだ"),2,(IF(('[1]フォームの回答 1'!S18="ややちがう"),3,(IF(('[1]フォームの回答 1'!S18="ちがう"),4,"")))))))</f>
        <v>2</v>
      </c>
      <c r="V18" s="1">
        <f t="shared" si="18"/>
        <v>9</v>
      </c>
      <c r="W18" s="1">
        <f t="shared" si="0"/>
        <v>3</v>
      </c>
      <c r="X18" s="1">
        <f t="shared" si="19"/>
        <v>8</v>
      </c>
      <c r="Y18" s="1">
        <f t="shared" si="1"/>
        <v>3</v>
      </c>
      <c r="Z18" s="1">
        <f t="shared" si="20"/>
        <v>2</v>
      </c>
      <c r="AA18" s="1">
        <f t="shared" si="21"/>
        <v>3</v>
      </c>
      <c r="AB18" s="1">
        <f t="shared" si="22"/>
        <v>8</v>
      </c>
      <c r="AC18" s="1">
        <f t="shared" si="23"/>
        <v>4</v>
      </c>
      <c r="AD18" s="1">
        <f t="shared" si="24"/>
        <v>4</v>
      </c>
      <c r="AE18" s="1">
        <f t="shared" si="2"/>
        <v>5</v>
      </c>
      <c r="AF18" s="1">
        <f t="shared" si="25"/>
        <v>9</v>
      </c>
      <c r="AG18" s="1">
        <f t="shared" si="3"/>
        <v>2</v>
      </c>
      <c r="AH18" s="1">
        <f t="shared" si="26"/>
        <v>1</v>
      </c>
      <c r="AI18" s="1">
        <f t="shared" si="27"/>
        <v>5</v>
      </c>
      <c r="AJ18" s="1">
        <f t="shared" si="28"/>
        <v>2</v>
      </c>
      <c r="AK18" s="1">
        <f t="shared" si="29"/>
        <v>4</v>
      </c>
      <c r="AL18" s="1">
        <f t="shared" si="30"/>
        <v>3</v>
      </c>
      <c r="AM18" s="1">
        <f t="shared" si="31"/>
        <v>3</v>
      </c>
      <c r="AN18" s="1">
        <f>IF(('[1]フォームの回答 1'!T18="ほとんどなかった"),1,(IF(('[1]フォームの回答 1'!T18="ときどきあった"),2,(IF(('[1]フォームの回答 1'!T18="しばしばあった"),3,(IF(('[1]フォームの回答 1'!T18="ほとんどいつもあった"),4,"")))))))</f>
        <v>2</v>
      </c>
      <c r="AO18" s="1">
        <f>IF(('[1]フォームの回答 1'!U18="ほとんどなかった"),1,(IF(('[1]フォームの回答 1'!U18="ときどきあった"),2,(IF(('[1]フォームの回答 1'!U18="しばしばあった"),3,(IF(('[1]フォームの回答 1'!U18="ほとんどいつもあった"),4,"")))))))</f>
        <v>2</v>
      </c>
      <c r="AP18" s="1">
        <f>IF(('[1]フォームの回答 1'!V18="ほとんどなかった"),1,(IF(('[1]フォームの回答 1'!V18="ときどきあった"),2,(IF(('[1]フォームの回答 1'!V18="しばしばあった"),3,(IF(('[1]フォームの回答 1'!V18="ほとんどいつもあった"),4,"")))))))</f>
        <v>2</v>
      </c>
      <c r="AQ18" s="1">
        <f>IF(('[1]フォームの回答 1'!W18="ほとんどなかった"),1,(IF(('[1]フォームの回答 1'!W18="ときどきあった"),2,(IF(('[1]フォームの回答 1'!W18="しばしばあった"),3,(IF(('[1]フォームの回答 1'!W18="ほとんどいつもあった"),4,"")))))))</f>
        <v>3</v>
      </c>
      <c r="AR18" s="1">
        <f>IF(('[1]フォームの回答 1'!X18="ほとんどなかった"),1,(IF(('[1]フォームの回答 1'!X18="ときどきあった"),2,(IF(('[1]フォームの回答 1'!X18="しばしばあった"),3,(IF(('[1]フォームの回答 1'!X18="ほとんどいつもあった"),4,"")))))))</f>
        <v>3</v>
      </c>
      <c r="AS18" s="1">
        <f>IF(('[1]フォームの回答 1'!Y18="ほとんどなかった"),1,(IF(('[1]フォームの回答 1'!Y18="ときどきあった"),2,(IF(('[1]フォームの回答 1'!Y18="しばしばあった"),3,(IF(('[1]フォームの回答 1'!Y18="ほとんどいつもあった"),4,"")))))))</f>
        <v>3</v>
      </c>
      <c r="AT18" s="1">
        <f>IF(('[1]フォームの回答 1'!Z18="ほとんどなかった"),1,(IF(('[1]フォームの回答 1'!Z18="ときどきあった"),2,(IF(('[1]フォームの回答 1'!Z18="しばしばあった"),3,(IF(('[1]フォームの回答 1'!Z18="ほとんどいつもあった"),4,"")))))))</f>
        <v>3</v>
      </c>
      <c r="AU18" s="1">
        <f>IF(('[1]フォームの回答 1'!AA18="ほとんどなかった"),1,(IF(('[1]フォームの回答 1'!AA18="ときどきあった"),2,(IF(('[1]フォームの回答 1'!AA18="しばしばあった"),3,(IF(('[1]フォームの回答 1'!AA18="ほとんどいつもあった"),4,"")))))))</f>
        <v>3</v>
      </c>
      <c r="AV18" s="1">
        <f>IF(('[1]フォームの回答 1'!AB18="ほとんどなかった"),1,(IF(('[1]フォームの回答 1'!AB18="ときどきばあった"),2,(IF(('[1]フォームの回答 1'!AB18="しばしばあった"),3,(IF(('[1]フォームの回答 1'!AB18="ほとんどいつもあった"),4,"")))))))</f>
        <v>4</v>
      </c>
      <c r="AW18" s="1">
        <f>IF(('[1]フォームの回答 1'!AC18="ほとんどなかった"),1,(IF(('[1]フォームの回答 1'!AC18="ときどきあった"),2,(IF(('[1]フォームの回答 1'!AC18="しばしばあった"),3,(IF(('[1]フォームの回答 1'!AC18="ほとんどいつもあった"),4,"")))))))</f>
        <v>2</v>
      </c>
      <c r="AX18" s="1">
        <f>IF(('[1]フォームの回答 1'!AD18="ほとんどなかった"),1,(IF(('[1]フォームの回答 1'!AD18="ときどきあった"),2,(IF(('[1]フォームの回答 1'!AD18="しばしばあった"),3,(IF(('[1]フォームの回答 1'!AD18="ほとんどいつもあった"),4,"")))))))</f>
        <v>3</v>
      </c>
      <c r="AY18" s="1">
        <f>IF(('[1]フォームの回答 1'!AE18="ほとんどなかった"),1,(IF(('[1]フォームの回答 1'!AE18="ときどきあった"),2,(IF(('[1]フォームの回答 1'!AE18="しばしばあった"),3,(IF(('[1]フォームの回答 1'!AE18="ほとんどいつもあった"),4,"")))))))</f>
        <v>4</v>
      </c>
      <c r="AZ18" s="1">
        <f>IF(('[1]フォームの回答 1'!AF18="ほとんどなかった"),1,(IF(('[1]フォームの回答 1'!AF18="ときどきあった"),2,(IF(('[1]フォームの回答 1'!AF18="しばしばあった"),3,(IF(('[1]フォームの回答 1'!AF18="ほとんどいつもあった"),4,"")))))))</f>
        <v>3</v>
      </c>
      <c r="BA18" s="1">
        <f>IF(('[1]フォームの回答 1'!AG18="ほとんどなかった"),1,(IF(('[1]フォームの回答 1'!AG18="ときどきあった"),2,(IF(('[1]フォームの回答 1'!AG18="しばしばあった"),3,(IF(('[1]フォームの回答 1'!AG18="ほとんどいつもあった"),4,"")))))))</f>
        <v>3</v>
      </c>
      <c r="BB18" s="1">
        <f>IF(('[1]フォームの回答 1'!AH18="ほとんどなかった"),1,(IF(('[1]フォームの回答 1'!AH18="ときどきあった"),2,(IF(('[1]フォームの回答 1'!AH18="しばしばあった"),3,(IF(('[1]フォームの回答 1'!AH18="ほとんどいつもあった"),4,"")))))))</f>
        <v>4</v>
      </c>
      <c r="BC18" s="1">
        <f>IF(('[1]フォームの回答 1'!AI18="ほとんどなかった"),1,(IF(('[1]フォームの回答 1'!AI18="ときどきあった"),2,(IF(('[1]フォームの回答 1'!AI18="しばしばあった"),3,(IF(('[1]フォームの回答 1'!AI18="ほとんどいつもあった"),4,"")))))))</f>
        <v>3</v>
      </c>
      <c r="BD18" s="1">
        <f>IF(('[1]フォームの回答 1'!AJ18="ほとんどなかった"),1,(IF(('[1]フォームの回答 1'!AJ18="ときどきあった"),2,(IF(('[1]フォームの回答 1'!AJ18="しばしばあった"),3,(IF(('[1]フォームの回答 1'!AJ18="ほとんどいつもあった"),4,"")))))))</f>
        <v>4</v>
      </c>
      <c r="BE18" s="1">
        <f>IF(('[1]フォームの回答 1'!AK18="ほとんどなかった"),1,(IF(('[1]フォームの回答 1'!AK18="ときどきあった"),2,(IF(('[1]フォームの回答 1'!AK18="しばしばあった"),3,(IF(('[1]フォームの回答 1'!AK18="ほとんどいつもあった"),4,"")))))))</f>
        <v>3</v>
      </c>
      <c r="BF18" s="1">
        <f>IF(('[1]フォームの回答 1'!AL18="ほとんどなかった"),1,(IF(('[1]フォームの回答 1'!AL18="ときどきあった"),2,(IF(('[1]フォームの回答 1'!AL18="しばしばあった"),3,(IF(('[1]フォームの回答 1'!AL18="ほとんどいつもあった"),4,"")))))))</f>
        <v>4</v>
      </c>
      <c r="BG18" s="1">
        <f>IF(('[1]フォームの回答 1'!AM18="ほとんどなかった"),1,(IF(('[1]フォームの回答 1'!AM18="ときどきあった"),2,(IF(('[1]フォームの回答 1'!AM18="しばしばあった"),3,(IF(('[1]フォームの回答 1'!AM18="ほとんどいつもあった"),4,"")))))))</f>
        <v>3</v>
      </c>
      <c r="BH18" s="1">
        <f>IF(('[1]フォームの回答 1'!AN18="ほとんどなかった"),1,(IF(('[1]フォームの回答 1'!AN18="ときどきあった"),2,(IF(('[1]フォームの回答 1'!AN18="しばしばあった"),3,(IF(('[1]フォームの回答 1'!AN18="ほとんどいつもあった"),4,"")))))))</f>
        <v>3</v>
      </c>
      <c r="BI18" s="1">
        <f>IF(('[1]フォームの回答 1'!AO18="ほとんどなかった"),1,(IF(('[1]フォームの回答 1'!AO18="ときどきあった"),2,(IF(('[1]フォームの回答 1'!AO18="しばしばあった"),3,(IF(('[1]フォームの回答 1'!AO18="ほとんどいつもあった"),4,"")))))))</f>
        <v>3</v>
      </c>
      <c r="BJ18" s="1">
        <f>IF(('[1]フォームの回答 1'!AP18="ほとんどなかった"),1,(IF(('[1]フォームの回答 1'!AP18="ときどきあった"),2,(IF(('[1]フォームの回答 1'!AP18="しばしばあった"),3,(IF(('[1]フォームの回答 1'!AP18="ほとんどいつもあった"),4,"")))))))</f>
        <v>2</v>
      </c>
      <c r="BK18" s="1">
        <f>IF(('[1]フォームの回答 1'!AQ18="ほとんどなかった"),1,(IF(('[1]フォームの回答 1'!AQ18="ときどきあった"),2,(IF(('[1]フォームの回答 1'!AQ18="しばしばあった"),3,(IF(('[1]フォームの回答 1'!AQ18="ほとんどいつもあった"),4,"")))))))</f>
        <v>3</v>
      </c>
      <c r="BL18" s="1">
        <f>IF(('[1]フォームの回答 1'!AR18="ほとんどなかった"),1,(IF(('[1]フォームの回答 1'!AR18="ときどきあった"),2,(IF(('[1]フォームの回答 1'!AR18="しばしばあった"),3,(IF(('[1]フォームの回答 1'!AR18="ほとんどいつもあった"),4,"")))))))</f>
        <v>3</v>
      </c>
      <c r="BM18" s="1">
        <f>IF(('[1]フォームの回答 1'!AS18="ほとんどなかった"),1,(IF(('[1]フォームの回答 1'!AS18="ときどきあった"),2,(IF(('[1]フォームの回答 1'!AS18="しばしばあった"),3,(IF(('[1]フォームの回答 1'!AS18="ほとんどいつもあった"),4,"")))))))</f>
        <v>3</v>
      </c>
      <c r="BN18" s="1">
        <f>IF(('[1]フォームの回答 1'!AT18="ほとんどなかった"),1,(IF(('[1]フォームの回答 1'!AT18="ときどきあった"),2,(IF(('[1]フォームの回答 1'!AT18="しばしばあった"),3,(IF(('[1]フォームの回答 1'!AT18="ほとんどいつもあった"),4,"")))))))</f>
        <v>2</v>
      </c>
      <c r="BO18" s="1">
        <f>IF(('[1]フォームの回答 1'!AU18="ほとんどなかった"),1,(IF(('[1]フォームの回答 1'!AU18="ときどきあった"),2,(IF(('[1]フォームの回答 1'!AU18="しばしばあった"),3,(IF(('[1]フォームの回答 1'!AU18="ほとんどいつもあった"),4,"")))))))</f>
        <v>2</v>
      </c>
      <c r="BP18" s="1">
        <f>IF(('[1]フォームの回答 1'!AV18="ほとんどなかった"),1,(IF(('[1]フォームの回答 1'!AV18="ときどきあった"),2,(IF(('[1]フォームの回答 1'!AV18="しばしばあった"),3,(IF(('[1]フォームの回答 1'!AV18="ほとんどいつもあった"),4,"")))))))</f>
        <v>4</v>
      </c>
      <c r="BQ18" s="1">
        <f t="shared" si="32"/>
        <v>6</v>
      </c>
      <c r="BR18" s="1">
        <f t="shared" si="33"/>
        <v>3</v>
      </c>
      <c r="BS18" s="1">
        <f t="shared" si="34"/>
        <v>9</v>
      </c>
      <c r="BT18" s="1">
        <f t="shared" si="4"/>
        <v>4</v>
      </c>
      <c r="BU18" s="1">
        <f t="shared" si="5"/>
        <v>10</v>
      </c>
      <c r="BV18" s="1">
        <f t="shared" si="6"/>
        <v>4</v>
      </c>
      <c r="BW18" s="1">
        <f t="shared" si="35"/>
        <v>9</v>
      </c>
      <c r="BX18" s="1">
        <f t="shared" si="7"/>
        <v>4</v>
      </c>
      <c r="BY18" s="1">
        <f t="shared" si="36"/>
        <v>20</v>
      </c>
      <c r="BZ18" s="1">
        <f t="shared" si="8"/>
        <v>5</v>
      </c>
      <c r="CA18" s="1">
        <f t="shared" si="37"/>
        <v>32</v>
      </c>
      <c r="CB18" s="1">
        <f t="shared" si="9"/>
        <v>5</v>
      </c>
      <c r="CC18" s="1">
        <f>IF(('[1]フォームの回答 1'!AW18="非常に"),1,(IF(('[1]フォームの回答 1'!AW18="かなり"),2,(IF(('[1]フォームの回答 1'!AW18="多少"),3,(IF(('[1]フォームの回答 1'!AW18="全くない"),4,"")))))))</f>
        <v>3</v>
      </c>
      <c r="CD18" s="1">
        <f>IF(('[1]フォームの回答 1'!AX18="非常に"),1,(IF(('[1]フォームの回答 1'!AX18="かなり"),2,(IF(('[1]フォームの回答 1'!AX18="多少"),3,(IF(('[1]フォームの回答 1'!AX18="全くない"),4,"")))))))</f>
        <v>3</v>
      </c>
      <c r="CE18" s="1">
        <f>IF(('[1]フォームの回答 1'!AY18="非常に"),1,(IF(('[1]フォームの回答 1'!AY18="かなり"),2,(IF(('[1]フォームの回答 1'!AY18="多少"),3,(IF(('[1]フォームの回答 1'!AY18="全くない"),4,"")))))))</f>
        <v>3</v>
      </c>
      <c r="CF18" s="1">
        <f>IF(('[1]フォームの回答 1'!AZ18="非常に"),1,(IF(('[1]フォームの回答 1'!AZ18="かなり"),2,(IF(('[1]フォームの回答 1'!AZ18="多少"),3,(IF(('[1]フォームの回答 1'!AZ18="全くない"),4,"")))))))</f>
        <v>3</v>
      </c>
      <c r="CG18" s="1">
        <f>IF(('[1]フォームの回答 1'!BA18="非常に"),1,(IF(('[1]フォームの回答 1'!BA18="かなり"),2,(IF(('[1]フォームの回答 1'!BA18="多少"),3,(IF(('[1]フォームの回答 1'!BA18="全くない"),4,"")))))))</f>
        <v>3</v>
      </c>
      <c r="CH18" s="1">
        <f>IF(('[1]フォームの回答 1'!BB18="非常に"),1,(IF(('[1]フォームの回答 1'!BB18="かなり"),2,(IF(('[1]フォームの回答 1'!BB18="多少"),3,(IF(('[1]フォームの回答 1'!BB18="全くない"),4,"")))))))</f>
        <v>3</v>
      </c>
      <c r="CI18" s="1">
        <f>IF(('[1]フォームの回答 1'!BC18="非常に"),1,(IF(('[1]フォームの回答 1'!BC18="かなり"),2,(IF(('[1]フォームの回答 1'!BC18="多少"),3,(IF(('[1]フォームの回答 1'!BC18="全くない"),4,"")))))))</f>
        <v>2</v>
      </c>
      <c r="CJ18" s="1">
        <f>IF(('[1]フォームの回答 1'!BD18="非常に"),1,(IF(('[1]フォームの回答 1'!BD18="かなり"),2,(IF(('[1]フォームの回答 1'!BD18="多少"),3,(IF(('[1]フォームの回答 1'!BD18="全くない"),4,"")))))))</f>
        <v>2</v>
      </c>
      <c r="CK18" s="1">
        <f>IF(('[1]フォームの回答 1'!BE18="非常に"),1,(IF(('[1]フォームの回答 1'!BE18="かなり"),2,(IF(('[1]フォームの回答 1'!BE18="多少"),3,(IF(('[1]フォームの回答 1'!BE18="全くない"),4,"")))))))</f>
        <v>2</v>
      </c>
      <c r="CL18" s="1">
        <f>IF(('[1]フォームの回答 1'!BF18="満足"),1,(IF(('[1]フォームの回答 1'!BF18="まぁ満足"),2,(IF(('[1]フォームの回答 1'!BF18="やや満足"),3,(IF(('[1]フォームの回答 1'!BF18="不満足"),4,"")))))))</f>
        <v>4</v>
      </c>
      <c r="CM18" s="1">
        <f>IF(('[1]フォームの回答 1'!BG18="満足"),1,(IF(('[1]フォームの回答 1'!BG18="まぁ満足"),2,(IF(('[1]フォームの回答 1'!BG18="やや満足"),3,(IF(('[1]フォームの回答 1'!BG18="不満足"),4,"")))))))</f>
        <v>4</v>
      </c>
      <c r="CN18" s="1">
        <f t="shared" si="38"/>
        <v>7</v>
      </c>
      <c r="CO18" s="1">
        <f t="shared" si="10"/>
        <v>3</v>
      </c>
      <c r="CP18" s="1">
        <f t="shared" si="39"/>
        <v>7</v>
      </c>
      <c r="CQ18" s="1">
        <f t="shared" si="11"/>
        <v>4</v>
      </c>
      <c r="CR18" s="1">
        <f t="shared" si="40"/>
        <v>7</v>
      </c>
      <c r="CS18" s="1">
        <f t="shared" si="41"/>
        <v>4</v>
      </c>
      <c r="CT18" s="1">
        <f t="shared" si="42"/>
        <v>2</v>
      </c>
      <c r="CU18" s="1">
        <f t="shared" si="12"/>
        <v>5</v>
      </c>
      <c r="CV18" s="1">
        <f t="shared" si="13"/>
        <v>25</v>
      </c>
      <c r="CW18" s="1">
        <f t="shared" si="14"/>
        <v>32</v>
      </c>
      <c r="CX18" s="1">
        <f t="shared" si="15"/>
        <v>11</v>
      </c>
      <c r="CY18" s="29" t="str">
        <f t="shared" si="43"/>
        <v>高</v>
      </c>
      <c r="CZ18" s="1">
        <v>0.75</v>
      </c>
      <c r="DA18" s="2">
        <f t="shared" si="16"/>
        <v>0.25</v>
      </c>
      <c r="DB18" s="1">
        <f>IF(('[1]フォームの回答 1'!BI18="いつもより寝つきは良い"),0,(IF(('[1]フォームの回答 1'!BI18="いつもより少し時間がかかった"),1,(IF(('[1]フォームの回答 1'!BI18="いつもよりかなり時間がかかった"),2,(IF(('[1]フォームの回答 1'!BI18="いつもより非常に時間がかかった、あるいは全く眠れなかった"),3,"")))))))</f>
        <v>1</v>
      </c>
      <c r="DC18" s="1">
        <f>IF(('[1]フォームの回答 1'!BJ18="問題になるほどのことはなかった"),0,(IF(('[1]フォームの回答 1'!BJ18="少し困ることがある"),1,(IF(('[1]フォームの回答 1'!BJ18="かなり困っている"),2,(IF(('[1]フォームの回答 1'!BJ18="深刻な状態、あるいは全く眠れなかった"),3,"")))))))</f>
        <v>1</v>
      </c>
      <c r="DD18" s="1">
        <f>IF(('[1]フォームの回答 1'!BK18="そのようなことはなかった"),0,(IF(('[1]フォームの回答 1'!BK18="少し早かった"),1,(IF(('[1]フォームの回答 1'!BK18="かなり早かった"),2,(IF(('[1]フォームの回答 1'!BK18="非常に早かった、あるいは全く眠れなかった"),3,"")))))))</f>
        <v>0</v>
      </c>
      <c r="DE18" s="1">
        <f>IF(('[1]フォームの回答 1'!BL18="十分である"),0,(IF(('[1]フォームの回答 1'!BL18="少し足りない"),1,(IF(('[1]フォームの回答 1'!BL18="かなり足りない"),2,(IF(('[1]フォームの回答 1'!BL18="全く足りない、あるいは全く眠れなかった"),3,"")))))))</f>
        <v>2</v>
      </c>
      <c r="DF18" s="1">
        <f>IF(('[1]フォームの回答 1'!BM18="満足している"),0,(IF(('[1]フォームの回答 1'!BM18="少し不満である"),1,(IF(('[1]フォームの回答 1'!BM18="かなり不満である"),2,(IF(('[1]フォームの回答 1'!BM18="非常に不満である、あるいは全く眠れなかった"),3,"")))))))</f>
        <v>2</v>
      </c>
      <c r="DG18" s="1">
        <f>IF(('[1]フォームの回答 1'!BN18="いつもどおり"),0,(IF(('[1]フォームの回答 1'!BN18="少し滅入った"),1,(IF(('[1]フォームの回答 1'!BN18="かなり滅入った"),2,(IF(('[1]フォームの回答 1'!BN18="非常に滅入った"),3,"")))))))</f>
        <v>1</v>
      </c>
      <c r="DH18" s="1">
        <f>IF(('[1]フォームの回答 1'!BO18="いつもどおり"),0,(IF(('[1]フォームの回答 1'!BO18="少し低下した"),1,(IF(('[1]フォームの回答 1'!BO18="かなり低下した"),2,(IF(('[1]フォームの回答 1'!BO18="非常に低下した"),3,"")))))))</f>
        <v>1</v>
      </c>
      <c r="DI18" s="1">
        <f>IF(('[1]フォームの回答 1'!BP18="全くなかった"),0,(IF(('[1]フォームの回答 1'!BP18="少しあった"),1,(IF(('[1]フォームの回答 1'!BP18="かなりあった"),2,(IF(('[1]フォームの回答 1'!BP18="激しかった"),3,"")))))))</f>
        <v>2</v>
      </c>
      <c r="DJ18">
        <f t="shared" si="44"/>
        <v>10</v>
      </c>
      <c r="DK18" s="4" t="str">
        <f t="shared" si="45"/>
        <v>高</v>
      </c>
      <c r="DL18" s="5">
        <v>74.2</v>
      </c>
      <c r="DM18" s="5">
        <v>32.200000000000003</v>
      </c>
      <c r="DN18" s="5">
        <v>31.5</v>
      </c>
      <c r="DO18" s="5">
        <v>137.9</v>
      </c>
      <c r="DP18" s="5"/>
      <c r="DQ18" s="5"/>
      <c r="DR18" s="43">
        <v>0.29199999999999998</v>
      </c>
      <c r="DS18" s="43">
        <v>54.5</v>
      </c>
      <c r="DT18" s="5">
        <v>0.54</v>
      </c>
      <c r="DU18" s="5">
        <v>10</v>
      </c>
      <c r="DV18" s="5" t="s">
        <v>115</v>
      </c>
    </row>
    <row r="19" spans="1:126" ht="14">
      <c r="A19" s="1">
        <v>309</v>
      </c>
      <c r="B19" s="24" t="s">
        <v>139</v>
      </c>
      <c r="C19" s="24">
        <v>29271</v>
      </c>
      <c r="D19" s="38">
        <f t="shared" si="17"/>
        <v>44</v>
      </c>
      <c r="E19" s="1">
        <f>IF(('[1]フォームの回答 1'!C19="そうだ"),1,(IF(('[1]フォームの回答 1'!C19="まぁそうだ"),2,(IF(('[1]フォームの回答 1'!C19="ややちがう"),3,(IF(('[1]フォームの回答 1'!C19="ちがう"),4,"")))))))</f>
        <v>4</v>
      </c>
      <c r="F19" s="1">
        <f>IF(('[1]フォームの回答 1'!D19="そうだ"),1,(IF(('[1]フォームの回答 1'!D19="まぁそうだ"),2,(IF(('[1]フォームの回答 1'!D19="ややちがう"),3,(IF(('[1]フォームの回答 1'!D19="ちがう"),4,"")))))))</f>
        <v>4</v>
      </c>
      <c r="G19" s="1">
        <f>IF(('[1]フォームの回答 1'!E19="そうだ"),1,(IF(('[1]フォームの回答 1'!E19="まぁそうだ"),2,(IF(('[1]フォームの回答 1'!E19="ややちがう"),3,(IF(('[1]フォームの回答 1'!E19="ちがう"),4,"")))))))</f>
        <v>3</v>
      </c>
      <c r="H19" s="1">
        <f>IF(('[1]フォームの回答 1'!F19="そうだ"),1,(IF(('[1]フォームの回答 1'!F19="まぁそうだ"),2,(IF(('[1]フォームの回答 1'!F19="ややちがう"),3,(IF(('[1]フォームの回答 1'!F19="ちがう"),4,"")))))))</f>
        <v>3</v>
      </c>
      <c r="I19" s="1">
        <f>IF(('[1]フォームの回答 1'!G19="そうだ"),1,(IF(('[1]フォームの回答 1'!G19="まぁそうだ"),2,(IF(('[1]フォームの回答 1'!G19="ややちがう"),3,(IF(('[1]フォームの回答 1'!G19="ちがう"),4,"")))))))</f>
        <v>2</v>
      </c>
      <c r="J19" s="1">
        <f>IF(('[1]フォームの回答 1'!H19="そうだ"),1,(IF(('[1]フォームの回答 1'!H19="まぁそうだ"),2,(IF(('[1]フォームの回答 1'!H19="ややちがう"),3,(IF(('[1]フォームの回答 1'!H19="ちがう"),4,"")))))))</f>
        <v>2</v>
      </c>
      <c r="K19" s="1">
        <f>IF(('[1]フォームの回答 1'!I19="そうだ"),1,(IF(('[1]フォームの回答 1'!I19="まぁそうだ"),2,(IF(('[1]フォームの回答 1'!I19="ややちがう"),3,(IF(('[1]フォームの回答 1'!I19="ちがう"),4,"")))))))</f>
        <v>4</v>
      </c>
      <c r="L19" s="1">
        <f>IF(('[1]フォームの回答 1'!J19="そうだ"),1,(IF(('[1]フォームの回答 1'!J19="まぁそうだ"),2,(IF(('[1]フォームの回答 1'!J19="ややちがう"),3,(IF(('[1]フォームの回答 1'!J19="ちがう"),4,"")))))))</f>
        <v>2</v>
      </c>
      <c r="M19" s="1">
        <f>IF(('[1]フォームの回答 1'!K19="そうだ"),1,(IF(('[1]フォームの回答 1'!K19="まぁそうだ"),2,(IF(('[1]フォームの回答 1'!K19="ややちがう"),3,(IF(('[1]フォームの回答 1'!K19="ちがう"),4,"")))))))</f>
        <v>2</v>
      </c>
      <c r="N19" s="1">
        <f>IF(('[1]フォームの回答 1'!L19="そうだ"),1,(IF(('[1]フォームの回答 1'!L19="まぁそうだ"),2,(IF(('[1]フォームの回答 1'!L19="ややちがう"),3,(IF(('[1]フォームの回答 1'!L19="ちがう"),4,"")))))))</f>
        <v>2</v>
      </c>
      <c r="O19" s="1">
        <f>IF(('[1]フォームの回答 1'!M19="そうだ"),1,(IF(('[1]フォームの回答 1'!M19="まぁそうだ"),2,(IF(('[1]フォームの回答 1'!M19="ややちがう"),3,(IF(('[1]フォームの回答 1'!M19="ちがう"),4,"")))))))</f>
        <v>3</v>
      </c>
      <c r="P19" s="1">
        <f>IF(('[1]フォームの回答 1'!N19="そうだ"),1,(IF(('[1]フォームの回答 1'!N19="まぁそうだ"),2,(IF(('[1]フォームの回答 1'!N19="ややちがう"),3,(IF(('[1]フォームの回答 1'!N19="ちがう"),4,"")))))))</f>
        <v>2</v>
      </c>
      <c r="Q19" s="1">
        <f>IF(('[1]フォームの回答 1'!O19="そうだ"),1,(IF(('[1]フォームの回答 1'!O19="まぁそうだ"),2,(IF(('[1]フォームの回答 1'!O19="ややちがう"),3,(IF(('[1]フォームの回答 1'!O19="ちがう"),4,"")))))))</f>
        <v>3</v>
      </c>
      <c r="R19" s="1">
        <f>IF(('[1]フォームの回答 1'!P19="そうだ"),1,(IF(('[1]フォームの回答 1'!P19="まぁそうだ"),2,(IF(('[1]フォームの回答 1'!P19="ややちがう"),3,(IF(('[1]フォームの回答 1'!P19="ちがう"),4,"")))))))</f>
        <v>2</v>
      </c>
      <c r="S19" s="1">
        <f>IF(('[1]フォームの回答 1'!Q19="そうだ"),1,(IF(('[1]フォームの回答 1'!Q19="まぁそうだ"),2,(IF(('[1]フォームの回答 1'!Q19="ややちがう"),3,(IF(('[1]フォームの回答 1'!Q19="ちがう"),4,"")))))))</f>
        <v>3</v>
      </c>
      <c r="T19" s="1">
        <f>IF(('[1]フォームの回答 1'!R19="そうだ"),1,(IF(('[1]フォームの回答 1'!R19="まぁそうだ"),2,(IF(('[1]フォームの回答 1'!R19="ややちがう"),3,(IF(('[1]フォームの回答 1'!R19="ちがう"),4,"")))))))</f>
        <v>2</v>
      </c>
      <c r="U19" s="1">
        <f>IF(('[1]フォームの回答 1'!S19="そうだ"),1,(IF(('[1]フォームの回答 1'!S19="まぁそうだ"),2,(IF(('[1]フォームの回答 1'!S19="ややちがう"),3,(IF(('[1]フォームの回答 1'!S19="ちがう"),4,"")))))))</f>
        <v>2</v>
      </c>
      <c r="V19" s="1">
        <f t="shared" si="18"/>
        <v>4</v>
      </c>
      <c r="W19" s="1">
        <f t="shared" si="0"/>
        <v>1</v>
      </c>
      <c r="X19" s="1">
        <f t="shared" si="19"/>
        <v>8</v>
      </c>
      <c r="Y19" s="1">
        <f t="shared" si="1"/>
        <v>3</v>
      </c>
      <c r="Z19" s="1">
        <f t="shared" si="20"/>
        <v>1</v>
      </c>
      <c r="AA19" s="1">
        <f t="shared" si="21"/>
        <v>2</v>
      </c>
      <c r="AB19" s="1">
        <f t="shared" si="22"/>
        <v>7</v>
      </c>
      <c r="AC19" s="1">
        <f t="shared" si="23"/>
        <v>3</v>
      </c>
      <c r="AD19" s="1">
        <f t="shared" si="24"/>
        <v>2</v>
      </c>
      <c r="AE19" s="1">
        <f t="shared" si="2"/>
        <v>3</v>
      </c>
      <c r="AF19" s="1">
        <f t="shared" si="25"/>
        <v>9</v>
      </c>
      <c r="AG19" s="1">
        <f t="shared" si="3"/>
        <v>2</v>
      </c>
      <c r="AH19" s="1">
        <f t="shared" si="26"/>
        <v>3</v>
      </c>
      <c r="AI19" s="1">
        <f t="shared" si="27"/>
        <v>3</v>
      </c>
      <c r="AJ19" s="1">
        <f t="shared" si="28"/>
        <v>3</v>
      </c>
      <c r="AK19" s="1">
        <f t="shared" si="29"/>
        <v>3</v>
      </c>
      <c r="AL19" s="1">
        <f t="shared" si="30"/>
        <v>3</v>
      </c>
      <c r="AM19" s="1">
        <f t="shared" si="31"/>
        <v>3</v>
      </c>
      <c r="AN19" s="1">
        <f>IF(('[1]フォームの回答 1'!T19="ほとんどなかった"),1,(IF(('[1]フォームの回答 1'!T19="ときどきあった"),2,(IF(('[1]フォームの回答 1'!T19="しばしばあった"),3,(IF(('[1]フォームの回答 1'!T19="ほとんどいつもあった"),4,"")))))))</f>
        <v>3</v>
      </c>
      <c r="AO19" s="1">
        <f>IF(('[1]フォームの回答 1'!U19="ほとんどなかった"),1,(IF(('[1]フォームの回答 1'!U19="ときどきあった"),2,(IF(('[1]フォームの回答 1'!U19="しばしばあった"),3,(IF(('[1]フォームの回答 1'!U19="ほとんどいつもあった"),4,"")))))))</f>
        <v>2</v>
      </c>
      <c r="AP19" s="1">
        <f>IF(('[1]フォームの回答 1'!V19="ほとんどなかった"),1,(IF(('[1]フォームの回答 1'!V19="ときどきあった"),2,(IF(('[1]フォームの回答 1'!V19="しばしばあった"),3,(IF(('[1]フォームの回答 1'!V19="ほとんどいつもあった"),4,"")))))))</f>
        <v>3</v>
      </c>
      <c r="AQ19" s="1">
        <f>IF(('[1]フォームの回答 1'!W19="ほとんどなかった"),1,(IF(('[1]フォームの回答 1'!W19="ときどきあった"),2,(IF(('[1]フォームの回答 1'!W19="しばしばあった"),3,(IF(('[1]フォームの回答 1'!W19="ほとんどいつもあった"),4,"")))))))</f>
        <v>2</v>
      </c>
      <c r="AR19" s="1">
        <f>IF(('[1]フォームの回答 1'!X19="ほとんどなかった"),1,(IF(('[1]フォームの回答 1'!X19="ときどきあった"),2,(IF(('[1]フォームの回答 1'!X19="しばしばあった"),3,(IF(('[1]フォームの回答 1'!X19="ほとんどいつもあった"),4,"")))))))</f>
        <v>2</v>
      </c>
      <c r="AS19" s="1">
        <f>IF(('[1]フォームの回答 1'!Y19="ほとんどなかった"),1,(IF(('[1]フォームの回答 1'!Y19="ときどきあった"),2,(IF(('[1]フォームの回答 1'!Y19="しばしばあった"),3,(IF(('[1]フォームの回答 1'!Y19="ほとんどいつもあった"),4,"")))))))</f>
        <v>2</v>
      </c>
      <c r="AT19" s="1">
        <f>IF(('[1]フォームの回答 1'!Z19="ほとんどなかった"),1,(IF(('[1]フォームの回答 1'!Z19="ときどきあった"),2,(IF(('[1]フォームの回答 1'!Z19="しばしばあった"),3,(IF(('[1]フォームの回答 1'!Z19="ほとんどいつもあった"),4,"")))))))</f>
        <v>2</v>
      </c>
      <c r="AU19" s="1">
        <f>IF(('[1]フォームの回答 1'!AA19="ほとんどなかった"),1,(IF(('[1]フォームの回答 1'!AA19="ときどきあった"),2,(IF(('[1]フォームの回答 1'!AA19="しばしばあった"),3,(IF(('[1]フォームの回答 1'!AA19="ほとんどいつもあった"),4,"")))))))</f>
        <v>1</v>
      </c>
      <c r="AV19" s="1">
        <f>IF(('[1]フォームの回答 1'!AB19="ほとんどなかった"),1,(IF(('[1]フォームの回答 1'!AB19="ときどきばあった"),2,(IF(('[1]フォームの回答 1'!AB19="しばしばあった"),3,(IF(('[1]フォームの回答 1'!AB19="ほとんどいつもあった"),4,"")))))))</f>
        <v>2</v>
      </c>
      <c r="AW19" s="1">
        <f>IF(('[1]フォームの回答 1'!AC19="ほとんどなかった"),1,(IF(('[1]フォームの回答 1'!AC19="ときどきあった"),2,(IF(('[1]フォームの回答 1'!AC19="しばしばあった"),3,(IF(('[1]フォームの回答 1'!AC19="ほとんどいつもあった"),4,"")))))))</f>
        <v>2</v>
      </c>
      <c r="AX19" s="1">
        <f>IF(('[1]フォームの回答 1'!AD19="ほとんどなかった"),1,(IF(('[1]フォームの回答 1'!AD19="ときどきあった"),2,(IF(('[1]フォームの回答 1'!AD19="しばしばあった"),3,(IF(('[1]フォームの回答 1'!AD19="ほとんどいつもあった"),4,"")))))))</f>
        <v>2</v>
      </c>
      <c r="AY19" s="1">
        <f>IF(('[1]フォームの回答 1'!AE19="ほとんどなかった"),1,(IF(('[1]フォームの回答 1'!AE19="ときどきあった"),2,(IF(('[1]フォームの回答 1'!AE19="しばしばあった"),3,(IF(('[1]フォームの回答 1'!AE19="ほとんどいつもあった"),4,"")))))))</f>
        <v>2</v>
      </c>
      <c r="AZ19" s="1">
        <f>IF(('[1]フォームの回答 1'!AF19="ほとんどなかった"),1,(IF(('[1]フォームの回答 1'!AF19="ときどきあった"),2,(IF(('[1]フォームの回答 1'!AF19="しばしばあった"),3,(IF(('[1]フォームの回答 1'!AF19="ほとんどいつもあった"),4,"")))))))</f>
        <v>1</v>
      </c>
      <c r="BA19" s="1">
        <f>IF(('[1]フォームの回答 1'!AG19="ほとんどなかった"),1,(IF(('[1]フォームの回答 1'!AG19="ときどきあった"),2,(IF(('[1]フォームの回答 1'!AG19="しばしばあった"),3,(IF(('[1]フォームの回答 1'!AG19="ほとんどいつもあった"),4,"")))))))</f>
        <v>1</v>
      </c>
      <c r="BB19" s="1">
        <f>IF(('[1]フォームの回答 1'!AH19="ほとんどなかった"),1,(IF(('[1]フォームの回答 1'!AH19="ときどきあった"),2,(IF(('[1]フォームの回答 1'!AH19="しばしばあった"),3,(IF(('[1]フォームの回答 1'!AH19="ほとんどいつもあった"),4,"")))))))</f>
        <v>1</v>
      </c>
      <c r="BC19" s="1">
        <f>IF(('[1]フォームの回答 1'!AI19="ほとんどなかった"),1,(IF(('[1]フォームの回答 1'!AI19="ときどきあった"),2,(IF(('[1]フォームの回答 1'!AI19="しばしばあった"),3,(IF(('[1]フォームの回答 1'!AI19="ほとんどいつもあった"),4,"")))))))</f>
        <v>1</v>
      </c>
      <c r="BD19" s="1">
        <f>IF(('[1]フォームの回答 1'!AJ19="ほとんどなかった"),1,(IF(('[1]フォームの回答 1'!AJ19="ときどきあった"),2,(IF(('[1]フォームの回答 1'!AJ19="しばしばあった"),3,(IF(('[1]フォームの回答 1'!AJ19="ほとんどいつもあった"),4,"")))))))</f>
        <v>1</v>
      </c>
      <c r="BE19" s="1">
        <f>IF(('[1]フォームの回答 1'!AK19="ほとんどなかった"),1,(IF(('[1]フォームの回答 1'!AK19="ときどきあった"),2,(IF(('[1]フォームの回答 1'!AK19="しばしばあった"),3,(IF(('[1]フォームの回答 1'!AK19="ほとんどいつもあった"),4,"")))))))</f>
        <v>1</v>
      </c>
      <c r="BF19" s="1">
        <f>IF(('[1]フォームの回答 1'!AL19="ほとんどなかった"),1,(IF(('[1]フォームの回答 1'!AL19="ときどきあった"),2,(IF(('[1]フォームの回答 1'!AL19="しばしばあった"),3,(IF(('[1]フォームの回答 1'!AL19="ほとんどいつもあった"),4,"")))))))</f>
        <v>1</v>
      </c>
      <c r="BG19" s="1">
        <f>IF(('[1]フォームの回答 1'!AM19="ほとんどなかった"),1,(IF(('[1]フォームの回答 1'!AM19="ときどきあった"),2,(IF(('[1]フォームの回答 1'!AM19="しばしばあった"),3,(IF(('[1]フォームの回答 1'!AM19="ほとんどいつもあった"),4,"")))))))</f>
        <v>1</v>
      </c>
      <c r="BH19" s="1">
        <f>IF(('[1]フォームの回答 1'!AN19="ほとんどなかった"),1,(IF(('[1]フォームの回答 1'!AN19="ときどきあった"),2,(IF(('[1]フォームの回答 1'!AN19="しばしばあった"),3,(IF(('[1]フォームの回答 1'!AN19="ほとんどいつもあった"),4,"")))))))</f>
        <v>1</v>
      </c>
      <c r="BI19" s="1">
        <f>IF(('[1]フォームの回答 1'!AO19="ほとんどなかった"),1,(IF(('[1]フォームの回答 1'!AO19="ときどきあった"),2,(IF(('[1]フォームの回答 1'!AO19="しばしばあった"),3,(IF(('[1]フォームの回答 1'!AO19="ほとんどいつもあった"),4,"")))))))</f>
        <v>2</v>
      </c>
      <c r="BJ19" s="1">
        <f>IF(('[1]フォームの回答 1'!AP19="ほとんどなかった"),1,(IF(('[1]フォームの回答 1'!AP19="ときどきあった"),2,(IF(('[1]フォームの回答 1'!AP19="しばしばあった"),3,(IF(('[1]フォームの回答 1'!AP19="ほとんどいつもあった"),4,"")))))))</f>
        <v>1</v>
      </c>
      <c r="BK19" s="1">
        <f>IF(('[1]フォームの回答 1'!AQ19="ほとんどなかった"),1,(IF(('[1]フォームの回答 1'!AQ19="ときどきあった"),2,(IF(('[1]フォームの回答 1'!AQ19="しばしばあった"),3,(IF(('[1]フォームの回答 1'!AQ19="ほとんどいつもあった"),4,"")))))))</f>
        <v>2</v>
      </c>
      <c r="BL19" s="1">
        <f>IF(('[1]フォームの回答 1'!AR19="ほとんどなかった"),1,(IF(('[1]フォームの回答 1'!AR19="ときどきあった"),2,(IF(('[1]フォームの回答 1'!AR19="しばしばあった"),3,(IF(('[1]フォームの回答 1'!AR19="ほとんどいつもあった"),4,"")))))))</f>
        <v>1</v>
      </c>
      <c r="BM19" s="1">
        <f>IF(('[1]フォームの回答 1'!AS19="ほとんどなかった"),1,(IF(('[1]フォームの回答 1'!AS19="ときどきあった"),2,(IF(('[1]フォームの回答 1'!AS19="しばしばあった"),3,(IF(('[1]フォームの回答 1'!AS19="ほとんどいつもあった"),4,"")))))))</f>
        <v>2</v>
      </c>
      <c r="BN19" s="1">
        <f>IF(('[1]フォームの回答 1'!AT19="ほとんどなかった"),1,(IF(('[1]フォームの回答 1'!AT19="ときどきあった"),2,(IF(('[1]フォームの回答 1'!AT19="しばしばあった"),3,(IF(('[1]フォームの回答 1'!AT19="ほとんどいつもあった"),4,"")))))))</f>
        <v>1</v>
      </c>
      <c r="BO19" s="1">
        <f>IF(('[1]フォームの回答 1'!AU19="ほとんどなかった"),1,(IF(('[1]フォームの回答 1'!AU19="ときどきあった"),2,(IF(('[1]フォームの回答 1'!AU19="しばしばあった"),3,(IF(('[1]フォームの回答 1'!AU19="ほとんどいつもあった"),4,"")))))))</f>
        <v>2</v>
      </c>
      <c r="BP19" s="1">
        <f>IF(('[1]フォームの回答 1'!AV19="ほとんどなかった"),1,(IF(('[1]フォームの回答 1'!AV19="ときどきあった"),2,(IF(('[1]フォームの回答 1'!AV19="しばしばあった"),3,(IF(('[1]フォームの回答 1'!AV19="ほとんどいつもあった"),4,"")))))))</f>
        <v>1</v>
      </c>
      <c r="BQ19" s="1">
        <f t="shared" si="32"/>
        <v>8</v>
      </c>
      <c r="BR19" s="1">
        <f t="shared" si="33"/>
        <v>2</v>
      </c>
      <c r="BS19" s="1">
        <f t="shared" si="34"/>
        <v>6</v>
      </c>
      <c r="BT19" s="1">
        <f t="shared" si="4"/>
        <v>3</v>
      </c>
      <c r="BU19" s="1">
        <f t="shared" si="5"/>
        <v>5</v>
      </c>
      <c r="BV19" s="1">
        <f t="shared" si="6"/>
        <v>3</v>
      </c>
      <c r="BW19" s="1">
        <f t="shared" si="35"/>
        <v>6</v>
      </c>
      <c r="BX19" s="1">
        <f t="shared" si="7"/>
        <v>3</v>
      </c>
      <c r="BY19" s="1">
        <f t="shared" si="36"/>
        <v>6</v>
      </c>
      <c r="BZ19" s="1">
        <f t="shared" si="8"/>
        <v>1</v>
      </c>
      <c r="CA19" s="1">
        <f t="shared" si="37"/>
        <v>15</v>
      </c>
      <c r="CB19" s="1">
        <f t="shared" si="9"/>
        <v>2</v>
      </c>
      <c r="CC19" s="1">
        <f>IF(('[1]フォームの回答 1'!AW19="非常に"),1,(IF(('[1]フォームの回答 1'!AW19="かなり"),2,(IF(('[1]フォームの回答 1'!AW19="多少"),3,(IF(('[1]フォームの回答 1'!AW19="全くない"),4,"")))))))</f>
        <v>1</v>
      </c>
      <c r="CD19" s="1">
        <f>IF(('[1]フォームの回答 1'!AX19="非常に"),1,(IF(('[1]フォームの回答 1'!AX19="かなり"),2,(IF(('[1]フォームの回答 1'!AX19="多少"),3,(IF(('[1]フォームの回答 1'!AX19="全くない"),4,"")))))))</f>
        <v>2</v>
      </c>
      <c r="CE19" s="1">
        <f>IF(('[1]フォームの回答 1'!AY19="非常に"),1,(IF(('[1]フォームの回答 1'!AY19="かなり"),2,(IF(('[1]フォームの回答 1'!AY19="多少"),3,(IF(('[1]フォームの回答 1'!AY19="全くない"),4,"")))))))</f>
        <v>2</v>
      </c>
      <c r="CF19" s="1">
        <f>IF(('[1]フォームの回答 1'!AZ19="非常に"),1,(IF(('[1]フォームの回答 1'!AZ19="かなり"),2,(IF(('[1]フォームの回答 1'!AZ19="多少"),3,(IF(('[1]フォームの回答 1'!AZ19="全くない"),4,"")))))))</f>
        <v>1</v>
      </c>
      <c r="CG19" s="1">
        <f>IF(('[1]フォームの回答 1'!BA19="非常に"),1,(IF(('[1]フォームの回答 1'!BA19="かなり"),2,(IF(('[1]フォームの回答 1'!BA19="多少"),3,(IF(('[1]フォームの回答 1'!BA19="全くない"),4,"")))))))</f>
        <v>2</v>
      </c>
      <c r="CH19" s="1">
        <f>IF(('[1]フォームの回答 1'!BB19="非常に"),1,(IF(('[1]フォームの回答 1'!BB19="かなり"),2,(IF(('[1]フォームの回答 1'!BB19="多少"),3,(IF(('[1]フォームの回答 1'!BB19="全くない"),4,"")))))))</f>
        <v>1</v>
      </c>
      <c r="CI19" s="1">
        <f>IF(('[1]フォームの回答 1'!BC19="非常に"),1,(IF(('[1]フォームの回答 1'!BC19="かなり"),2,(IF(('[1]フォームの回答 1'!BC19="多少"),3,(IF(('[1]フォームの回答 1'!BC19="全くない"),4,"")))))))</f>
        <v>2</v>
      </c>
      <c r="CJ19" s="1">
        <f>IF(('[1]フォームの回答 1'!BD19="非常に"),1,(IF(('[1]フォームの回答 1'!BD19="かなり"),2,(IF(('[1]フォームの回答 1'!BD19="多少"),3,(IF(('[1]フォームの回答 1'!BD19="全くない"),4,"")))))))</f>
        <v>3</v>
      </c>
      <c r="CK19" s="1">
        <f>IF(('[1]フォームの回答 1'!BE19="非常に"),1,(IF(('[1]フォームの回答 1'!BE19="かなり"),2,(IF(('[1]フォームの回答 1'!BE19="多少"),3,(IF(('[1]フォームの回答 1'!BE19="全くない"),4,"")))))))</f>
        <v>2</v>
      </c>
      <c r="CL19" s="1">
        <f>IF(('[1]フォームの回答 1'!BF19="満足"),1,(IF(('[1]フォームの回答 1'!BF19="まぁ満足"),2,(IF(('[1]フォームの回答 1'!BF19="やや満足"),3,(IF(('[1]フォームの回答 1'!BF19="不満足"),4,"")))))))</f>
        <v>2</v>
      </c>
      <c r="CM19" s="1">
        <f>IF(('[1]フォームの回答 1'!BG19="満足"),1,(IF(('[1]フォームの回答 1'!BG19="まぁ満足"),2,(IF(('[1]フォームの回答 1'!BG19="やや満足"),3,(IF(('[1]フォームの回答 1'!BG19="不満足"),4,"")))))))</f>
        <v>2</v>
      </c>
      <c r="CN19" s="1">
        <f t="shared" si="38"/>
        <v>11</v>
      </c>
      <c r="CO19" s="1">
        <f t="shared" si="10"/>
        <v>1</v>
      </c>
      <c r="CP19" s="1">
        <f t="shared" si="39"/>
        <v>8</v>
      </c>
      <c r="CQ19" s="1">
        <f t="shared" si="11"/>
        <v>3</v>
      </c>
      <c r="CR19" s="1">
        <f t="shared" si="40"/>
        <v>10</v>
      </c>
      <c r="CS19" s="1">
        <f t="shared" si="41"/>
        <v>2</v>
      </c>
      <c r="CT19" s="1">
        <f t="shared" si="42"/>
        <v>6</v>
      </c>
      <c r="CU19" s="1">
        <f t="shared" si="12"/>
        <v>3</v>
      </c>
      <c r="CV19" s="1">
        <f t="shared" si="13"/>
        <v>14</v>
      </c>
      <c r="CW19" s="1">
        <f t="shared" si="14"/>
        <v>23</v>
      </c>
      <c r="CX19" s="1">
        <f t="shared" si="15"/>
        <v>6</v>
      </c>
      <c r="CY19" s="29" t="str">
        <f t="shared" si="43"/>
        <v>低</v>
      </c>
      <c r="CZ19" s="1">
        <v>0.8</v>
      </c>
      <c r="DA19" s="2">
        <f t="shared" si="16"/>
        <v>0.19999999999999996</v>
      </c>
      <c r="DB19" s="1">
        <f>IF(('[1]フォームの回答 1'!BI19="いつもより寝つきは良い"),0,(IF(('[1]フォームの回答 1'!BI19="いつもより少し時間がかかった"),1,(IF(('[1]フォームの回答 1'!BI19="いつもよりかなり時間がかかった"),2,(IF(('[1]フォームの回答 1'!BI19="いつもより非常に時間がかかった、あるいは全く眠れなかった"),3,"")))))))</f>
        <v>0</v>
      </c>
      <c r="DC19" s="1">
        <f>IF(('[1]フォームの回答 1'!BJ19="問題になるほどのことはなかった"),0,(IF(('[1]フォームの回答 1'!BJ19="少し困ることがある"),1,(IF(('[1]フォームの回答 1'!BJ19="かなり困っている"),2,(IF(('[1]フォームの回答 1'!BJ19="深刻な状態、あるいは全く眠れなかった"),3,"")))))))</f>
        <v>0</v>
      </c>
      <c r="DD19" s="1">
        <f>IF(('[1]フォームの回答 1'!BK19="そのようなことはなかった"),0,(IF(('[1]フォームの回答 1'!BK19="少し早かった"),1,(IF(('[1]フォームの回答 1'!BK19="かなり早かった"),2,(IF(('[1]フォームの回答 1'!BK19="非常に早かった、あるいは全く眠れなかった"),3,"")))))))</f>
        <v>0</v>
      </c>
      <c r="DE19" s="1">
        <f>IF(('[1]フォームの回答 1'!BL19="十分である"),0,(IF(('[1]フォームの回答 1'!BL19="少し足りない"),1,(IF(('[1]フォームの回答 1'!BL19="かなり足りない"),2,(IF(('[1]フォームの回答 1'!BL19="全く足りない、あるいは全く眠れなかった"),3,"")))))))</f>
        <v>1</v>
      </c>
      <c r="DF19" s="1">
        <f>IF(('[1]フォームの回答 1'!BM19="満足している"),0,(IF(('[1]フォームの回答 1'!BM19="少し不満である"),1,(IF(('[1]フォームの回答 1'!BM19="かなり不満である"),2,(IF(('[1]フォームの回答 1'!BM19="非常に不満である、あるいは全く眠れなかった"),3,"")))))))</f>
        <v>1</v>
      </c>
      <c r="DG19" s="1">
        <f>IF(('[1]フォームの回答 1'!BN19="いつもどおり"),0,(IF(('[1]フォームの回答 1'!BN19="少し滅入った"),1,(IF(('[1]フォームの回答 1'!BN19="かなり滅入った"),2,(IF(('[1]フォームの回答 1'!BN19="非常に滅入った"),3,"")))))))</f>
        <v>0</v>
      </c>
      <c r="DH19" s="1">
        <f>IF(('[1]フォームの回答 1'!BO19="いつもどおり"),0,(IF(('[1]フォームの回答 1'!BO19="少し低下した"),1,(IF(('[1]フォームの回答 1'!BO19="かなり低下した"),2,(IF(('[1]フォームの回答 1'!BO19="非常に低下した"),3,"")))))))</f>
        <v>0</v>
      </c>
      <c r="DI19" s="1">
        <f>IF(('[1]フォームの回答 1'!BP19="全くなかった"),0,(IF(('[1]フォームの回答 1'!BP19="少しあった"),1,(IF(('[1]フォームの回答 1'!BP19="かなりあった"),2,(IF(('[1]フォームの回答 1'!BP19="激しかった"),3,"")))))))</f>
        <v>1</v>
      </c>
      <c r="DJ19">
        <f t="shared" si="44"/>
        <v>3</v>
      </c>
      <c r="DK19" s="4" t="str">
        <f t="shared" si="45"/>
        <v>低</v>
      </c>
      <c r="DL19" s="5">
        <v>0</v>
      </c>
      <c r="DM19" s="5">
        <v>0</v>
      </c>
      <c r="DN19" s="5">
        <v>0</v>
      </c>
      <c r="DO19" s="5">
        <v>0</v>
      </c>
      <c r="DP19" s="5"/>
      <c r="DQ19" s="5"/>
      <c r="DR19" s="43">
        <v>1.252</v>
      </c>
      <c r="DS19" s="43">
        <v>197.4</v>
      </c>
      <c r="DT19" s="5">
        <v>0.63</v>
      </c>
      <c r="DU19" s="5">
        <v>32</v>
      </c>
      <c r="DV19" s="5" t="s">
        <v>115</v>
      </c>
    </row>
    <row r="20" spans="1:126" ht="14" hidden="1">
      <c r="A20">
        <v>310</v>
      </c>
      <c r="B20" s="24" t="s">
        <v>140</v>
      </c>
      <c r="C20" s="24">
        <v>34254</v>
      </c>
      <c r="D20" s="38">
        <f t="shared" si="17"/>
        <v>30</v>
      </c>
      <c r="E20" s="1">
        <f>IF(('[1]フォームの回答 1'!C20="そうだ"),1,(IF(('[1]フォームの回答 1'!C20="まぁそうだ"),2,(IF(('[1]フォームの回答 1'!C20="ややちがう"),3,(IF(('[1]フォームの回答 1'!C20="ちがう"),4,"")))))))</f>
        <v>3</v>
      </c>
      <c r="F20" s="1">
        <f>IF(('[1]フォームの回答 1'!D20="そうだ"),1,(IF(('[1]フォームの回答 1'!D20="まぁそうだ"),2,(IF(('[1]フォームの回答 1'!D20="ややちがう"),3,(IF(('[1]フォームの回答 1'!D20="ちがう"),4,"")))))))</f>
        <v>3</v>
      </c>
      <c r="G20" s="1">
        <f>IF(('[1]フォームの回答 1'!E20="そうだ"),1,(IF(('[1]フォームの回答 1'!E20="まぁそうだ"),2,(IF(('[1]フォームの回答 1'!E20="ややちがう"),3,(IF(('[1]フォームの回答 1'!E20="ちがう"),4,"")))))))</f>
        <v>3</v>
      </c>
      <c r="H20" s="1">
        <f>IF(('[1]フォームの回答 1'!F20="そうだ"),1,(IF(('[1]フォームの回答 1'!F20="まぁそうだ"),2,(IF(('[1]フォームの回答 1'!F20="ややちがう"),3,(IF(('[1]フォームの回答 1'!F20="ちがう"),4,"")))))))</f>
        <v>3</v>
      </c>
      <c r="I20" s="1">
        <f>IF(('[1]フォームの回答 1'!G20="そうだ"),1,(IF(('[1]フォームの回答 1'!G20="まぁそうだ"),2,(IF(('[1]フォームの回答 1'!G20="ややちがう"),3,(IF(('[1]フォームの回答 1'!G20="ちがう"),4,"")))))))</f>
        <v>2</v>
      </c>
      <c r="J20" s="1">
        <f>IF(('[1]フォームの回答 1'!H20="そうだ"),1,(IF(('[1]フォームの回答 1'!H20="まぁそうだ"),2,(IF(('[1]フォームの回答 1'!H20="ややちがう"),3,(IF(('[1]フォームの回答 1'!H20="ちがう"),4,"")))))))</f>
        <v>2</v>
      </c>
      <c r="K20" s="1">
        <f>IF(('[1]フォームの回答 1'!I20="そうだ"),1,(IF(('[1]フォームの回答 1'!I20="まぁそうだ"),2,(IF(('[1]フォームの回答 1'!I20="ややちがう"),3,(IF(('[1]フォームの回答 1'!I20="ちがう"),4,"")))))))</f>
        <v>4</v>
      </c>
      <c r="L20" s="1">
        <f>IF(('[1]フォームの回答 1'!J20="そうだ"),1,(IF(('[1]フォームの回答 1'!J20="まぁそうだ"),2,(IF(('[1]フォームの回答 1'!J20="ややちがう"),3,(IF(('[1]フォームの回答 1'!J20="ちがう"),4,"")))))))</f>
        <v>3</v>
      </c>
      <c r="M20" s="1">
        <f>IF(('[1]フォームの回答 1'!K20="そうだ"),1,(IF(('[1]フォームの回答 1'!K20="まぁそうだ"),2,(IF(('[1]フォームの回答 1'!K20="ややちがう"),3,(IF(('[1]フォームの回答 1'!K20="ちがう"),4,"")))))))</f>
        <v>2</v>
      </c>
      <c r="N20" s="1">
        <f>IF(('[1]フォームの回答 1'!L20="そうだ"),1,(IF(('[1]フォームの回答 1'!L20="まぁそうだ"),2,(IF(('[1]フォームの回答 1'!L20="ややちがう"),3,(IF(('[1]フォームの回答 1'!L20="ちがう"),4,"")))))))</f>
        <v>3</v>
      </c>
      <c r="O20" s="1">
        <f>IF(('[1]フォームの回答 1'!M20="そうだ"),1,(IF(('[1]フォームの回答 1'!M20="まぁそうだ"),2,(IF(('[1]フォームの回答 1'!M20="ややちがう"),3,(IF(('[1]フォームの回答 1'!M20="ちがう"),4,"")))))))</f>
        <v>2</v>
      </c>
      <c r="P20" s="1">
        <f>IF(('[1]フォームの回答 1'!N20="そうだ"),1,(IF(('[1]フォームの回答 1'!N20="まぁそうだ"),2,(IF(('[1]フォームの回答 1'!N20="ややちがう"),3,(IF(('[1]フォームの回答 1'!N20="ちがう"),4,"")))))))</f>
        <v>3</v>
      </c>
      <c r="Q20" s="1">
        <f>IF(('[1]フォームの回答 1'!O20="そうだ"),1,(IF(('[1]フォームの回答 1'!O20="まぁそうだ"),2,(IF(('[1]フォームの回答 1'!O20="ややちがう"),3,(IF(('[1]フォームの回答 1'!O20="ちがう"),4,"")))))))</f>
        <v>3</v>
      </c>
      <c r="R20" s="1">
        <f>IF(('[1]フォームの回答 1'!P20="そうだ"),1,(IF(('[1]フォームの回答 1'!P20="まぁそうだ"),2,(IF(('[1]フォームの回答 1'!P20="ややちがう"),3,(IF(('[1]フォームの回答 1'!P20="ちがう"),4,"")))))))</f>
        <v>2</v>
      </c>
      <c r="S20" s="1">
        <f>IF(('[1]フォームの回答 1'!Q20="そうだ"),1,(IF(('[1]フォームの回答 1'!Q20="まぁそうだ"),2,(IF(('[1]フォームの回答 1'!Q20="ややちがう"),3,(IF(('[1]フォームの回答 1'!Q20="ちがう"),4,"")))))))</f>
        <v>3</v>
      </c>
      <c r="T20" s="1">
        <f>IF(('[1]フォームの回答 1'!R20="そうだ"),1,(IF(('[1]フォームの回答 1'!R20="まぁそうだ"),2,(IF(('[1]フォームの回答 1'!R20="ややちがう"),3,(IF(('[1]フォームの回答 1'!R20="ちがう"),4,"")))))))</f>
        <v>2</v>
      </c>
      <c r="U20" s="1">
        <f>IF(('[1]フォームの回答 1'!S20="そうだ"),1,(IF(('[1]フォームの回答 1'!S20="まぁそうだ"),2,(IF(('[1]フォームの回答 1'!S20="ややちがう"),3,(IF(('[1]フォームの回答 1'!S20="ちがう"),4,"")))))))</f>
        <v>2</v>
      </c>
      <c r="V20" s="1">
        <f t="shared" si="18"/>
        <v>6</v>
      </c>
      <c r="W20" s="1">
        <f t="shared" si="0"/>
        <v>2</v>
      </c>
      <c r="X20" s="1">
        <f t="shared" si="19"/>
        <v>8</v>
      </c>
      <c r="Y20" s="1">
        <f t="shared" si="1"/>
        <v>3</v>
      </c>
      <c r="Z20" s="1">
        <f t="shared" si="20"/>
        <v>1</v>
      </c>
      <c r="AA20" s="1">
        <f t="shared" si="21"/>
        <v>2</v>
      </c>
      <c r="AB20" s="1">
        <f t="shared" si="22"/>
        <v>6</v>
      </c>
      <c r="AC20" s="1">
        <f t="shared" si="23"/>
        <v>3</v>
      </c>
      <c r="AD20" s="1">
        <f t="shared" si="24"/>
        <v>2</v>
      </c>
      <c r="AE20" s="1">
        <f t="shared" si="2"/>
        <v>3</v>
      </c>
      <c r="AF20" s="1">
        <f t="shared" si="25"/>
        <v>7</v>
      </c>
      <c r="AG20" s="1">
        <f t="shared" si="3"/>
        <v>3</v>
      </c>
      <c r="AH20" s="1">
        <f t="shared" si="26"/>
        <v>2</v>
      </c>
      <c r="AI20" s="1">
        <f t="shared" si="27"/>
        <v>4</v>
      </c>
      <c r="AJ20" s="1">
        <f t="shared" si="28"/>
        <v>3</v>
      </c>
      <c r="AK20" s="1">
        <f t="shared" si="29"/>
        <v>3</v>
      </c>
      <c r="AL20" s="1">
        <f t="shared" si="30"/>
        <v>3</v>
      </c>
      <c r="AM20" s="1">
        <f t="shared" si="31"/>
        <v>3</v>
      </c>
      <c r="AN20" s="1">
        <f>IF(('[1]フォームの回答 1'!T20="ほとんどなかった"),1,(IF(('[1]フォームの回答 1'!T20="ときどきあった"),2,(IF(('[1]フォームの回答 1'!T20="しばしばあった"),3,(IF(('[1]フォームの回答 1'!T20="ほとんどいつもあった"),4,"")))))))</f>
        <v>3</v>
      </c>
      <c r="AO20" s="1">
        <f>IF(('[1]フォームの回答 1'!U20="ほとんどなかった"),1,(IF(('[1]フォームの回答 1'!U20="ときどきあった"),2,(IF(('[1]フォームの回答 1'!U20="しばしばあった"),3,(IF(('[1]フォームの回答 1'!U20="ほとんどいつもあった"),4,"")))))))</f>
        <v>2</v>
      </c>
      <c r="AP20" s="1">
        <f>IF(('[1]フォームの回答 1'!V20="ほとんどなかった"),1,(IF(('[1]フォームの回答 1'!V20="ときどきあった"),2,(IF(('[1]フォームの回答 1'!V20="しばしばあった"),3,(IF(('[1]フォームの回答 1'!V20="ほとんどいつもあった"),4,"")))))))</f>
        <v>2</v>
      </c>
      <c r="AQ20" s="1">
        <f>IF(('[1]フォームの回答 1'!W20="ほとんどなかった"),1,(IF(('[1]フォームの回答 1'!W20="ときどきあった"),2,(IF(('[1]フォームの回答 1'!W20="しばしばあった"),3,(IF(('[1]フォームの回答 1'!W20="ほとんどいつもあった"),4,"")))))))</f>
        <v>2</v>
      </c>
      <c r="AR20" s="1">
        <f>IF(('[1]フォームの回答 1'!X20="ほとんどなかった"),1,(IF(('[1]フォームの回答 1'!X20="ときどきあった"),2,(IF(('[1]フォームの回答 1'!X20="しばしばあった"),3,(IF(('[1]フォームの回答 1'!X20="ほとんどいつもあった"),4,"")))))))</f>
        <v>2</v>
      </c>
      <c r="AS20" s="1">
        <f>IF(('[1]フォームの回答 1'!Y20="ほとんどなかった"),1,(IF(('[1]フォームの回答 1'!Y20="ときどきあった"),2,(IF(('[1]フォームの回答 1'!Y20="しばしばあった"),3,(IF(('[1]フォームの回答 1'!Y20="ほとんどいつもあった"),4,"")))))))</f>
        <v>1</v>
      </c>
      <c r="AT20" s="1">
        <f>IF(('[1]フォームの回答 1'!Z20="ほとんどなかった"),1,(IF(('[1]フォームの回答 1'!Z20="ときどきあった"),2,(IF(('[1]フォームの回答 1'!Z20="しばしばあった"),3,(IF(('[1]フォームの回答 1'!Z20="ほとんどいつもあった"),4,"")))))))</f>
        <v>3</v>
      </c>
      <c r="AU20" s="1">
        <f>IF(('[1]フォームの回答 1'!AA20="ほとんどなかった"),1,(IF(('[1]フォームの回答 1'!AA20="ときどきあった"),2,(IF(('[1]フォームの回答 1'!AA20="しばしばあった"),3,(IF(('[1]フォームの回答 1'!AA20="ほとんどいつもあった"),4,"")))))))</f>
        <v>2</v>
      </c>
      <c r="AV20" s="1">
        <f>IF(('[1]フォームの回答 1'!AB20="ほとんどなかった"),1,(IF(('[1]フォームの回答 1'!AB20="ときどきばあった"),2,(IF(('[1]フォームの回答 1'!AB20="しばしばあった"),3,(IF(('[1]フォームの回答 1'!AB20="ほとんどいつもあった"),4,"")))))))</f>
        <v>2</v>
      </c>
      <c r="AW20" s="1">
        <f>IF(('[1]フォームの回答 1'!AC20="ほとんどなかった"),1,(IF(('[1]フォームの回答 1'!AC20="ときどきあった"),2,(IF(('[1]フォームの回答 1'!AC20="しばしばあった"),3,(IF(('[1]フォームの回答 1'!AC20="ほとんどいつもあった"),4,"")))))))</f>
        <v>2</v>
      </c>
      <c r="AX20" s="1">
        <f>IF(('[1]フォームの回答 1'!AD20="ほとんどなかった"),1,(IF(('[1]フォームの回答 1'!AD20="ときどきあった"),2,(IF(('[1]フォームの回答 1'!AD20="しばしばあった"),3,(IF(('[1]フォームの回答 1'!AD20="ほとんどいつもあった"),4,"")))))))</f>
        <v>3</v>
      </c>
      <c r="AY20" s="1">
        <f>IF(('[1]フォームの回答 1'!AE20="ほとんどなかった"),1,(IF(('[1]フォームの回答 1'!AE20="ときどきあった"),2,(IF(('[1]フォームの回答 1'!AE20="しばしばあった"),3,(IF(('[1]フォームの回答 1'!AE20="ほとんどいつもあった"),4,"")))))))</f>
        <v>1</v>
      </c>
      <c r="AZ20" s="1">
        <f>IF(('[1]フォームの回答 1'!AF20="ほとんどなかった"),1,(IF(('[1]フォームの回答 1'!AF20="ときどきあった"),2,(IF(('[1]フォームの回答 1'!AF20="しばしばあった"),3,(IF(('[1]フォームの回答 1'!AF20="ほとんどいつもあった"),4,"")))))))</f>
        <v>2</v>
      </c>
      <c r="BA20" s="1">
        <f>IF(('[1]フォームの回答 1'!AG20="ほとんどなかった"),1,(IF(('[1]フォームの回答 1'!AG20="ときどきあった"),2,(IF(('[1]フォームの回答 1'!AG20="しばしばあった"),3,(IF(('[1]フォームの回答 1'!AG20="ほとんどいつもあった"),4,"")))))))</f>
        <v>3</v>
      </c>
      <c r="BB20" s="1">
        <f>IF(('[1]フォームの回答 1'!AH20="ほとんどなかった"),1,(IF(('[1]フォームの回答 1'!AH20="ときどきあった"),2,(IF(('[1]フォームの回答 1'!AH20="しばしばあった"),3,(IF(('[1]フォームの回答 1'!AH20="ほとんどいつもあった"),4,"")))))))</f>
        <v>2</v>
      </c>
      <c r="BC20" s="1">
        <f>IF(('[1]フォームの回答 1'!AI20="ほとんどなかった"),1,(IF(('[1]フォームの回答 1'!AI20="ときどきあった"),2,(IF(('[1]フォームの回答 1'!AI20="しばしばあった"),3,(IF(('[1]フォームの回答 1'!AI20="ほとんどいつもあった"),4,"")))))))</f>
        <v>2</v>
      </c>
      <c r="BD20" s="1">
        <f>IF(('[1]フォームの回答 1'!AJ20="ほとんどなかった"),1,(IF(('[1]フォームの回答 1'!AJ20="ときどきあった"),2,(IF(('[1]フォームの回答 1'!AJ20="しばしばあった"),3,(IF(('[1]フォームの回答 1'!AJ20="ほとんどいつもあった"),4,"")))))))</f>
        <v>2</v>
      </c>
      <c r="BE20" s="1">
        <f>IF(('[1]フォームの回答 1'!AK20="ほとんどなかった"),1,(IF(('[1]フォームの回答 1'!AK20="ときどきあった"),2,(IF(('[1]フォームの回答 1'!AK20="しばしばあった"),3,(IF(('[1]フォームの回答 1'!AK20="ほとんどいつもあった"),4,"")))))))</f>
        <v>2</v>
      </c>
      <c r="BF20" s="1">
        <f>IF(('[1]フォームの回答 1'!AL20="ほとんどなかった"),1,(IF(('[1]フォームの回答 1'!AL20="ときどきあった"),2,(IF(('[1]フォームの回答 1'!AL20="しばしばあった"),3,(IF(('[1]フォームの回答 1'!AL20="ほとんどいつもあった"),4,"")))))))</f>
        <v>1</v>
      </c>
      <c r="BG20" s="1">
        <f>IF(('[1]フォームの回答 1'!AM20="ほとんどなかった"),1,(IF(('[1]フォームの回答 1'!AM20="ときどきあった"),2,(IF(('[1]フォームの回答 1'!AM20="しばしばあった"),3,(IF(('[1]フォームの回答 1'!AM20="ほとんどいつもあった"),4,"")))))))</f>
        <v>1</v>
      </c>
      <c r="BH20" s="1">
        <f>IF(('[1]フォームの回答 1'!AN20="ほとんどなかった"),1,(IF(('[1]フォームの回答 1'!AN20="ときどきあった"),2,(IF(('[1]フォームの回答 1'!AN20="しばしばあった"),3,(IF(('[1]フォームの回答 1'!AN20="ほとんどいつもあった"),4,"")))))))</f>
        <v>3</v>
      </c>
      <c r="BI20" s="1">
        <f>IF(('[1]フォームの回答 1'!AO20="ほとんどなかった"),1,(IF(('[1]フォームの回答 1'!AO20="ときどきあった"),2,(IF(('[1]フォームの回答 1'!AO20="しばしばあった"),3,(IF(('[1]フォームの回答 1'!AO20="ほとんどいつもあった"),4,"")))))))</f>
        <v>3</v>
      </c>
      <c r="BJ20" s="1">
        <f>IF(('[1]フォームの回答 1'!AP20="ほとんどなかった"),1,(IF(('[1]フォームの回答 1'!AP20="ときどきあった"),2,(IF(('[1]フォームの回答 1'!AP20="しばしばあった"),3,(IF(('[1]フォームの回答 1'!AP20="ほとんどいつもあった"),4,"")))))))</f>
        <v>2</v>
      </c>
      <c r="BK20" s="1">
        <f>IF(('[1]フォームの回答 1'!AQ20="ほとんどなかった"),1,(IF(('[1]フォームの回答 1'!AQ20="ときどきあった"),2,(IF(('[1]フォームの回答 1'!AQ20="しばしばあった"),3,(IF(('[1]フォームの回答 1'!AQ20="ほとんどいつもあった"),4,"")))))))</f>
        <v>3</v>
      </c>
      <c r="BL20" s="1">
        <f>IF(('[1]フォームの回答 1'!AR20="ほとんどなかった"),1,(IF(('[1]フォームの回答 1'!AR20="ときどきあった"),2,(IF(('[1]フォームの回答 1'!AR20="しばしばあった"),3,(IF(('[1]フォームの回答 1'!AR20="ほとんどいつもあった"),4,"")))))))</f>
        <v>1</v>
      </c>
      <c r="BM20" s="1">
        <f>IF(('[1]フォームの回答 1'!AS20="ほとんどなかった"),1,(IF(('[1]フォームの回答 1'!AS20="ときどきあった"),2,(IF(('[1]フォームの回答 1'!AS20="しばしばあった"),3,(IF(('[1]フォームの回答 1'!AS20="ほとんどいつもあった"),4,"")))))))</f>
        <v>1</v>
      </c>
      <c r="BN20" s="1">
        <f>IF(('[1]フォームの回答 1'!AT20="ほとんどなかった"),1,(IF(('[1]フォームの回答 1'!AT20="ときどきあった"),2,(IF(('[1]フォームの回答 1'!AT20="しばしばあった"),3,(IF(('[1]フォームの回答 1'!AT20="ほとんどいつもあった"),4,"")))))))</f>
        <v>1</v>
      </c>
      <c r="BO20" s="1">
        <f>IF(('[1]フォームの回答 1'!AU20="ほとんどなかった"),1,(IF(('[1]フォームの回答 1'!AU20="ときどきあった"),2,(IF(('[1]フォームの回答 1'!AU20="しばしばあった"),3,(IF(('[1]フォームの回答 1'!AU20="ほとんどいつもあった"),4,"")))))))</f>
        <v>1</v>
      </c>
      <c r="BP20" s="1">
        <f>IF(('[1]フォームの回答 1'!AV20="ほとんどなかった"),1,(IF(('[1]フォームの回答 1'!AV20="ときどきあった"),2,(IF(('[1]フォームの回答 1'!AV20="しばしばあった"),3,(IF(('[1]フォームの回答 1'!AV20="ほとんどいつもあった"),4,"")))))))</f>
        <v>3</v>
      </c>
      <c r="BQ20" s="1">
        <f t="shared" si="32"/>
        <v>7</v>
      </c>
      <c r="BR20" s="1">
        <f t="shared" si="33"/>
        <v>3</v>
      </c>
      <c r="BS20" s="1">
        <f t="shared" si="34"/>
        <v>5</v>
      </c>
      <c r="BT20" s="1">
        <f t="shared" si="4"/>
        <v>2</v>
      </c>
      <c r="BU20" s="1">
        <f t="shared" si="5"/>
        <v>7</v>
      </c>
      <c r="BV20" s="1">
        <f t="shared" si="6"/>
        <v>3</v>
      </c>
      <c r="BW20" s="1">
        <f t="shared" si="35"/>
        <v>6</v>
      </c>
      <c r="BX20" s="1">
        <f t="shared" si="7"/>
        <v>3</v>
      </c>
      <c r="BY20" s="1">
        <f t="shared" si="36"/>
        <v>13</v>
      </c>
      <c r="BZ20" s="1">
        <f t="shared" si="8"/>
        <v>4</v>
      </c>
      <c r="CA20" s="1">
        <f t="shared" si="37"/>
        <v>20</v>
      </c>
      <c r="CB20" s="1">
        <f t="shared" si="9"/>
        <v>3</v>
      </c>
      <c r="CC20" s="1">
        <f>IF(('[1]フォームの回答 1'!AW20="非常に"),1,(IF(('[1]フォームの回答 1'!AW20="かなり"),2,(IF(('[1]フォームの回答 1'!AW20="多少"),3,(IF(('[1]フォームの回答 1'!AW20="全くない"),4,"")))))))</f>
        <v>3</v>
      </c>
      <c r="CD20" s="1">
        <f>IF(('[1]フォームの回答 1'!AX20="非常に"),1,(IF(('[1]フォームの回答 1'!AX20="かなり"),2,(IF(('[1]フォームの回答 1'!AX20="多少"),3,(IF(('[1]フォームの回答 1'!AX20="全くない"),4,"")))))))</f>
        <v>2</v>
      </c>
      <c r="CE20" s="1">
        <f>IF(('[1]フォームの回答 1'!AY20="非常に"),1,(IF(('[1]フォームの回答 1'!AY20="かなり"),2,(IF(('[1]フォームの回答 1'!AY20="多少"),3,(IF(('[1]フォームの回答 1'!AY20="全くない"),4,"")))))))</f>
        <v>2</v>
      </c>
      <c r="CF20" s="1">
        <f>IF(('[1]フォームの回答 1'!AZ20="非常に"),1,(IF(('[1]フォームの回答 1'!AZ20="かなり"),2,(IF(('[1]フォームの回答 1'!AZ20="多少"),3,(IF(('[1]フォームの回答 1'!AZ20="全くない"),4,"")))))))</f>
        <v>2</v>
      </c>
      <c r="CG20" s="1">
        <f>IF(('[1]フォームの回答 1'!BA20="非常に"),1,(IF(('[1]フォームの回答 1'!BA20="かなり"),2,(IF(('[1]フォームの回答 1'!BA20="多少"),3,(IF(('[1]フォームの回答 1'!BA20="全くない"),4,"")))))))</f>
        <v>2</v>
      </c>
      <c r="CH20" s="1">
        <f>IF(('[1]フォームの回答 1'!BB20="非常に"),1,(IF(('[1]フォームの回答 1'!BB20="かなり"),2,(IF(('[1]フォームの回答 1'!BB20="多少"),3,(IF(('[1]フォームの回答 1'!BB20="全くない"),4,"")))))))</f>
        <v>2</v>
      </c>
      <c r="CI20" s="1">
        <f>IF(('[1]フォームの回答 1'!BC20="非常に"),1,(IF(('[1]フォームの回答 1'!BC20="かなり"),2,(IF(('[1]フォームの回答 1'!BC20="多少"),3,(IF(('[1]フォームの回答 1'!BC20="全くない"),4,"")))))))</f>
        <v>2</v>
      </c>
      <c r="CJ20" s="1">
        <f>IF(('[1]フォームの回答 1'!BD20="非常に"),1,(IF(('[1]フォームの回答 1'!BD20="かなり"),2,(IF(('[1]フォームの回答 1'!BD20="多少"),3,(IF(('[1]フォームの回答 1'!BD20="全くない"),4,"")))))))</f>
        <v>2</v>
      </c>
      <c r="CK20" s="1">
        <f>IF(('[1]フォームの回答 1'!BE20="非常に"),1,(IF(('[1]フォームの回答 1'!BE20="かなり"),2,(IF(('[1]フォームの回答 1'!BE20="多少"),3,(IF(('[1]フォームの回答 1'!BE20="全くない"),4,"")))))))</f>
        <v>1</v>
      </c>
      <c r="CL20" s="1">
        <f>IF(('[1]フォームの回答 1'!BF20="満足"),1,(IF(('[1]フォームの回答 1'!BF20="まぁ満足"),2,(IF(('[1]フォームの回答 1'!BF20="やや満足"),3,(IF(('[1]フォームの回答 1'!BF20="不満足"),4,"")))))))</f>
        <v>2</v>
      </c>
      <c r="CM20" s="1">
        <f>IF(('[1]フォームの回答 1'!BG20="満足"),1,(IF(('[1]フォームの回答 1'!BG20="まぁ満足"),2,(IF(('[1]フォームの回答 1'!BG20="やや満足"),3,(IF(('[1]フォームの回答 1'!BG20="不満足"),4,"")))))))</f>
        <v>1</v>
      </c>
      <c r="CN20" s="1">
        <f t="shared" si="38"/>
        <v>8</v>
      </c>
      <c r="CO20" s="1">
        <f t="shared" si="10"/>
        <v>2</v>
      </c>
      <c r="CP20" s="1">
        <f t="shared" si="39"/>
        <v>9</v>
      </c>
      <c r="CQ20" s="1">
        <f t="shared" si="11"/>
        <v>3</v>
      </c>
      <c r="CR20" s="1">
        <f t="shared" si="40"/>
        <v>10</v>
      </c>
      <c r="CS20" s="1">
        <f t="shared" si="41"/>
        <v>2</v>
      </c>
      <c r="CT20" s="1">
        <f t="shared" si="42"/>
        <v>7</v>
      </c>
      <c r="CU20" s="1">
        <f t="shared" si="12"/>
        <v>2</v>
      </c>
      <c r="CV20" s="1">
        <f t="shared" si="13"/>
        <v>18</v>
      </c>
      <c r="CW20" s="1">
        <f t="shared" si="14"/>
        <v>26</v>
      </c>
      <c r="CX20" s="1">
        <f t="shared" si="15"/>
        <v>7</v>
      </c>
      <c r="CY20" s="29" t="str">
        <f t="shared" si="43"/>
        <v>低</v>
      </c>
      <c r="CZ20">
        <v>0.8</v>
      </c>
      <c r="DA20" s="2">
        <f t="shared" si="16"/>
        <v>0.19999999999999996</v>
      </c>
      <c r="DB20" s="1">
        <f>IF(('[1]フォームの回答 1'!BI20="いつもより寝つきは良い"),0,(IF(('[1]フォームの回答 1'!BI20="いつもより少し時間がかかった"),1,(IF(('[1]フォームの回答 1'!BI20="いつもよりかなり時間がかかった"),2,(IF(('[1]フォームの回答 1'!BI20="いつもより非常に時間がかかった、あるいは全く眠れなかった"),3,"")))))))</f>
        <v>0</v>
      </c>
      <c r="DC20" s="1">
        <f>IF(('[1]フォームの回答 1'!BJ20="問題になるほどのことはなかった"),0,(IF(('[1]フォームの回答 1'!BJ20="少し困ることがある"),1,(IF(('[1]フォームの回答 1'!BJ20="かなり困っている"),2,(IF(('[1]フォームの回答 1'!BJ20="深刻な状態、あるいは全く眠れなかった"),3,"")))))))</f>
        <v>1</v>
      </c>
      <c r="DD20" s="1">
        <f>IF(('[1]フォームの回答 1'!BK20="そのようなことはなかった"),0,(IF(('[1]フォームの回答 1'!BK20="少し早かった"),1,(IF(('[1]フォームの回答 1'!BK20="かなり早かった"),2,(IF(('[1]フォームの回答 1'!BK20="非常に早かった、あるいは全く眠れなかった"),3,"")))))))</f>
        <v>0</v>
      </c>
      <c r="DE20" s="1">
        <f>IF(('[1]フォームの回答 1'!BL20="十分である"),0,(IF(('[1]フォームの回答 1'!BL20="少し足りない"),1,(IF(('[1]フォームの回答 1'!BL20="かなり足りない"),2,(IF(('[1]フォームの回答 1'!BL20="全く足りない、あるいは全く眠れなかった"),3,"")))))))</f>
        <v>2</v>
      </c>
      <c r="DF20" s="1">
        <f>IF(('[1]フォームの回答 1'!BM20="満足している"),0,(IF(('[1]フォームの回答 1'!BM20="少し不満である"),1,(IF(('[1]フォームの回答 1'!BM20="かなり不満である"),2,(IF(('[1]フォームの回答 1'!BM20="非常に不満である、あるいは全く眠れなかった"),3,"")))))))</f>
        <v>2</v>
      </c>
      <c r="DG20" s="1">
        <f>IF(('[1]フォームの回答 1'!BN20="いつもどおり"),0,(IF(('[1]フォームの回答 1'!BN20="少し滅入った"),1,(IF(('[1]フォームの回答 1'!BN20="かなり滅入った"),2,(IF(('[1]フォームの回答 1'!BN20="非常に滅入った"),3,"")))))))</f>
        <v>1</v>
      </c>
      <c r="DH20" s="1">
        <f>IF(('[1]フォームの回答 1'!BO20="いつもどおり"),0,(IF(('[1]フォームの回答 1'!BO20="少し低下した"),1,(IF(('[1]フォームの回答 1'!BO20="かなり低下した"),2,(IF(('[1]フォームの回答 1'!BO20="非常に低下した"),3,"")))))))</f>
        <v>0</v>
      </c>
      <c r="DI20" s="1">
        <f>IF(('[1]フォームの回答 1'!BP20="全くなかった"),0,(IF(('[1]フォームの回答 1'!BP20="少しあった"),1,(IF(('[1]フォームの回答 1'!BP20="かなりあった"),2,(IF(('[1]フォームの回答 1'!BP20="激しかった"),3,"")))))))</f>
        <v>1</v>
      </c>
      <c r="DJ20">
        <f t="shared" si="44"/>
        <v>7</v>
      </c>
      <c r="DK20" s="4" t="str">
        <f t="shared" si="45"/>
        <v>高</v>
      </c>
      <c r="DL20" s="5">
        <v>15.7</v>
      </c>
      <c r="DM20" s="5">
        <v>0</v>
      </c>
      <c r="DN20" s="5">
        <v>2.6</v>
      </c>
      <c r="DO20" s="5">
        <v>18.3</v>
      </c>
      <c r="DP20" s="5"/>
      <c r="DQ20" s="5" t="s">
        <v>200</v>
      </c>
      <c r="DR20" s="43">
        <v>0.24</v>
      </c>
      <c r="DS20" s="43">
        <v>42.5</v>
      </c>
      <c r="DT20" s="5">
        <v>0.56000000000000005</v>
      </c>
      <c r="DU20" s="5">
        <v>10</v>
      </c>
      <c r="DV20" s="5" t="s">
        <v>115</v>
      </c>
    </row>
    <row r="21" spans="1:126" ht="14" hidden="1">
      <c r="A21" s="1">
        <v>311</v>
      </c>
      <c r="B21" s="24" t="s">
        <v>139</v>
      </c>
      <c r="C21" s="24">
        <v>29064</v>
      </c>
      <c r="D21" s="38">
        <f t="shared" si="17"/>
        <v>44</v>
      </c>
      <c r="E21" s="1">
        <f>IF(('[1]フォームの回答 1'!C21="そうだ"),1,(IF(('[1]フォームの回答 1'!C21="まぁそうだ"),2,(IF(('[1]フォームの回答 1'!C21="ややちがう"),3,(IF(('[1]フォームの回答 1'!C21="ちがう"),4,"")))))))</f>
        <v>2</v>
      </c>
      <c r="F21" s="1">
        <f>IF(('[1]フォームの回答 1'!D21="そうだ"),1,(IF(('[1]フォームの回答 1'!D21="まぁそうだ"),2,(IF(('[1]フォームの回答 1'!D21="ややちがう"),3,(IF(('[1]フォームの回答 1'!D21="ちがう"),4,"")))))))</f>
        <v>2</v>
      </c>
      <c r="G21" s="1">
        <f>IF(('[1]フォームの回答 1'!E21="そうだ"),1,(IF(('[1]フォームの回答 1'!E21="まぁそうだ"),2,(IF(('[1]フォームの回答 1'!E21="ややちがう"),3,(IF(('[1]フォームの回答 1'!E21="ちがう"),4,"")))))))</f>
        <v>1</v>
      </c>
      <c r="H21" s="1">
        <f>IF(('[1]フォームの回答 1'!F21="そうだ"),1,(IF(('[1]フォームの回答 1'!F21="まぁそうだ"),2,(IF(('[1]フォームの回答 1'!F21="ややちがう"),3,(IF(('[1]フォームの回答 1'!F21="ちがう"),4,"")))))))</f>
        <v>2</v>
      </c>
      <c r="I21" s="1">
        <f>IF(('[1]フォームの回答 1'!G21="そうだ"),1,(IF(('[1]フォームの回答 1'!G21="まぁそうだ"),2,(IF(('[1]フォームの回答 1'!G21="ややちがう"),3,(IF(('[1]フォームの回答 1'!G21="ちがう"),4,"")))))))</f>
        <v>2</v>
      </c>
      <c r="J21" s="1">
        <f>IF(('[1]フォームの回答 1'!H21="そうだ"),1,(IF(('[1]フォームの回答 1'!H21="まぁそうだ"),2,(IF(('[1]フォームの回答 1'!H21="ややちがう"),3,(IF(('[1]フォームの回答 1'!H21="ちがう"),4,"")))))))</f>
        <v>2</v>
      </c>
      <c r="K21" s="1">
        <f>IF(('[1]フォームの回答 1'!I21="そうだ"),1,(IF(('[1]フォームの回答 1'!I21="まぁそうだ"),2,(IF(('[1]フォームの回答 1'!I21="ややちがう"),3,(IF(('[1]フォームの回答 1'!I21="ちがう"),4,"")))))))</f>
        <v>4</v>
      </c>
      <c r="L21" s="1">
        <f>IF(('[1]フォームの回答 1'!J21="そうだ"),1,(IF(('[1]フォームの回答 1'!J21="まぁそうだ"),2,(IF(('[1]フォームの回答 1'!J21="ややちがう"),3,(IF(('[1]フォームの回答 1'!J21="ちがう"),4,"")))))))</f>
        <v>2</v>
      </c>
      <c r="M21" s="1">
        <f>IF(('[1]フォームの回答 1'!K21="そうだ"),1,(IF(('[1]フォームの回答 1'!K21="まぁそうだ"),2,(IF(('[1]フォームの回答 1'!K21="ややちがう"),3,(IF(('[1]フォームの回答 1'!K21="ちがう"),4,"")))))))</f>
        <v>2</v>
      </c>
      <c r="N21" s="1">
        <f>IF(('[1]フォームの回答 1'!L21="そうだ"),1,(IF(('[1]フォームの回答 1'!L21="まぁそうだ"),2,(IF(('[1]フォームの回答 1'!L21="ややちがう"),3,(IF(('[1]フォームの回答 1'!L21="ちがう"),4,"")))))))</f>
        <v>2</v>
      </c>
      <c r="O21" s="1">
        <f>IF(('[1]フォームの回答 1'!M21="そうだ"),1,(IF(('[1]フォームの回答 1'!M21="まぁそうだ"),2,(IF(('[1]フォームの回答 1'!M21="ややちがう"),3,(IF(('[1]フォームの回答 1'!M21="ちがう"),4,"")))))))</f>
        <v>4</v>
      </c>
      <c r="P21" s="1">
        <f>IF(('[1]フォームの回答 1'!N21="そうだ"),1,(IF(('[1]フォームの回答 1'!N21="まぁそうだ"),2,(IF(('[1]フォームの回答 1'!N21="ややちがう"),3,(IF(('[1]フォームの回答 1'!N21="ちがう"),4,"")))))))</f>
        <v>2</v>
      </c>
      <c r="Q21" s="1">
        <f>IF(('[1]フォームの回答 1'!O21="そうだ"),1,(IF(('[1]フォームの回答 1'!O21="まぁそうだ"),2,(IF(('[1]フォームの回答 1'!O21="ややちがう"),3,(IF(('[1]フォームの回答 1'!O21="ちがう"),4,"")))))))</f>
        <v>2</v>
      </c>
      <c r="R21" s="1">
        <f>IF(('[1]フォームの回答 1'!P21="そうだ"),1,(IF(('[1]フォームの回答 1'!P21="まぁそうだ"),2,(IF(('[1]フォームの回答 1'!P21="ややちがう"),3,(IF(('[1]フォームの回答 1'!P21="ちがう"),4,"")))))))</f>
        <v>4</v>
      </c>
      <c r="S21" s="1">
        <f>IF(('[1]フォームの回答 1'!Q21="そうだ"),1,(IF(('[1]フォームの回答 1'!Q21="まぁそうだ"),2,(IF(('[1]フォームの回答 1'!Q21="ややちがう"),3,(IF(('[1]フォームの回答 1'!Q21="ちがう"),4,"")))))))</f>
        <v>4</v>
      </c>
      <c r="T21" s="1">
        <f>IF(('[1]フォームの回答 1'!R21="そうだ"),1,(IF(('[1]フォームの回答 1'!R21="まぁそうだ"),2,(IF(('[1]フォームの回答 1'!R21="ややちがう"),3,(IF(('[1]フォームの回答 1'!R21="ちがう"),4,"")))))))</f>
        <v>2</v>
      </c>
      <c r="U21" s="1">
        <f>IF(('[1]フォームの回答 1'!S21="そうだ"),1,(IF(('[1]フォームの回答 1'!S21="まぁそうだ"),2,(IF(('[1]フォームの回答 1'!S21="ややちがう"),3,(IF(('[1]フォームの回答 1'!S21="ちがう"),4,"")))))))</f>
        <v>3</v>
      </c>
      <c r="V21" s="1">
        <f t="shared" si="18"/>
        <v>10</v>
      </c>
      <c r="W21" s="1">
        <f t="shared" si="0"/>
        <v>4</v>
      </c>
      <c r="X21" s="1">
        <f t="shared" si="19"/>
        <v>9</v>
      </c>
      <c r="Y21" s="1">
        <f t="shared" si="1"/>
        <v>3</v>
      </c>
      <c r="Z21" s="1">
        <f t="shared" si="20"/>
        <v>1</v>
      </c>
      <c r="AA21" s="1">
        <f t="shared" si="21"/>
        <v>2</v>
      </c>
      <c r="AB21" s="1">
        <f t="shared" si="22"/>
        <v>10</v>
      </c>
      <c r="AC21" s="1">
        <f t="shared" si="23"/>
        <v>5</v>
      </c>
      <c r="AD21" s="1">
        <f t="shared" si="24"/>
        <v>1</v>
      </c>
      <c r="AE21" s="1">
        <f t="shared" si="2"/>
        <v>2</v>
      </c>
      <c r="AF21" s="1">
        <f t="shared" si="25"/>
        <v>9</v>
      </c>
      <c r="AG21" s="1">
        <f t="shared" si="3"/>
        <v>2</v>
      </c>
      <c r="AH21" s="1">
        <f t="shared" si="26"/>
        <v>4</v>
      </c>
      <c r="AI21" s="1">
        <f t="shared" si="27"/>
        <v>2</v>
      </c>
      <c r="AJ21" s="1">
        <f t="shared" si="28"/>
        <v>3</v>
      </c>
      <c r="AK21" s="1">
        <f t="shared" si="29"/>
        <v>3</v>
      </c>
      <c r="AL21" s="1">
        <f t="shared" si="30"/>
        <v>2</v>
      </c>
      <c r="AM21" s="1">
        <f t="shared" si="31"/>
        <v>4</v>
      </c>
      <c r="AN21" s="1">
        <f>IF(('[1]フォームの回答 1'!T21="ほとんどなかった"),1,(IF(('[1]フォームの回答 1'!T21="ときどきあった"),2,(IF(('[1]フォームの回答 1'!T21="しばしばあった"),3,(IF(('[1]フォームの回答 1'!T21="ほとんどいつもあった"),4,"")))))))</f>
        <v>1</v>
      </c>
      <c r="AO21" s="1">
        <f>IF(('[1]フォームの回答 1'!U21="ほとんどなかった"),1,(IF(('[1]フォームの回答 1'!U21="ときどきあった"),2,(IF(('[1]フォームの回答 1'!U21="しばしばあった"),3,(IF(('[1]フォームの回答 1'!U21="ほとんどいつもあった"),4,"")))))))</f>
        <v>1</v>
      </c>
      <c r="AP21" s="1">
        <f>IF(('[1]フォームの回答 1'!V21="ほとんどなかった"),1,(IF(('[1]フォームの回答 1'!V21="ときどきあった"),2,(IF(('[1]フォームの回答 1'!V21="しばしばあった"),3,(IF(('[1]フォームの回答 1'!V21="ほとんどいつもあった"),4,"")))))))</f>
        <v>1</v>
      </c>
      <c r="AQ21" s="1">
        <f>IF(('[1]フォームの回答 1'!W21="ほとんどなかった"),1,(IF(('[1]フォームの回答 1'!W21="ときどきあった"),2,(IF(('[1]フォームの回答 1'!W21="しばしばあった"),3,(IF(('[1]フォームの回答 1'!W21="ほとんどいつもあった"),4,"")))))))</f>
        <v>3</v>
      </c>
      <c r="AR21" s="1">
        <f>IF(('[1]フォームの回答 1'!X21="ほとんどなかった"),1,(IF(('[1]フォームの回答 1'!X21="ときどきあった"),2,(IF(('[1]フォームの回答 1'!X21="しばしばあった"),3,(IF(('[1]フォームの回答 1'!X21="ほとんどいつもあった"),4,"")))))))</f>
        <v>3</v>
      </c>
      <c r="AS21" s="1">
        <f>IF(('[1]フォームの回答 1'!Y21="ほとんどなかった"),1,(IF(('[1]フォームの回答 1'!Y21="ときどきあった"),2,(IF(('[1]フォームの回答 1'!Y21="しばしばあった"),3,(IF(('[1]フォームの回答 1'!Y21="ほとんどいつもあった"),4,"")))))))</f>
        <v>2</v>
      </c>
      <c r="AT21" s="1">
        <f>IF(('[1]フォームの回答 1'!Z21="ほとんどなかった"),1,(IF(('[1]フォームの回答 1'!Z21="ときどきあった"),2,(IF(('[1]フォームの回答 1'!Z21="しばしばあった"),3,(IF(('[1]フォームの回答 1'!Z21="ほとんどいつもあった"),4,"")))))))</f>
        <v>2</v>
      </c>
      <c r="AU21" s="1">
        <f>IF(('[1]フォームの回答 1'!AA21="ほとんどなかった"),1,(IF(('[1]フォームの回答 1'!AA21="ときどきあった"),2,(IF(('[1]フォームの回答 1'!AA21="しばしばあった"),3,(IF(('[1]フォームの回答 1'!AA21="ほとんどいつもあった"),4,"")))))))</f>
        <v>2</v>
      </c>
      <c r="AV21" s="1">
        <f>IF(('[1]フォームの回答 1'!AB21="ほとんどなかった"),1,(IF(('[1]フォームの回答 1'!AB21="ときどきばあった"),2,(IF(('[1]フォームの回答 1'!AB21="しばしばあった"),3,(IF(('[1]フォームの回答 1'!AB21="ほとんどいつもあった"),4,"")))))))</f>
        <v>2</v>
      </c>
      <c r="AW21" s="1">
        <f>IF(('[1]フォームの回答 1'!AC21="ほとんどなかった"),1,(IF(('[1]フォームの回答 1'!AC21="ときどきあった"),2,(IF(('[1]フォームの回答 1'!AC21="しばしばあった"),3,(IF(('[1]フォームの回答 1'!AC21="ほとんどいつもあった"),4,"")))))))</f>
        <v>3</v>
      </c>
      <c r="AX21" s="1">
        <f>IF(('[1]フォームの回答 1'!AD21="ほとんどなかった"),1,(IF(('[1]フォームの回答 1'!AD21="ときどきあった"),2,(IF(('[1]フォームの回答 1'!AD21="しばしばあった"),3,(IF(('[1]フォームの回答 1'!AD21="ほとんどいつもあった"),4,"")))))))</f>
        <v>3</v>
      </c>
      <c r="AY21" s="1">
        <f>IF(('[1]フォームの回答 1'!AE21="ほとんどなかった"),1,(IF(('[1]フォームの回答 1'!AE21="ときどきあった"),2,(IF(('[1]フォームの回答 1'!AE21="しばしばあった"),3,(IF(('[1]フォームの回答 1'!AE21="ほとんどいつもあった"),4,"")))))))</f>
        <v>2</v>
      </c>
      <c r="AZ21" s="1">
        <f>IF(('[1]フォームの回答 1'!AF21="ほとんどなかった"),1,(IF(('[1]フォームの回答 1'!AF21="ときどきあった"),2,(IF(('[1]フォームの回答 1'!AF21="しばしばあった"),3,(IF(('[1]フォームの回答 1'!AF21="ほとんどいつもあった"),4,"")))))))</f>
        <v>4</v>
      </c>
      <c r="BA21" s="1">
        <f>IF(('[1]フォームの回答 1'!AG21="ほとんどなかった"),1,(IF(('[1]フォームの回答 1'!AG21="ときどきあった"),2,(IF(('[1]フォームの回答 1'!AG21="しばしばあった"),3,(IF(('[1]フォームの回答 1'!AG21="ほとんどいつもあった"),4,"")))))))</f>
        <v>2</v>
      </c>
      <c r="BB21" s="1">
        <f>IF(('[1]フォームの回答 1'!AH21="ほとんどなかった"),1,(IF(('[1]フォームの回答 1'!AH21="ときどきあった"),2,(IF(('[1]フォームの回答 1'!AH21="しばしばあった"),3,(IF(('[1]フォームの回答 1'!AH21="ほとんどいつもあった"),4,"")))))))</f>
        <v>2</v>
      </c>
      <c r="BC21" s="1">
        <f>IF(('[1]フォームの回答 1'!AI21="ほとんどなかった"),1,(IF(('[1]フォームの回答 1'!AI21="ときどきあった"),2,(IF(('[1]フォームの回答 1'!AI21="しばしばあった"),3,(IF(('[1]フォームの回答 1'!AI21="ほとんどいつもあった"),4,"")))))))</f>
        <v>3</v>
      </c>
      <c r="BD21" s="1">
        <f>IF(('[1]フォームの回答 1'!AJ21="ほとんどなかった"),1,(IF(('[1]フォームの回答 1'!AJ21="ときどきあった"),2,(IF(('[1]フォームの回答 1'!AJ21="しばしばあった"),3,(IF(('[1]フォームの回答 1'!AJ21="ほとんどいつもあった"),4,"")))))))</f>
        <v>1</v>
      </c>
      <c r="BE21" s="1">
        <f>IF(('[1]フォームの回答 1'!AK21="ほとんどなかった"),1,(IF(('[1]フォームの回答 1'!AK21="ときどきあった"),2,(IF(('[1]フォームの回答 1'!AK21="しばしばあった"),3,(IF(('[1]フォームの回答 1'!AK21="ほとんどいつもあった"),4,"")))))))</f>
        <v>1</v>
      </c>
      <c r="BF21" s="1">
        <f>IF(('[1]フォームの回答 1'!AL21="ほとんどなかった"),1,(IF(('[1]フォームの回答 1'!AL21="ときどきあった"),2,(IF(('[1]フォームの回答 1'!AL21="しばしばあった"),3,(IF(('[1]フォームの回答 1'!AL21="ほとんどいつもあった"),4,"")))))))</f>
        <v>1</v>
      </c>
      <c r="BG21" s="1">
        <f>IF(('[1]フォームの回答 1'!AM21="ほとんどなかった"),1,(IF(('[1]フォームの回答 1'!AM21="ときどきあった"),2,(IF(('[1]フォームの回答 1'!AM21="しばしばあった"),3,(IF(('[1]フォームの回答 1'!AM21="ほとんどいつもあった"),4,"")))))))</f>
        <v>1</v>
      </c>
      <c r="BH21" s="1">
        <f>IF(('[1]フォームの回答 1'!AN21="ほとんどなかった"),1,(IF(('[1]フォームの回答 1'!AN21="ときどきあった"),2,(IF(('[1]フォームの回答 1'!AN21="しばしばあった"),3,(IF(('[1]フォームの回答 1'!AN21="ほとんどいつもあった"),4,"")))))))</f>
        <v>1</v>
      </c>
      <c r="BI21" s="1">
        <f>IF(('[1]フォームの回答 1'!AO21="ほとんどなかった"),1,(IF(('[1]フォームの回答 1'!AO21="ときどきあった"),2,(IF(('[1]フォームの回答 1'!AO21="しばしばあった"),3,(IF(('[1]フォームの回答 1'!AO21="ほとんどいつもあった"),4,"")))))))</f>
        <v>2</v>
      </c>
      <c r="BJ21" s="1">
        <f>IF(('[1]フォームの回答 1'!AP21="ほとんどなかった"),1,(IF(('[1]フォームの回答 1'!AP21="ときどきあった"),2,(IF(('[1]フォームの回答 1'!AP21="しばしばあった"),3,(IF(('[1]フォームの回答 1'!AP21="ほとんどいつもあった"),4,"")))))))</f>
        <v>1</v>
      </c>
      <c r="BK21" s="1">
        <f>IF(('[1]フォームの回答 1'!AQ21="ほとんどなかった"),1,(IF(('[1]フォームの回答 1'!AQ21="ときどきあった"),2,(IF(('[1]フォームの回答 1'!AQ21="しばしばあった"),3,(IF(('[1]フォームの回答 1'!AQ21="ほとんどいつもあった"),4,"")))))))</f>
        <v>2</v>
      </c>
      <c r="BL21" s="1">
        <f>IF(('[1]フォームの回答 1'!AR21="ほとんどなかった"),1,(IF(('[1]フォームの回答 1'!AR21="ときどきあった"),2,(IF(('[1]フォームの回答 1'!AR21="しばしばあった"),3,(IF(('[1]フォームの回答 1'!AR21="ほとんどいつもあった"),4,"")))))))</f>
        <v>1</v>
      </c>
      <c r="BM21" s="1">
        <f>IF(('[1]フォームの回答 1'!AS21="ほとんどなかった"),1,(IF(('[1]フォームの回答 1'!AS21="ときどきあった"),2,(IF(('[1]フォームの回答 1'!AS21="しばしばあった"),3,(IF(('[1]フォームの回答 1'!AS21="ほとんどいつもあった"),4,"")))))))</f>
        <v>1</v>
      </c>
      <c r="BN21" s="1">
        <f>IF(('[1]フォームの回答 1'!AT21="ほとんどなかった"),1,(IF(('[1]フォームの回答 1'!AT21="ときどきあった"),2,(IF(('[1]フォームの回答 1'!AT21="しばしばあった"),3,(IF(('[1]フォームの回答 1'!AT21="ほとんどいつもあった"),4,"")))))))</f>
        <v>1</v>
      </c>
      <c r="BO21" s="1">
        <f>IF(('[1]フォームの回答 1'!AU21="ほとんどなかった"),1,(IF(('[1]フォームの回答 1'!AU21="ときどきあった"),2,(IF(('[1]フォームの回答 1'!AU21="しばしばあった"),3,(IF(('[1]フォームの回答 1'!AU21="ほとんどいつもあった"),4,"")))))))</f>
        <v>1</v>
      </c>
      <c r="BP21" s="1">
        <f>IF(('[1]フォームの回答 1'!AV21="ほとんどなかった"),1,(IF(('[1]フォームの回答 1'!AV21="ときどきあった"),2,(IF(('[1]フォームの回答 1'!AV21="しばしばあった"),3,(IF(('[1]フォームの回答 1'!AV21="ほとんどいつもあった"),4,"")))))))</f>
        <v>3</v>
      </c>
      <c r="BQ21" s="1">
        <f t="shared" si="32"/>
        <v>3</v>
      </c>
      <c r="BR21" s="1">
        <f t="shared" si="33"/>
        <v>5</v>
      </c>
      <c r="BS21" s="1">
        <f t="shared" si="34"/>
        <v>8</v>
      </c>
      <c r="BT21" s="1">
        <f t="shared" si="4"/>
        <v>4</v>
      </c>
      <c r="BU21" s="1">
        <f t="shared" si="5"/>
        <v>6</v>
      </c>
      <c r="BV21" s="1">
        <f t="shared" si="6"/>
        <v>3</v>
      </c>
      <c r="BW21" s="1">
        <f t="shared" si="35"/>
        <v>8</v>
      </c>
      <c r="BX21" s="1">
        <f t="shared" si="7"/>
        <v>4</v>
      </c>
      <c r="BY21" s="1">
        <f t="shared" si="36"/>
        <v>13</v>
      </c>
      <c r="BZ21" s="1">
        <f t="shared" si="8"/>
        <v>4</v>
      </c>
      <c r="CA21" s="1">
        <f t="shared" si="37"/>
        <v>15</v>
      </c>
      <c r="CB21" s="1">
        <f t="shared" si="9"/>
        <v>2</v>
      </c>
      <c r="CC21" s="1">
        <f>IF(('[1]フォームの回答 1'!AW21="非常に"),1,(IF(('[1]フォームの回答 1'!AW21="かなり"),2,(IF(('[1]フォームの回答 1'!AW21="多少"),3,(IF(('[1]フォームの回答 1'!AW21="全くない"),4,"")))))))</f>
        <v>3</v>
      </c>
      <c r="CD21" s="1">
        <f>IF(('[1]フォームの回答 1'!AX21="非常に"),1,(IF(('[1]フォームの回答 1'!AX21="かなり"),2,(IF(('[1]フォームの回答 1'!AX21="多少"),3,(IF(('[1]フォームの回答 1'!AX21="全くない"),4,"")))))))</f>
        <v>3</v>
      </c>
      <c r="CE21" s="1">
        <f>IF(('[1]フォームの回答 1'!AY21="非常に"),1,(IF(('[1]フォームの回答 1'!AY21="かなり"),2,(IF(('[1]フォームの回答 1'!AY21="多少"),3,(IF(('[1]フォームの回答 1'!AY21="全くない"),4,"")))))))</f>
        <v>3</v>
      </c>
      <c r="CF21" s="1">
        <f>IF(('[1]フォームの回答 1'!AZ21="非常に"),1,(IF(('[1]フォームの回答 1'!AZ21="かなり"),2,(IF(('[1]フォームの回答 1'!AZ21="多少"),3,(IF(('[1]フォームの回答 1'!AZ21="全くない"),4,"")))))))</f>
        <v>3</v>
      </c>
      <c r="CG21" s="1">
        <f>IF(('[1]フォームの回答 1'!BA21="非常に"),1,(IF(('[1]フォームの回答 1'!BA21="かなり"),2,(IF(('[1]フォームの回答 1'!BA21="多少"),3,(IF(('[1]フォームの回答 1'!BA21="全くない"),4,"")))))))</f>
        <v>3</v>
      </c>
      <c r="CH21" s="1">
        <f>IF(('[1]フォームの回答 1'!BB21="非常に"),1,(IF(('[1]フォームの回答 1'!BB21="かなり"),2,(IF(('[1]フォームの回答 1'!BB21="多少"),3,(IF(('[1]フォームの回答 1'!BB21="全くない"),4,"")))))))</f>
        <v>4</v>
      </c>
      <c r="CI21" s="1">
        <f>IF(('[1]フォームの回答 1'!BC21="非常に"),1,(IF(('[1]フォームの回答 1'!BC21="かなり"),2,(IF(('[1]フォームの回答 1'!BC21="多少"),3,(IF(('[1]フォームの回答 1'!BC21="全くない"),4,"")))))))</f>
        <v>3</v>
      </c>
      <c r="CJ21" s="1">
        <f>IF(('[1]フォームの回答 1'!BD21="非常に"),1,(IF(('[1]フォームの回答 1'!BD21="かなり"),2,(IF(('[1]フォームの回答 1'!BD21="多少"),3,(IF(('[1]フォームの回答 1'!BD21="全くない"),4,"")))))))</f>
        <v>3</v>
      </c>
      <c r="CK21" s="1">
        <f>IF(('[1]フォームの回答 1'!BE21="非常に"),1,(IF(('[1]フォームの回答 1'!BE21="かなり"),2,(IF(('[1]フォームの回答 1'!BE21="多少"),3,(IF(('[1]フォームの回答 1'!BE21="全くない"),4,"")))))))</f>
        <v>4</v>
      </c>
      <c r="CL21" s="1">
        <f>IF(('[1]フォームの回答 1'!BF21="満足"),1,(IF(('[1]フォームの回答 1'!BF21="まぁ満足"),2,(IF(('[1]フォームの回答 1'!BF21="やや満足"),3,(IF(('[1]フォームの回答 1'!BF21="不満足"),4,"")))))))</f>
        <v>3</v>
      </c>
      <c r="CM21" s="1">
        <f>IF(('[1]フォームの回答 1'!BG21="満足"),1,(IF(('[1]フォームの回答 1'!BG21="まぁ満足"),2,(IF(('[1]フォームの回答 1'!BG21="やや満足"),3,(IF(('[1]フォームの回答 1'!BG21="不満足"),4,"")))))))</f>
        <v>3</v>
      </c>
      <c r="CN21" s="1">
        <f t="shared" si="38"/>
        <v>6</v>
      </c>
      <c r="CO21" s="1">
        <f t="shared" si="10"/>
        <v>4</v>
      </c>
      <c r="CP21" s="1">
        <f t="shared" si="39"/>
        <v>6</v>
      </c>
      <c r="CQ21" s="1">
        <f t="shared" si="11"/>
        <v>4</v>
      </c>
      <c r="CR21" s="1">
        <f t="shared" si="40"/>
        <v>4</v>
      </c>
      <c r="CS21" s="1">
        <f t="shared" si="41"/>
        <v>5</v>
      </c>
      <c r="CT21" s="1">
        <f t="shared" si="42"/>
        <v>4</v>
      </c>
      <c r="CU21" s="1">
        <f t="shared" si="12"/>
        <v>4</v>
      </c>
      <c r="CV21" s="1">
        <f t="shared" si="13"/>
        <v>22</v>
      </c>
      <c r="CW21" s="1">
        <f t="shared" si="14"/>
        <v>27</v>
      </c>
      <c r="CX21" s="1">
        <f t="shared" si="15"/>
        <v>13</v>
      </c>
      <c r="CY21" s="29" t="str">
        <f t="shared" si="43"/>
        <v>中①</v>
      </c>
      <c r="CZ21" s="1">
        <v>0.8</v>
      </c>
      <c r="DA21" s="2">
        <f t="shared" si="16"/>
        <v>0.19999999999999996</v>
      </c>
      <c r="DB21" s="1">
        <f>IF(('[1]フォームの回答 1'!BI21="いつもより寝つきは良い"),0,(IF(('[1]フォームの回答 1'!BI21="いつもより少し時間がかかった"),1,(IF(('[1]フォームの回答 1'!BI21="いつもよりかなり時間がかかった"),2,(IF(('[1]フォームの回答 1'!BI21="いつもより非常に時間がかかった、あるいは全く眠れなかった"),3,"")))))))</f>
        <v>0</v>
      </c>
      <c r="DC21" s="1">
        <f>IF(('[1]フォームの回答 1'!BJ21="問題になるほどのことはなかった"),0,(IF(('[1]フォームの回答 1'!BJ21="少し困ることがある"),1,(IF(('[1]フォームの回答 1'!BJ21="かなり困っている"),2,(IF(('[1]フォームの回答 1'!BJ21="深刻な状態、あるいは全く眠れなかった"),3,"")))))))</f>
        <v>1</v>
      </c>
      <c r="DD21" s="1">
        <f>IF(('[1]フォームの回答 1'!BK21="そのようなことはなかった"),0,(IF(('[1]フォームの回答 1'!BK21="少し早かった"),1,(IF(('[1]フォームの回答 1'!BK21="かなり早かった"),2,(IF(('[1]フォームの回答 1'!BK21="非常に早かった、あるいは全く眠れなかった"),3,"")))))))</f>
        <v>1</v>
      </c>
      <c r="DE21" s="1">
        <f>IF(('[1]フォームの回答 1'!BL21="十分である"),0,(IF(('[1]フォームの回答 1'!BL21="少し足りない"),1,(IF(('[1]フォームの回答 1'!BL21="かなり足りない"),2,(IF(('[1]フォームの回答 1'!BL21="全く足りない、あるいは全く眠れなかった"),3,"")))))))</f>
        <v>0</v>
      </c>
      <c r="DF21" s="1">
        <f>IF(('[1]フォームの回答 1'!BM21="満足している"),0,(IF(('[1]フォームの回答 1'!BM21="少し不満である"),1,(IF(('[1]フォームの回答 1'!BM21="かなり不満である"),2,(IF(('[1]フォームの回答 1'!BM21="非常に不満である、あるいは全く眠れなかった"),3,"")))))))</f>
        <v>1</v>
      </c>
      <c r="DG21" s="1">
        <f>IF(('[1]フォームの回答 1'!BN21="いつもどおり"),0,(IF(('[1]フォームの回答 1'!BN21="少し滅入った"),1,(IF(('[1]フォームの回答 1'!BN21="かなり滅入った"),2,(IF(('[1]フォームの回答 1'!BN21="非常に滅入った"),3,"")))))))</f>
        <v>1</v>
      </c>
      <c r="DH21" s="1">
        <f>IF(('[1]フォームの回答 1'!BO21="いつもどおり"),0,(IF(('[1]フォームの回答 1'!BO21="少し低下した"),1,(IF(('[1]フォームの回答 1'!BO21="かなり低下した"),2,(IF(('[1]フォームの回答 1'!BO21="非常に低下した"),3,"")))))))</f>
        <v>1</v>
      </c>
      <c r="DI21" s="1">
        <f>IF(('[1]フォームの回答 1'!BP21="全くなかった"),0,(IF(('[1]フォームの回答 1'!BP21="少しあった"),1,(IF(('[1]フォームの回答 1'!BP21="かなりあった"),2,(IF(('[1]フォームの回答 1'!BP21="激しかった"),3,"")))))))</f>
        <v>0</v>
      </c>
      <c r="DJ21">
        <f t="shared" si="44"/>
        <v>5</v>
      </c>
      <c r="DK21" s="4" t="str">
        <f t="shared" si="45"/>
        <v>中</v>
      </c>
      <c r="DL21" s="5">
        <v>39.200000000000003</v>
      </c>
      <c r="DM21" s="5">
        <v>30</v>
      </c>
      <c r="DN21" s="5">
        <v>40.5</v>
      </c>
      <c r="DO21" s="5">
        <v>109.7</v>
      </c>
      <c r="DP21" s="5"/>
      <c r="DQ21" s="5"/>
      <c r="DR21" s="43">
        <v>0.24</v>
      </c>
      <c r="DS21" s="43">
        <v>38.520000000000003</v>
      </c>
      <c r="DT21" s="5">
        <v>0.62</v>
      </c>
      <c r="DU21" s="5">
        <v>10</v>
      </c>
      <c r="DV21" s="5" t="s">
        <v>115</v>
      </c>
    </row>
    <row r="22" spans="1:126" ht="14" hidden="1">
      <c r="A22" s="1">
        <v>312</v>
      </c>
      <c r="B22" s="24" t="s">
        <v>139</v>
      </c>
      <c r="C22" s="24">
        <v>32749</v>
      </c>
      <c r="D22" s="38">
        <f t="shared" si="17"/>
        <v>34</v>
      </c>
      <c r="E22" s="1">
        <f>IF(('[1]フォームの回答 1'!C22="そうだ"),1,(IF(('[1]フォームの回答 1'!C22="まぁそうだ"),2,(IF(('[1]フォームの回答 1'!C22="ややちがう"),3,(IF(('[1]フォームの回答 1'!C22="ちがう"),4,"")))))))</f>
        <v>2</v>
      </c>
      <c r="F22" s="1">
        <f>IF(('[1]フォームの回答 1'!D22="そうだ"),1,(IF(('[1]フォームの回答 1'!D22="まぁそうだ"),2,(IF(('[1]フォームの回答 1'!D22="ややちがう"),3,(IF(('[1]フォームの回答 1'!D22="ちがう"),4,"")))))))</f>
        <v>2</v>
      </c>
      <c r="G22" s="1">
        <f>IF(('[1]フォームの回答 1'!E22="そうだ"),1,(IF(('[1]フォームの回答 1'!E22="まぁそうだ"),2,(IF(('[1]フォームの回答 1'!E22="ややちがう"),3,(IF(('[1]フォームの回答 1'!E22="ちがう"),4,"")))))))</f>
        <v>3</v>
      </c>
      <c r="H22" s="1">
        <f>IF(('[1]フォームの回答 1'!F22="そうだ"),1,(IF(('[1]フォームの回答 1'!F22="まぁそうだ"),2,(IF(('[1]フォームの回答 1'!F22="ややちがう"),3,(IF(('[1]フォームの回答 1'!F22="ちがう"),4,"")))))))</f>
        <v>3</v>
      </c>
      <c r="I22" s="1">
        <f>IF(('[1]フォームの回答 1'!G22="そうだ"),1,(IF(('[1]フォームの回答 1'!G22="まぁそうだ"),2,(IF(('[1]フォームの回答 1'!G22="ややちがう"),3,(IF(('[1]フォームの回答 1'!G22="ちがう"),4,"")))))))</f>
        <v>2</v>
      </c>
      <c r="J22" s="1">
        <f>IF(('[1]フォームの回答 1'!H22="そうだ"),1,(IF(('[1]フォームの回答 1'!H22="まぁそうだ"),2,(IF(('[1]フォームの回答 1'!H22="ややちがう"),3,(IF(('[1]フォームの回答 1'!H22="ちがう"),4,"")))))))</f>
        <v>3</v>
      </c>
      <c r="K22" s="1">
        <f>IF(('[1]フォームの回答 1'!I22="そうだ"),1,(IF(('[1]フォームの回答 1'!I22="まぁそうだ"),2,(IF(('[1]フォームの回答 1'!I22="ややちがう"),3,(IF(('[1]フォームの回答 1'!I22="ちがう"),4,"")))))))</f>
        <v>3</v>
      </c>
      <c r="L22" s="1">
        <f>IF(('[1]フォームの回答 1'!J22="そうだ"),1,(IF(('[1]フォームの回答 1'!J22="まぁそうだ"),2,(IF(('[1]フォームの回答 1'!J22="ややちがう"),3,(IF(('[1]フォームの回答 1'!J22="ちがう"),4,"")))))))</f>
        <v>2</v>
      </c>
      <c r="M22" s="1">
        <f>IF(('[1]フォームの回答 1'!K22="そうだ"),1,(IF(('[1]フォームの回答 1'!K22="まぁそうだ"),2,(IF(('[1]フォームの回答 1'!K22="ややちがう"),3,(IF(('[1]フォームの回答 1'!K22="ちがう"),4,"")))))))</f>
        <v>1</v>
      </c>
      <c r="N22" s="1">
        <f>IF(('[1]フォームの回答 1'!L22="そうだ"),1,(IF(('[1]フォームの回答 1'!L22="まぁそうだ"),2,(IF(('[1]フォームの回答 1'!L22="ややちがう"),3,(IF(('[1]フォームの回答 1'!L22="ちがう"),4,"")))))))</f>
        <v>1</v>
      </c>
      <c r="O22" s="1">
        <f>IF(('[1]フォームの回答 1'!M22="そうだ"),1,(IF(('[1]フォームの回答 1'!M22="まぁそうだ"),2,(IF(('[1]フォームの回答 1'!M22="ややちがう"),3,(IF(('[1]フォームの回答 1'!M22="ちがう"),4,"")))))))</f>
        <v>4</v>
      </c>
      <c r="P22" s="1">
        <f>IF(('[1]フォームの回答 1'!N22="そうだ"),1,(IF(('[1]フォームの回答 1'!N22="まぁそうだ"),2,(IF(('[1]フォームの回答 1'!N22="ややちがう"),3,(IF(('[1]フォームの回答 1'!N22="ちがう"),4,"")))))))</f>
        <v>3</v>
      </c>
      <c r="Q22" s="1">
        <f>IF(('[1]フォームの回答 1'!O22="そうだ"),1,(IF(('[1]フォームの回答 1'!O22="まぁそうだ"),2,(IF(('[1]フォームの回答 1'!O22="ややちがう"),3,(IF(('[1]フォームの回答 1'!O22="ちがう"),4,"")))))))</f>
        <v>2</v>
      </c>
      <c r="R22" s="1">
        <f>IF(('[1]フォームの回答 1'!P22="そうだ"),1,(IF(('[1]フォームの回答 1'!P22="まぁそうだ"),2,(IF(('[1]フォームの回答 1'!P22="ややちがう"),3,(IF(('[1]フォームの回答 1'!P22="ちがう"),4,"")))))))</f>
        <v>2</v>
      </c>
      <c r="S22" s="1">
        <f>IF(('[1]フォームの回答 1'!Q22="そうだ"),1,(IF(('[1]フォームの回答 1'!Q22="まぁそうだ"),2,(IF(('[1]フォームの回答 1'!Q22="ややちがう"),3,(IF(('[1]フォームの回答 1'!Q22="ちがう"),4,"")))))))</f>
        <v>3</v>
      </c>
      <c r="T22" s="1">
        <f>IF(('[1]フォームの回答 1'!R22="そうだ"),1,(IF(('[1]フォームの回答 1'!R22="まぁそうだ"),2,(IF(('[1]フォームの回答 1'!R22="ややちがう"),3,(IF(('[1]フォームの回答 1'!R22="ちがう"),4,"")))))))</f>
        <v>2</v>
      </c>
      <c r="U22" s="1">
        <f>IF(('[1]フォームの回答 1'!S22="そうだ"),1,(IF(('[1]フォームの回答 1'!S22="まぁそうだ"),2,(IF(('[1]フォームの回答 1'!S22="ややちがう"),3,(IF(('[1]フォームの回答 1'!S22="ちがう"),4,"")))))))</f>
        <v>2</v>
      </c>
      <c r="V22" s="1">
        <f t="shared" si="18"/>
        <v>8</v>
      </c>
      <c r="W22" s="1">
        <f t="shared" si="0"/>
        <v>3</v>
      </c>
      <c r="X22" s="1">
        <f t="shared" si="19"/>
        <v>7</v>
      </c>
      <c r="Y22" s="1">
        <f t="shared" si="1"/>
        <v>2</v>
      </c>
      <c r="Z22" s="1">
        <f t="shared" si="20"/>
        <v>2</v>
      </c>
      <c r="AA22" s="1">
        <f t="shared" si="21"/>
        <v>3</v>
      </c>
      <c r="AB22" s="1">
        <f t="shared" si="22"/>
        <v>7</v>
      </c>
      <c r="AC22" s="1">
        <f t="shared" si="23"/>
        <v>3</v>
      </c>
      <c r="AD22" s="1">
        <f t="shared" si="24"/>
        <v>2</v>
      </c>
      <c r="AE22" s="1">
        <f t="shared" si="2"/>
        <v>3</v>
      </c>
      <c r="AF22" s="1">
        <f t="shared" si="25"/>
        <v>11</v>
      </c>
      <c r="AG22" s="1">
        <f t="shared" si="3"/>
        <v>1</v>
      </c>
      <c r="AH22" s="1">
        <f t="shared" si="26"/>
        <v>4</v>
      </c>
      <c r="AI22" s="1">
        <f t="shared" si="27"/>
        <v>2</v>
      </c>
      <c r="AJ22" s="1">
        <f t="shared" si="28"/>
        <v>3</v>
      </c>
      <c r="AK22" s="1">
        <f t="shared" si="29"/>
        <v>3</v>
      </c>
      <c r="AL22" s="1">
        <f t="shared" si="30"/>
        <v>3</v>
      </c>
      <c r="AM22" s="1">
        <f t="shared" si="31"/>
        <v>3</v>
      </c>
      <c r="AN22" s="1">
        <f>IF(('[1]フォームの回答 1'!T22="ほとんどなかった"),1,(IF(('[1]フォームの回答 1'!T22="ときどきあった"),2,(IF(('[1]フォームの回答 1'!T22="しばしばあった"),3,(IF(('[1]フォームの回答 1'!T22="ほとんどいつもあった"),4,"")))))))</f>
        <v>2</v>
      </c>
      <c r="AO22" s="1">
        <f>IF(('[1]フォームの回答 1'!U22="ほとんどなかった"),1,(IF(('[1]フォームの回答 1'!U22="ときどきあった"),2,(IF(('[1]フォームの回答 1'!U22="しばしばあった"),3,(IF(('[1]フォームの回答 1'!U22="ほとんどいつもあった"),4,"")))))))</f>
        <v>2</v>
      </c>
      <c r="AP22" s="1">
        <f>IF(('[1]フォームの回答 1'!V22="ほとんどなかった"),1,(IF(('[1]フォームの回答 1'!V22="ときどきあった"),2,(IF(('[1]フォームの回答 1'!V22="しばしばあった"),3,(IF(('[1]フォームの回答 1'!V22="ほとんどいつもあった"),4,"")))))))</f>
        <v>2</v>
      </c>
      <c r="AQ22" s="1">
        <f>IF(('[1]フォームの回答 1'!W22="ほとんどなかった"),1,(IF(('[1]フォームの回答 1'!W22="ときどきあった"),2,(IF(('[1]フォームの回答 1'!W22="しばしばあった"),3,(IF(('[1]フォームの回答 1'!W22="ほとんどいつもあった"),4,"")))))))</f>
        <v>2</v>
      </c>
      <c r="AR22" s="1">
        <f>IF(('[1]フォームの回答 1'!X22="ほとんどなかった"),1,(IF(('[1]フォームの回答 1'!X22="ときどきあった"),2,(IF(('[1]フォームの回答 1'!X22="しばしばあった"),3,(IF(('[1]フォームの回答 1'!X22="ほとんどいつもあった"),4,"")))))))</f>
        <v>1</v>
      </c>
      <c r="AS22" s="1">
        <f>IF(('[1]フォームの回答 1'!Y22="ほとんどなかった"),1,(IF(('[1]フォームの回答 1'!Y22="ときどきあった"),2,(IF(('[1]フォームの回答 1'!Y22="しばしばあった"),3,(IF(('[1]フォームの回答 1'!Y22="ほとんどいつもあった"),4,"")))))))</f>
        <v>2</v>
      </c>
      <c r="AT22" s="1">
        <f>IF(('[1]フォームの回答 1'!Z22="ほとんどなかった"),1,(IF(('[1]フォームの回答 1'!Z22="ときどきあった"),2,(IF(('[1]フォームの回答 1'!Z22="しばしばあった"),3,(IF(('[1]フォームの回答 1'!Z22="ほとんどいつもあった"),4,"")))))))</f>
        <v>2</v>
      </c>
      <c r="AU22" s="1">
        <f>IF(('[1]フォームの回答 1'!AA22="ほとんどなかった"),1,(IF(('[1]フォームの回答 1'!AA22="ときどきあった"),2,(IF(('[1]フォームの回答 1'!AA22="しばしばあった"),3,(IF(('[1]フォームの回答 1'!AA22="ほとんどいつもあった"),4,"")))))))</f>
        <v>2</v>
      </c>
      <c r="AV22" s="1">
        <f>IF(('[1]フォームの回答 1'!AB22="ほとんどなかった"),1,(IF(('[1]フォームの回答 1'!AB22="ときどきばあった"),2,(IF(('[1]フォームの回答 1'!AB22="しばしばあった"),3,(IF(('[1]フォームの回答 1'!AB22="ほとんどいつもあった"),4,"")))))))</f>
        <v>2</v>
      </c>
      <c r="AW22" s="1">
        <f>IF(('[1]フォームの回答 1'!AC22="ほとんどなかった"),1,(IF(('[1]フォームの回答 1'!AC22="ときどきあった"),2,(IF(('[1]フォームの回答 1'!AC22="しばしばあった"),3,(IF(('[1]フォームの回答 1'!AC22="ほとんどいつもあった"),4,"")))))))</f>
        <v>2</v>
      </c>
      <c r="AX22" s="1">
        <f>IF(('[1]フォームの回答 1'!AD22="ほとんどなかった"),1,(IF(('[1]フォームの回答 1'!AD22="ときどきあった"),2,(IF(('[1]フォームの回答 1'!AD22="しばしばあった"),3,(IF(('[1]フォームの回答 1'!AD22="ほとんどいつもあった"),4,"")))))))</f>
        <v>1</v>
      </c>
      <c r="AY22" s="1">
        <f>IF(('[1]フォームの回答 1'!AE22="ほとんどなかった"),1,(IF(('[1]フォームの回答 1'!AE22="ときどきあった"),2,(IF(('[1]フォームの回答 1'!AE22="しばしばあった"),3,(IF(('[1]フォームの回答 1'!AE22="ほとんどいつもあった"),4,"")))))))</f>
        <v>2</v>
      </c>
      <c r="AZ22" s="1">
        <f>IF(('[1]フォームの回答 1'!AF22="ほとんどなかった"),1,(IF(('[1]フォームの回答 1'!AF22="ときどきあった"),2,(IF(('[1]フォームの回答 1'!AF22="しばしばあった"),3,(IF(('[1]フォームの回答 1'!AF22="ほとんどいつもあった"),4,"")))))))</f>
        <v>1</v>
      </c>
      <c r="BA22" s="1">
        <f>IF(('[1]フォームの回答 1'!AG22="ほとんどなかった"),1,(IF(('[1]フォームの回答 1'!AG22="ときどきあった"),2,(IF(('[1]フォームの回答 1'!AG22="しばしばあった"),3,(IF(('[1]フォームの回答 1'!AG22="ほとんどいつもあった"),4,"")))))))</f>
        <v>2</v>
      </c>
      <c r="BB22" s="1">
        <f>IF(('[1]フォームの回答 1'!AH22="ほとんどなかった"),1,(IF(('[1]フォームの回答 1'!AH22="ときどきあった"),2,(IF(('[1]フォームの回答 1'!AH22="しばしばあった"),3,(IF(('[1]フォームの回答 1'!AH22="ほとんどいつもあった"),4,"")))))))</f>
        <v>2</v>
      </c>
      <c r="BC22" s="1">
        <f>IF(('[1]フォームの回答 1'!AI22="ほとんどなかった"),1,(IF(('[1]フォームの回答 1'!AI22="ときどきあった"),2,(IF(('[1]フォームの回答 1'!AI22="しばしばあった"),3,(IF(('[1]フォームの回答 1'!AI22="ほとんどいつもあった"),4,"")))))))</f>
        <v>2</v>
      </c>
      <c r="BD22" s="1">
        <f>IF(('[1]フォームの回答 1'!AJ22="ほとんどなかった"),1,(IF(('[1]フォームの回答 1'!AJ22="ときどきあった"),2,(IF(('[1]フォームの回答 1'!AJ22="しばしばあった"),3,(IF(('[1]フォームの回答 1'!AJ22="ほとんどいつもあった"),4,"")))))))</f>
        <v>2</v>
      </c>
      <c r="BE22" s="1">
        <f>IF(('[1]フォームの回答 1'!AK22="ほとんどなかった"),1,(IF(('[1]フォームの回答 1'!AK22="ときどきあった"),2,(IF(('[1]フォームの回答 1'!AK22="しばしばあった"),3,(IF(('[1]フォームの回答 1'!AK22="ほとんどいつもあった"),4,"")))))))</f>
        <v>2</v>
      </c>
      <c r="BF22" s="1">
        <f>IF(('[1]フォームの回答 1'!AL22="ほとんどなかった"),1,(IF(('[1]フォームの回答 1'!AL22="ときどきあった"),2,(IF(('[1]フォームの回答 1'!AL22="しばしばあった"),3,(IF(('[1]フォームの回答 1'!AL22="ほとんどいつもあった"),4,"")))))))</f>
        <v>1</v>
      </c>
      <c r="BG22" s="1">
        <f>IF(('[1]フォームの回答 1'!AM22="ほとんどなかった"),1,(IF(('[1]フォームの回答 1'!AM22="ときどきあった"),2,(IF(('[1]フォームの回答 1'!AM22="しばしばあった"),3,(IF(('[1]フォームの回答 1'!AM22="ほとんどいつもあった"),4,"")))))))</f>
        <v>1</v>
      </c>
      <c r="BH22" s="1">
        <f>IF(('[1]フォームの回答 1'!AN22="ほとんどなかった"),1,(IF(('[1]フォームの回答 1'!AN22="ときどきあった"),2,(IF(('[1]フォームの回答 1'!AN22="しばしばあった"),3,(IF(('[1]フォームの回答 1'!AN22="ほとんどいつもあった"),4,"")))))))</f>
        <v>3</v>
      </c>
      <c r="BI22" s="1">
        <f>IF(('[1]フォームの回答 1'!AO22="ほとんどなかった"),1,(IF(('[1]フォームの回答 1'!AO22="ときどきあった"),2,(IF(('[1]フォームの回答 1'!AO22="しばしばあった"),3,(IF(('[1]フォームの回答 1'!AO22="ほとんどいつもあった"),4,"")))))))</f>
        <v>2</v>
      </c>
      <c r="BJ22" s="1">
        <f>IF(('[1]フォームの回答 1'!AP22="ほとんどなかった"),1,(IF(('[1]フォームの回答 1'!AP22="ときどきあった"),2,(IF(('[1]フォームの回答 1'!AP22="しばしばあった"),3,(IF(('[1]フォームの回答 1'!AP22="ほとんどいつもあった"),4,"")))))))</f>
        <v>1</v>
      </c>
      <c r="BK22" s="1">
        <f>IF(('[1]フォームの回答 1'!AQ22="ほとんどなかった"),1,(IF(('[1]フォームの回答 1'!AQ22="ときどきあった"),2,(IF(('[1]フォームの回答 1'!AQ22="しばしばあった"),3,(IF(('[1]フォームの回答 1'!AQ22="ほとんどいつもあった"),4,"")))))))</f>
        <v>2</v>
      </c>
      <c r="BL22" s="1">
        <f>IF(('[1]フォームの回答 1'!AR22="ほとんどなかった"),1,(IF(('[1]フォームの回答 1'!AR22="ときどきあった"),2,(IF(('[1]フォームの回答 1'!AR22="しばしばあった"),3,(IF(('[1]フォームの回答 1'!AR22="ほとんどいつもあった"),4,"")))))))</f>
        <v>1</v>
      </c>
      <c r="BM22" s="1">
        <f>IF(('[1]フォームの回答 1'!AS22="ほとんどなかった"),1,(IF(('[1]フォームの回答 1'!AS22="ときどきあった"),2,(IF(('[1]フォームの回答 1'!AS22="しばしばあった"),3,(IF(('[1]フォームの回答 1'!AS22="ほとんどいつもあった"),4,"")))))))</f>
        <v>1</v>
      </c>
      <c r="BN22" s="1">
        <f>IF(('[1]フォームの回答 1'!AT22="ほとんどなかった"),1,(IF(('[1]フォームの回答 1'!AT22="ときどきあった"),2,(IF(('[1]フォームの回答 1'!AT22="しばしばあった"),3,(IF(('[1]フォームの回答 1'!AT22="ほとんどいつもあった"),4,"")))))))</f>
        <v>1</v>
      </c>
      <c r="BO22" s="1">
        <f>IF(('[1]フォームの回答 1'!AU22="ほとんどなかった"),1,(IF(('[1]フォームの回答 1'!AU22="ときどきあった"),2,(IF(('[1]フォームの回答 1'!AU22="しばしばあった"),3,(IF(('[1]フォームの回答 1'!AU22="ほとんどいつもあった"),4,"")))))))</f>
        <v>2</v>
      </c>
      <c r="BP22" s="1">
        <f>IF(('[1]フォームの回答 1'!AV22="ほとんどなかった"),1,(IF(('[1]フォームの回答 1'!AV22="ときどきあった"),2,(IF(('[1]フォームの回答 1'!AV22="しばしばあった"),3,(IF(('[1]フォームの回答 1'!AV22="ほとんどいつもあった"),4,"")))))))</f>
        <v>1</v>
      </c>
      <c r="BQ22" s="1">
        <f t="shared" si="32"/>
        <v>6</v>
      </c>
      <c r="BR22" s="1">
        <f t="shared" si="33"/>
        <v>3</v>
      </c>
      <c r="BS22" s="1">
        <f t="shared" si="34"/>
        <v>5</v>
      </c>
      <c r="BT22" s="1">
        <f t="shared" si="4"/>
        <v>2</v>
      </c>
      <c r="BU22" s="1">
        <f t="shared" si="5"/>
        <v>6</v>
      </c>
      <c r="BV22" s="1">
        <f t="shared" si="6"/>
        <v>3</v>
      </c>
      <c r="BW22" s="1">
        <f t="shared" si="35"/>
        <v>5</v>
      </c>
      <c r="BX22" s="1">
        <f t="shared" si="7"/>
        <v>3</v>
      </c>
      <c r="BY22" s="1">
        <f t="shared" si="36"/>
        <v>11</v>
      </c>
      <c r="BZ22" s="1">
        <f t="shared" si="8"/>
        <v>3</v>
      </c>
      <c r="CA22" s="1">
        <f t="shared" si="37"/>
        <v>16</v>
      </c>
      <c r="CB22" s="1">
        <f t="shared" si="9"/>
        <v>3</v>
      </c>
      <c r="CC22" s="1">
        <f>IF(('[1]フォームの回答 1'!AW22="非常に"),1,(IF(('[1]フォームの回答 1'!AW22="かなり"),2,(IF(('[1]フォームの回答 1'!AW22="多少"),3,(IF(('[1]フォームの回答 1'!AW22="全くない"),4,"")))))))</f>
        <v>1</v>
      </c>
      <c r="CD22" s="1">
        <f>IF(('[1]フォームの回答 1'!AX22="非常に"),1,(IF(('[1]フォームの回答 1'!AX22="かなり"),2,(IF(('[1]フォームの回答 1'!AX22="多少"),3,(IF(('[1]フォームの回答 1'!AX22="全くない"),4,"")))))))</f>
        <v>1</v>
      </c>
      <c r="CE22" s="1">
        <f>IF(('[1]フォームの回答 1'!AY22="非常に"),1,(IF(('[1]フォームの回答 1'!AY22="かなり"),2,(IF(('[1]フォームの回答 1'!AY22="多少"),3,(IF(('[1]フォームの回答 1'!AY22="全くない"),4,"")))))))</f>
        <v>2</v>
      </c>
      <c r="CF22" s="1">
        <f>IF(('[1]フォームの回答 1'!AZ22="非常に"),1,(IF(('[1]フォームの回答 1'!AZ22="かなり"),2,(IF(('[1]フォームの回答 1'!AZ22="多少"),3,(IF(('[1]フォームの回答 1'!AZ22="全くない"),4,"")))))))</f>
        <v>2</v>
      </c>
      <c r="CG22" s="1">
        <f>IF(('[1]フォームの回答 1'!BA22="非常に"),1,(IF(('[1]フォームの回答 1'!BA22="かなり"),2,(IF(('[1]フォームの回答 1'!BA22="多少"),3,(IF(('[1]フォームの回答 1'!BA22="全くない"),4,"")))))))</f>
        <v>2</v>
      </c>
      <c r="CH22" s="1">
        <f>IF(('[1]フォームの回答 1'!BB22="非常に"),1,(IF(('[1]フォームの回答 1'!BB22="かなり"),2,(IF(('[1]フォームの回答 1'!BB22="多少"),3,(IF(('[1]フォームの回答 1'!BB22="全くない"),4,"")))))))</f>
        <v>2</v>
      </c>
      <c r="CI22" s="1">
        <f>IF(('[1]フォームの回答 1'!BC22="非常に"),1,(IF(('[1]フォームの回答 1'!BC22="かなり"),2,(IF(('[1]フォームの回答 1'!BC22="多少"),3,(IF(('[1]フォームの回答 1'!BC22="全くない"),4,"")))))))</f>
        <v>2</v>
      </c>
      <c r="CJ22" s="1">
        <f>IF(('[1]フォームの回答 1'!BD22="非常に"),1,(IF(('[1]フォームの回答 1'!BD22="かなり"),2,(IF(('[1]フォームの回答 1'!BD22="多少"),3,(IF(('[1]フォームの回答 1'!BD22="全くない"),4,"")))))))</f>
        <v>2</v>
      </c>
      <c r="CK22" s="1">
        <f>IF(('[1]フォームの回答 1'!BE22="非常に"),1,(IF(('[1]フォームの回答 1'!BE22="かなり"),2,(IF(('[1]フォームの回答 1'!BE22="多少"),3,(IF(('[1]フォームの回答 1'!BE22="全くない"),4,"")))))))</f>
        <v>2</v>
      </c>
      <c r="CL22" s="1">
        <f>IF(('[1]フォームの回答 1'!BF22="満足"),1,(IF(('[1]フォームの回答 1'!BF22="まぁ満足"),2,(IF(('[1]フォームの回答 1'!BF22="やや満足"),3,(IF(('[1]フォームの回答 1'!BF22="不満足"),4,"")))))))</f>
        <v>2</v>
      </c>
      <c r="CM22" s="1">
        <f>IF(('[1]フォームの回答 1'!BG22="満足"),1,(IF(('[1]フォームの回答 1'!BG22="まぁ満足"),2,(IF(('[1]フォームの回答 1'!BG22="やや満足"),3,(IF(('[1]フォームの回答 1'!BG22="不満足"),4,"")))))))</f>
        <v>2</v>
      </c>
      <c r="CN22" s="1">
        <f t="shared" si="38"/>
        <v>10</v>
      </c>
      <c r="CO22" s="1">
        <f t="shared" si="10"/>
        <v>2</v>
      </c>
      <c r="CP22" s="1">
        <f t="shared" si="39"/>
        <v>10</v>
      </c>
      <c r="CQ22" s="1">
        <f t="shared" si="11"/>
        <v>2</v>
      </c>
      <c r="CR22" s="1">
        <f t="shared" si="40"/>
        <v>9</v>
      </c>
      <c r="CS22" s="1">
        <f t="shared" si="41"/>
        <v>3</v>
      </c>
      <c r="CT22" s="1">
        <f t="shared" si="42"/>
        <v>6</v>
      </c>
      <c r="CU22" s="1">
        <f t="shared" si="12"/>
        <v>3</v>
      </c>
      <c r="CV22" s="1">
        <f t="shared" si="13"/>
        <v>17</v>
      </c>
      <c r="CW22" s="1">
        <f t="shared" si="14"/>
        <v>23</v>
      </c>
      <c r="CX22" s="1">
        <f t="shared" si="15"/>
        <v>7</v>
      </c>
      <c r="CY22" s="29" t="str">
        <f t="shared" si="43"/>
        <v>低</v>
      </c>
      <c r="CZ22" s="1">
        <v>0.75</v>
      </c>
      <c r="DA22" s="2">
        <f t="shared" si="16"/>
        <v>0.25</v>
      </c>
      <c r="DB22" s="1">
        <f>IF(('[1]フォームの回答 1'!BI22="いつもより寝つきは良い"),0,(IF(('[1]フォームの回答 1'!BI22="いつもより少し時間がかかった"),1,(IF(('[1]フォームの回答 1'!BI22="いつもよりかなり時間がかかった"),2,(IF(('[1]フォームの回答 1'!BI22="いつもより非常に時間がかかった、あるいは全く眠れなかった"),3,"")))))))</f>
        <v>0</v>
      </c>
      <c r="DC22" s="1">
        <f>IF(('[1]フォームの回答 1'!BJ22="問題になるほどのことはなかった"),0,(IF(('[1]フォームの回答 1'!BJ22="少し困ることがある"),1,(IF(('[1]フォームの回答 1'!BJ22="かなり困っている"),2,(IF(('[1]フォームの回答 1'!BJ22="深刻な状態、あるいは全く眠れなかった"),3,"")))))))</f>
        <v>0</v>
      </c>
      <c r="DD22" s="1">
        <f>IF(('[1]フォームの回答 1'!BK22="そのようなことはなかった"),0,(IF(('[1]フォームの回答 1'!BK22="少し早かった"),1,(IF(('[1]フォームの回答 1'!BK22="かなり早かった"),2,(IF(('[1]フォームの回答 1'!BK22="非常に早かった、あるいは全く眠れなかった"),3,"")))))))</f>
        <v>0</v>
      </c>
      <c r="DE22" s="1">
        <f>IF(('[1]フォームの回答 1'!BL22="十分である"),0,(IF(('[1]フォームの回答 1'!BL22="少し足りない"),1,(IF(('[1]フォームの回答 1'!BL22="かなり足りない"),2,(IF(('[1]フォームの回答 1'!BL22="全く足りない、あるいは全く眠れなかった"),3,"")))))))</f>
        <v>1</v>
      </c>
      <c r="DF22" s="1">
        <f>IF(('[1]フォームの回答 1'!BM22="満足している"),0,(IF(('[1]フォームの回答 1'!BM22="少し不満である"),1,(IF(('[1]フォームの回答 1'!BM22="かなり不満である"),2,(IF(('[1]フォームの回答 1'!BM22="非常に不満である、あるいは全く眠れなかった"),3,"")))))))</f>
        <v>0</v>
      </c>
      <c r="DG22" s="1">
        <f>IF(('[1]フォームの回答 1'!BN22="いつもどおり"),0,(IF(('[1]フォームの回答 1'!BN22="少し滅入った"),1,(IF(('[1]フォームの回答 1'!BN22="かなり滅入った"),2,(IF(('[1]フォームの回答 1'!BN22="非常に滅入った"),3,"")))))))</f>
        <v>0</v>
      </c>
      <c r="DH22" s="1">
        <f>IF(('[1]フォームの回答 1'!BO22="いつもどおり"),0,(IF(('[1]フォームの回答 1'!BO22="少し低下した"),1,(IF(('[1]フォームの回答 1'!BO22="かなり低下した"),2,(IF(('[1]フォームの回答 1'!BO22="非常に低下した"),3,"")))))))</f>
        <v>0</v>
      </c>
      <c r="DI22" s="1">
        <f>IF(('[1]フォームの回答 1'!BP22="全くなかった"),0,(IF(('[1]フォームの回答 1'!BP22="少しあった"),1,(IF(('[1]フォームの回答 1'!BP22="かなりあった"),2,(IF(('[1]フォームの回答 1'!BP22="激しかった"),3,"")))))))</f>
        <v>1</v>
      </c>
      <c r="DJ22">
        <f t="shared" si="44"/>
        <v>2</v>
      </c>
      <c r="DK22" s="4" t="str">
        <f t="shared" si="45"/>
        <v>低</v>
      </c>
      <c r="DL22" s="5">
        <v>8.6</v>
      </c>
      <c r="DM22" s="5">
        <v>12.8</v>
      </c>
      <c r="DN22" s="5">
        <v>39.9</v>
      </c>
      <c r="DO22" s="5">
        <v>61.3</v>
      </c>
      <c r="DP22" s="5"/>
      <c r="DQ22" s="5"/>
      <c r="DR22" s="43">
        <v>0.112</v>
      </c>
      <c r="DS22" s="43">
        <v>24</v>
      </c>
      <c r="DT22" s="5">
        <v>0.47</v>
      </c>
      <c r="DU22" s="5">
        <v>10</v>
      </c>
      <c r="DV22" s="5" t="s">
        <v>115</v>
      </c>
    </row>
    <row r="23" spans="1:126" ht="14">
      <c r="A23" s="1">
        <v>313</v>
      </c>
      <c r="B23" s="24" t="s">
        <v>139</v>
      </c>
      <c r="C23" s="24">
        <v>31152</v>
      </c>
      <c r="D23" s="38">
        <f t="shared" si="17"/>
        <v>39</v>
      </c>
      <c r="E23" s="1">
        <f>IF(('[1]フォームの回答 1'!C23="そうだ"),1,(IF(('[1]フォームの回答 1'!C23="まぁそうだ"),2,(IF(('[1]フォームの回答 1'!C23="ややちがう"),3,(IF(('[1]フォームの回答 1'!C23="ちがう"),4,"")))))))</f>
        <v>2</v>
      </c>
      <c r="F23" s="1">
        <f>IF(('[1]フォームの回答 1'!D23="そうだ"),1,(IF(('[1]フォームの回答 1'!D23="まぁそうだ"),2,(IF(('[1]フォームの回答 1'!D23="ややちがう"),3,(IF(('[1]フォームの回答 1'!D23="ちがう"),4,"")))))))</f>
        <v>2</v>
      </c>
      <c r="G23" s="1">
        <f>IF(('[1]フォームの回答 1'!E23="そうだ"),1,(IF(('[1]フォームの回答 1'!E23="まぁそうだ"),2,(IF(('[1]フォームの回答 1'!E23="ややちがう"),3,(IF(('[1]フォームの回答 1'!E23="ちがう"),4,"")))))))</f>
        <v>2</v>
      </c>
      <c r="H23" s="1">
        <f>IF(('[1]フォームの回答 1'!F23="そうだ"),1,(IF(('[1]フォームの回答 1'!F23="まぁそうだ"),2,(IF(('[1]フォームの回答 1'!F23="ややちがう"),3,(IF(('[1]フォームの回答 1'!F23="ちがう"),4,"")))))))</f>
        <v>1</v>
      </c>
      <c r="I23" s="1">
        <f>IF(('[1]フォームの回答 1'!G23="そうだ"),1,(IF(('[1]フォームの回答 1'!G23="まぁそうだ"),2,(IF(('[1]フォームの回答 1'!G23="ややちがう"),3,(IF(('[1]フォームの回答 1'!G23="ちがう"),4,"")))))))</f>
        <v>2</v>
      </c>
      <c r="J23" s="1">
        <f>IF(('[1]フォームの回答 1'!H23="そうだ"),1,(IF(('[1]フォームの回答 1'!H23="まぁそうだ"),2,(IF(('[1]フォームの回答 1'!H23="ややちがう"),3,(IF(('[1]フォームの回答 1'!H23="ちがう"),4,"")))))))</f>
        <v>2</v>
      </c>
      <c r="K23" s="1">
        <f>IF(('[1]フォームの回答 1'!I23="そうだ"),1,(IF(('[1]フォームの回答 1'!I23="まぁそうだ"),2,(IF(('[1]フォームの回答 1'!I23="ややちがう"),3,(IF(('[1]フォームの回答 1'!I23="ちがう"),4,"")))))))</f>
        <v>3</v>
      </c>
      <c r="L23" s="1">
        <f>IF(('[1]フォームの回答 1'!J23="そうだ"),1,(IF(('[1]フォームの回答 1'!J23="まぁそうだ"),2,(IF(('[1]フォームの回答 1'!J23="ややちがう"),3,(IF(('[1]フォームの回答 1'!J23="ちがう"),4,"")))))))</f>
        <v>2</v>
      </c>
      <c r="M23" s="1">
        <f>IF(('[1]フォームの回答 1'!K23="そうだ"),1,(IF(('[1]フォームの回答 1'!K23="まぁそうだ"),2,(IF(('[1]フォームの回答 1'!K23="ややちがう"),3,(IF(('[1]フォームの回答 1'!K23="ちがう"),4,"")))))))</f>
        <v>2</v>
      </c>
      <c r="N23" s="1">
        <f>IF(('[1]フォームの回答 1'!L23="そうだ"),1,(IF(('[1]フォームの回答 1'!L23="まぁそうだ"),2,(IF(('[1]フォームの回答 1'!L23="ややちがう"),3,(IF(('[1]フォームの回答 1'!L23="ちがう"),4,"")))))))</f>
        <v>2</v>
      </c>
      <c r="O23" s="1">
        <f>IF(('[1]フォームの回答 1'!M23="そうだ"),1,(IF(('[1]フォームの回答 1'!M23="まぁそうだ"),2,(IF(('[1]フォームの回答 1'!M23="ややちがう"),3,(IF(('[1]フォームの回答 1'!M23="ちがう"),4,"")))))))</f>
        <v>4</v>
      </c>
      <c r="P23" s="1">
        <f>IF(('[1]フォームの回答 1'!N23="そうだ"),1,(IF(('[1]フォームの回答 1'!N23="まぁそうだ"),2,(IF(('[1]フォームの回答 1'!N23="ややちがう"),3,(IF(('[1]フォームの回答 1'!N23="ちがう"),4,"")))))))</f>
        <v>3</v>
      </c>
      <c r="Q23" s="1">
        <f>IF(('[1]フォームの回答 1'!O23="そうだ"),1,(IF(('[1]フォームの回答 1'!O23="まぁそうだ"),2,(IF(('[1]フォームの回答 1'!O23="ややちがう"),3,(IF(('[1]フォームの回答 1'!O23="ちがう"),4,"")))))))</f>
        <v>4</v>
      </c>
      <c r="R23" s="1">
        <f>IF(('[1]フォームの回答 1'!P23="そうだ"),1,(IF(('[1]フォームの回答 1'!P23="まぁそうだ"),2,(IF(('[1]フォームの回答 1'!P23="ややちがう"),3,(IF(('[1]フォームの回答 1'!P23="ちがう"),4,"")))))))</f>
        <v>1</v>
      </c>
      <c r="S23" s="1">
        <f>IF(('[1]フォームの回答 1'!Q23="そうだ"),1,(IF(('[1]フォームの回答 1'!Q23="まぁそうだ"),2,(IF(('[1]フォームの回答 1'!Q23="ややちがう"),3,(IF(('[1]フォームの回答 1'!Q23="ちがう"),4,"")))))))</f>
        <v>3</v>
      </c>
      <c r="T23" s="1">
        <f>IF(('[1]フォームの回答 1'!R23="そうだ"),1,(IF(('[1]フォームの回答 1'!R23="まぁそうだ"),2,(IF(('[1]フォームの回答 1'!R23="ややちがう"),3,(IF(('[1]フォームの回答 1'!R23="ちがう"),4,"")))))))</f>
        <v>1</v>
      </c>
      <c r="U23" s="1">
        <f>IF(('[1]フォームの回答 1'!S23="そうだ"),1,(IF(('[1]フォームの回答 1'!S23="まぁそうだ"),2,(IF(('[1]フォームの回答 1'!S23="ややちがう"),3,(IF(('[1]フォームの回答 1'!S23="ちがう"),4,"")))))))</f>
        <v>2</v>
      </c>
      <c r="V23" s="1">
        <f t="shared" si="18"/>
        <v>9</v>
      </c>
      <c r="W23" s="1">
        <f t="shared" si="0"/>
        <v>3</v>
      </c>
      <c r="X23" s="1">
        <f t="shared" si="19"/>
        <v>10</v>
      </c>
      <c r="Y23" s="1">
        <f t="shared" si="1"/>
        <v>4</v>
      </c>
      <c r="Z23" s="1">
        <f t="shared" si="20"/>
        <v>2</v>
      </c>
      <c r="AA23" s="1">
        <f t="shared" si="21"/>
        <v>3</v>
      </c>
      <c r="AB23" s="1">
        <f t="shared" si="22"/>
        <v>4</v>
      </c>
      <c r="AC23" s="1">
        <f t="shared" si="23"/>
        <v>2</v>
      </c>
      <c r="AD23" s="1">
        <f t="shared" si="24"/>
        <v>2</v>
      </c>
      <c r="AE23" s="1">
        <f t="shared" si="2"/>
        <v>3</v>
      </c>
      <c r="AF23" s="1">
        <f t="shared" si="25"/>
        <v>9</v>
      </c>
      <c r="AG23" s="1">
        <f t="shared" si="3"/>
        <v>2</v>
      </c>
      <c r="AH23" s="1">
        <f t="shared" si="26"/>
        <v>4</v>
      </c>
      <c r="AI23" s="1">
        <f t="shared" si="27"/>
        <v>2</v>
      </c>
      <c r="AJ23" s="1">
        <f t="shared" si="28"/>
        <v>4</v>
      </c>
      <c r="AK23" s="1">
        <f t="shared" si="29"/>
        <v>1</v>
      </c>
      <c r="AL23" s="1">
        <f t="shared" si="30"/>
        <v>3</v>
      </c>
      <c r="AM23" s="1">
        <f t="shared" si="31"/>
        <v>3</v>
      </c>
      <c r="AN23" s="1">
        <f>IF(('[1]フォームの回答 1'!T23="ほとんどなかった"),1,(IF(('[1]フォームの回答 1'!T23="ときどきあった"),2,(IF(('[1]フォームの回答 1'!T23="しばしばあった"),3,(IF(('[1]フォームの回答 1'!T23="ほとんどいつもあった"),4,"")))))))</f>
        <v>3</v>
      </c>
      <c r="AO23" s="1">
        <f>IF(('[1]フォームの回答 1'!U23="ほとんどなかった"),1,(IF(('[1]フォームの回答 1'!U23="ときどきあった"),2,(IF(('[1]フォームの回答 1'!U23="しばしばあった"),3,(IF(('[1]フォームの回答 1'!U23="ほとんどいつもあった"),4,"")))))))</f>
        <v>2</v>
      </c>
      <c r="AP23" s="1">
        <f>IF(('[1]フォームの回答 1'!V23="ほとんどなかった"),1,(IF(('[1]フォームの回答 1'!V23="ときどきあった"),2,(IF(('[1]フォームの回答 1'!V23="しばしばあった"),3,(IF(('[1]フォームの回答 1'!V23="ほとんどいつもあった"),4,"")))))))</f>
        <v>2</v>
      </c>
      <c r="AQ23" s="1">
        <f>IF(('[1]フォームの回答 1'!W23="ほとんどなかった"),1,(IF(('[1]フォームの回答 1'!W23="ときどきあった"),2,(IF(('[1]フォームの回答 1'!W23="しばしばあった"),3,(IF(('[1]フォームの回答 1'!W23="ほとんどいつもあった"),4,"")))))))</f>
        <v>2</v>
      </c>
      <c r="AR23" s="1">
        <f>IF(('[1]フォームの回答 1'!X23="ほとんどなかった"),1,(IF(('[1]フォームの回答 1'!X23="ときどきあった"),2,(IF(('[1]フォームの回答 1'!X23="しばしばあった"),3,(IF(('[1]フォームの回答 1'!X23="ほとんどいつもあった"),4,"")))))))</f>
        <v>2</v>
      </c>
      <c r="AS23" s="1">
        <f>IF(('[1]フォームの回答 1'!Y23="ほとんどなかった"),1,(IF(('[1]フォームの回答 1'!Y23="ときどきあった"),2,(IF(('[1]フォームの回答 1'!Y23="しばしばあった"),3,(IF(('[1]フォームの回答 1'!Y23="ほとんどいつもあった"),4,"")))))))</f>
        <v>2</v>
      </c>
      <c r="AT23" s="1">
        <f>IF(('[1]フォームの回答 1'!Z23="ほとんどなかった"),1,(IF(('[1]フォームの回答 1'!Z23="ときどきあった"),2,(IF(('[1]フォームの回答 1'!Z23="しばしばあった"),3,(IF(('[1]フォームの回答 1'!Z23="ほとんどいつもあった"),4,"")))))))</f>
        <v>2</v>
      </c>
      <c r="AU23" s="1">
        <f>IF(('[1]フォームの回答 1'!AA23="ほとんどなかった"),1,(IF(('[1]フォームの回答 1'!AA23="ときどきあった"),2,(IF(('[1]フォームの回答 1'!AA23="しばしばあった"),3,(IF(('[1]フォームの回答 1'!AA23="ほとんどいつもあった"),4,"")))))))</f>
        <v>2</v>
      </c>
      <c r="AV23" s="1">
        <f>IF(('[1]フォームの回答 1'!AB23="ほとんどなかった"),1,(IF(('[1]フォームの回答 1'!AB23="ときどきばあった"),2,(IF(('[1]フォームの回答 1'!AB23="しばしばあった"),3,(IF(('[1]フォームの回答 1'!AB23="ほとんどいつもあった"),4,"")))))))</f>
        <v>2</v>
      </c>
      <c r="AW23" s="1">
        <f>IF(('[1]フォームの回答 1'!AC23="ほとんどなかった"),1,(IF(('[1]フォームの回答 1'!AC23="ときどきあった"),2,(IF(('[1]フォームの回答 1'!AC23="しばしばあった"),3,(IF(('[1]フォームの回答 1'!AC23="ほとんどいつもあった"),4,"")))))))</f>
        <v>2</v>
      </c>
      <c r="AX23" s="1">
        <f>IF(('[1]フォームの回答 1'!AD23="ほとんどなかった"),1,(IF(('[1]フォームの回答 1'!AD23="ときどきあった"),2,(IF(('[1]フォームの回答 1'!AD23="しばしばあった"),3,(IF(('[1]フォームの回答 1'!AD23="ほとんどいつもあった"),4,"")))))))</f>
        <v>2</v>
      </c>
      <c r="AY23" s="1">
        <f>IF(('[1]フォームの回答 1'!AE23="ほとんどなかった"),1,(IF(('[1]フォームの回答 1'!AE23="ときどきあった"),2,(IF(('[1]フォームの回答 1'!AE23="しばしばあった"),3,(IF(('[1]フォームの回答 1'!AE23="ほとんどいつもあった"),4,"")))))))</f>
        <v>1</v>
      </c>
      <c r="AZ23" s="1">
        <f>IF(('[1]フォームの回答 1'!AF23="ほとんどなかった"),1,(IF(('[1]フォームの回答 1'!AF23="ときどきあった"),2,(IF(('[1]フォームの回答 1'!AF23="しばしばあった"),3,(IF(('[1]フォームの回答 1'!AF23="ほとんどいつもあった"),4,"")))))))</f>
        <v>2</v>
      </c>
      <c r="BA23" s="1">
        <f>IF(('[1]フォームの回答 1'!AG23="ほとんどなかった"),1,(IF(('[1]フォームの回答 1'!AG23="ときどきあった"),2,(IF(('[1]フォームの回答 1'!AG23="しばしばあった"),3,(IF(('[1]フォームの回答 1'!AG23="ほとんどいつもあった"),4,"")))))))</f>
        <v>1</v>
      </c>
      <c r="BB23" s="1">
        <f>IF(('[1]フォームの回答 1'!AH23="ほとんどなかった"),1,(IF(('[1]フォームの回答 1'!AH23="ときどきあった"),2,(IF(('[1]フォームの回答 1'!AH23="しばしばあった"),3,(IF(('[1]フォームの回答 1'!AH23="ほとんどいつもあった"),4,"")))))))</f>
        <v>2</v>
      </c>
      <c r="BC23" s="1">
        <f>IF(('[1]フォームの回答 1'!AI23="ほとんどなかった"),1,(IF(('[1]フォームの回答 1'!AI23="ときどきあった"),2,(IF(('[1]フォームの回答 1'!AI23="しばしばあった"),3,(IF(('[1]フォームの回答 1'!AI23="ほとんどいつもあった"),4,"")))))))</f>
        <v>2</v>
      </c>
      <c r="BD23" s="1">
        <f>IF(('[1]フォームの回答 1'!AJ23="ほとんどなかった"),1,(IF(('[1]フォームの回答 1'!AJ23="ときどきあった"),2,(IF(('[1]フォームの回答 1'!AJ23="しばしばあった"),3,(IF(('[1]フォームの回答 1'!AJ23="ほとんどいつもあった"),4,"")))))))</f>
        <v>2</v>
      </c>
      <c r="BE23" s="1">
        <f>IF(('[1]フォームの回答 1'!AK23="ほとんどなかった"),1,(IF(('[1]フォームの回答 1'!AK23="ときどきあった"),2,(IF(('[1]フォームの回答 1'!AK23="しばしばあった"),3,(IF(('[1]フォームの回答 1'!AK23="ほとんどいつもあった"),4,"")))))))</f>
        <v>1</v>
      </c>
      <c r="BF23" s="1">
        <f>IF(('[1]フォームの回答 1'!AL23="ほとんどなかった"),1,(IF(('[1]フォームの回答 1'!AL23="ときどきあった"),2,(IF(('[1]フォームの回答 1'!AL23="しばしばあった"),3,(IF(('[1]フォームの回答 1'!AL23="ほとんどいつもあった"),4,"")))))))</f>
        <v>1</v>
      </c>
      <c r="BG23" s="1">
        <f>IF(('[1]フォームの回答 1'!AM23="ほとんどなかった"),1,(IF(('[1]フォームの回答 1'!AM23="ときどきあった"),2,(IF(('[1]フォームの回答 1'!AM23="しばしばあった"),3,(IF(('[1]フォームの回答 1'!AM23="ほとんどいつもあった"),4,"")))))))</f>
        <v>1</v>
      </c>
      <c r="BH23" s="1">
        <f>IF(('[1]フォームの回答 1'!AN23="ほとんどなかった"),1,(IF(('[1]フォームの回答 1'!AN23="ときどきあった"),2,(IF(('[1]フォームの回答 1'!AN23="しばしばあった"),3,(IF(('[1]フォームの回答 1'!AN23="ほとんどいつもあった"),4,"")))))))</f>
        <v>1</v>
      </c>
      <c r="BI23" s="1">
        <f>IF(('[1]フォームの回答 1'!AO23="ほとんどなかった"),1,(IF(('[1]フォームの回答 1'!AO23="ときどきあった"),2,(IF(('[1]フォームの回答 1'!AO23="しばしばあった"),3,(IF(('[1]フォームの回答 1'!AO23="ほとんどいつもあった"),4,"")))))))</f>
        <v>4</v>
      </c>
      <c r="BJ23" s="1">
        <f>IF(('[1]フォームの回答 1'!AP23="ほとんどなかった"),1,(IF(('[1]フォームの回答 1'!AP23="ときどきあった"),2,(IF(('[1]フォームの回答 1'!AP23="しばしばあった"),3,(IF(('[1]フォームの回答 1'!AP23="ほとんどいつもあった"),4,"")))))))</f>
        <v>3</v>
      </c>
      <c r="BK23" s="1">
        <f>IF(('[1]フォームの回答 1'!AQ23="ほとんどなかった"),1,(IF(('[1]フォームの回答 1'!AQ23="ときどきあった"),2,(IF(('[1]フォームの回答 1'!AQ23="しばしばあった"),3,(IF(('[1]フォームの回答 1'!AQ23="ほとんどいつもあった"),4,"")))))))</f>
        <v>1</v>
      </c>
      <c r="BL23" s="1">
        <f>IF(('[1]フォームの回答 1'!AR23="ほとんどなかった"),1,(IF(('[1]フォームの回答 1'!AR23="ときどきあった"),2,(IF(('[1]フォームの回答 1'!AR23="しばしばあった"),3,(IF(('[1]フォームの回答 1'!AR23="ほとんどいつもあった"),4,"")))))))</f>
        <v>1</v>
      </c>
      <c r="BM23" s="1">
        <f>IF(('[1]フォームの回答 1'!AS23="ほとんどなかった"),1,(IF(('[1]フォームの回答 1'!AS23="ときどきあった"),2,(IF(('[1]フォームの回答 1'!AS23="しばしばあった"),3,(IF(('[1]フォームの回答 1'!AS23="ほとんどいつもあった"),4,"")))))))</f>
        <v>3</v>
      </c>
      <c r="BN23" s="1">
        <f>IF(('[1]フォームの回答 1'!AT23="ほとんどなかった"),1,(IF(('[1]フォームの回答 1'!AT23="ときどきあった"),2,(IF(('[1]フォームの回答 1'!AT23="しばしばあった"),3,(IF(('[1]フォームの回答 1'!AT23="ほとんどいつもあった"),4,"")))))))</f>
        <v>1</v>
      </c>
      <c r="BO23" s="1">
        <f>IF(('[1]フォームの回答 1'!AU23="ほとんどなかった"),1,(IF(('[1]フォームの回答 1'!AU23="ときどきあった"),2,(IF(('[1]フォームの回答 1'!AU23="しばしばあった"),3,(IF(('[1]フォームの回答 1'!AU23="ほとんどいつもあった"),4,"")))))))</f>
        <v>3</v>
      </c>
      <c r="BP23" s="1">
        <f>IF(('[1]フォームの回答 1'!AV23="ほとんどなかった"),1,(IF(('[1]フォームの回答 1'!AV23="ときどきあった"),2,(IF(('[1]フォームの回答 1'!AV23="しばしばあった"),3,(IF(('[1]フォームの回答 1'!AV23="ほとんどいつもあった"),4,"")))))))</f>
        <v>2</v>
      </c>
      <c r="BQ23" s="1">
        <f t="shared" si="32"/>
        <v>7</v>
      </c>
      <c r="BR23" s="1">
        <f t="shared" si="33"/>
        <v>3</v>
      </c>
      <c r="BS23" s="1">
        <f t="shared" si="34"/>
        <v>6</v>
      </c>
      <c r="BT23" s="1">
        <f t="shared" si="4"/>
        <v>3</v>
      </c>
      <c r="BU23" s="1">
        <f t="shared" si="5"/>
        <v>6</v>
      </c>
      <c r="BV23" s="1">
        <f t="shared" si="6"/>
        <v>3</v>
      </c>
      <c r="BW23" s="1">
        <f t="shared" si="35"/>
        <v>5</v>
      </c>
      <c r="BX23" s="1">
        <f t="shared" si="7"/>
        <v>3</v>
      </c>
      <c r="BY23" s="1">
        <f t="shared" si="36"/>
        <v>10</v>
      </c>
      <c r="BZ23" s="1">
        <f t="shared" si="8"/>
        <v>3</v>
      </c>
      <c r="CA23" s="1">
        <f t="shared" si="37"/>
        <v>21</v>
      </c>
      <c r="CB23" s="1">
        <f t="shared" si="9"/>
        <v>3</v>
      </c>
      <c r="CC23" s="1">
        <f>IF(('[1]フォームの回答 1'!AW23="非常に"),1,(IF(('[1]フォームの回答 1'!AW23="かなり"),2,(IF(('[1]フォームの回答 1'!AW23="多少"),3,(IF(('[1]フォームの回答 1'!AW23="全くない"),4,"")))))))</f>
        <v>3</v>
      </c>
      <c r="CD23" s="1">
        <f>IF(('[1]フォームの回答 1'!AX23="非常に"),1,(IF(('[1]フォームの回答 1'!AX23="かなり"),2,(IF(('[1]フォームの回答 1'!AX23="多少"),3,(IF(('[1]フォームの回答 1'!AX23="全くない"),4,"")))))))</f>
        <v>3</v>
      </c>
      <c r="CE23" s="1">
        <f>IF(('[1]フォームの回答 1'!AY23="非常に"),1,(IF(('[1]フォームの回答 1'!AY23="かなり"),2,(IF(('[1]フォームの回答 1'!AY23="多少"),3,(IF(('[1]フォームの回答 1'!AY23="全くない"),4,"")))))))</f>
        <v>2</v>
      </c>
      <c r="CF23" s="1">
        <f>IF(('[1]フォームの回答 1'!AZ23="非常に"),1,(IF(('[1]フォームの回答 1'!AZ23="かなり"),2,(IF(('[1]フォームの回答 1'!AZ23="多少"),3,(IF(('[1]フォームの回答 1'!AZ23="全くない"),4,"")))))))</f>
        <v>2</v>
      </c>
      <c r="CG23" s="1">
        <f>IF(('[1]フォームの回答 1'!BA23="非常に"),1,(IF(('[1]フォームの回答 1'!BA23="かなり"),2,(IF(('[1]フォームの回答 1'!BA23="多少"),3,(IF(('[1]フォームの回答 1'!BA23="全くない"),4,"")))))))</f>
        <v>2</v>
      </c>
      <c r="CH23" s="1">
        <f>IF(('[1]フォームの回答 1'!BB23="非常に"),1,(IF(('[1]フォームの回答 1'!BB23="かなり"),2,(IF(('[1]フォームの回答 1'!BB23="多少"),3,(IF(('[1]フォームの回答 1'!BB23="全くない"),4,"")))))))</f>
        <v>2</v>
      </c>
      <c r="CI23" s="1">
        <f>IF(('[1]フォームの回答 1'!BC23="非常に"),1,(IF(('[1]フォームの回答 1'!BC23="かなり"),2,(IF(('[1]フォームの回答 1'!BC23="多少"),3,(IF(('[1]フォームの回答 1'!BC23="全くない"),4,"")))))))</f>
        <v>2</v>
      </c>
      <c r="CJ23" s="1">
        <f>IF(('[1]フォームの回答 1'!BD23="非常に"),1,(IF(('[1]フォームの回答 1'!BD23="かなり"),2,(IF(('[1]フォームの回答 1'!BD23="多少"),3,(IF(('[1]フォームの回答 1'!BD23="全くない"),4,"")))))))</f>
        <v>3</v>
      </c>
      <c r="CK23" s="1">
        <f>IF(('[1]フォームの回答 1'!BE23="非常に"),1,(IF(('[1]フォームの回答 1'!BE23="かなり"),2,(IF(('[1]フォームの回答 1'!BE23="多少"),3,(IF(('[1]フォームの回答 1'!BE23="全くない"),4,"")))))))</f>
        <v>2</v>
      </c>
      <c r="CL23" s="1">
        <f>IF(('[1]フォームの回答 1'!BF23="満足"),1,(IF(('[1]フォームの回答 1'!BF23="まぁ満足"),2,(IF(('[1]フォームの回答 1'!BF23="やや満足"),3,(IF(('[1]フォームの回答 1'!BF23="不満足"),4,"")))))))</f>
        <v>2</v>
      </c>
      <c r="CM23" s="1">
        <f>IF(('[1]フォームの回答 1'!BG23="満足"),1,(IF(('[1]フォームの回答 1'!BG23="まぁ満足"),2,(IF(('[1]フォームの回答 1'!BG23="やや満足"),3,(IF(('[1]フォームの回答 1'!BG23="不満足"),4,"")))))))</f>
        <v>2</v>
      </c>
      <c r="CN23" s="1">
        <f t="shared" si="38"/>
        <v>8</v>
      </c>
      <c r="CO23" s="1">
        <f t="shared" si="10"/>
        <v>3</v>
      </c>
      <c r="CP23" s="1">
        <f t="shared" si="39"/>
        <v>7</v>
      </c>
      <c r="CQ23" s="1">
        <f t="shared" si="11"/>
        <v>4</v>
      </c>
      <c r="CR23" s="1">
        <f t="shared" si="40"/>
        <v>9</v>
      </c>
      <c r="CS23" s="1">
        <f t="shared" si="41"/>
        <v>3</v>
      </c>
      <c r="CT23" s="1">
        <f t="shared" si="42"/>
        <v>6</v>
      </c>
      <c r="CU23" s="1">
        <f t="shared" si="12"/>
        <v>3</v>
      </c>
      <c r="CV23" s="1">
        <f t="shared" si="13"/>
        <v>18</v>
      </c>
      <c r="CW23" s="1">
        <f t="shared" si="14"/>
        <v>23</v>
      </c>
      <c r="CX23" s="1">
        <f t="shared" si="15"/>
        <v>10</v>
      </c>
      <c r="CY23" s="29" t="str">
        <f t="shared" si="43"/>
        <v>低</v>
      </c>
      <c r="CZ23" s="1">
        <v>0.7</v>
      </c>
      <c r="DA23" s="2">
        <f t="shared" si="16"/>
        <v>0.30000000000000004</v>
      </c>
      <c r="DB23" s="1">
        <f>IF(('[1]フォームの回答 1'!BI23="いつもより寝つきは良い"),0,(IF(('[1]フォームの回答 1'!BI23="いつもより少し時間がかかった"),1,(IF(('[1]フォームの回答 1'!BI23="いつもよりかなり時間がかかった"),2,(IF(('[1]フォームの回答 1'!BI23="いつもより非常に時間がかかった、あるいは全く眠れなかった"),3,"")))))))</f>
        <v>1</v>
      </c>
      <c r="DC23" s="1">
        <f>IF(('[1]フォームの回答 1'!BJ23="問題になるほどのことはなかった"),0,(IF(('[1]フォームの回答 1'!BJ23="少し困ることがある"),1,(IF(('[1]フォームの回答 1'!BJ23="かなり困っている"),2,(IF(('[1]フォームの回答 1'!BJ23="深刻な状態、あるいは全く眠れなかった"),3,"")))))))</f>
        <v>0</v>
      </c>
      <c r="DD23" s="1">
        <f>IF(('[1]フォームの回答 1'!BK23="そのようなことはなかった"),0,(IF(('[1]フォームの回答 1'!BK23="少し早かった"),1,(IF(('[1]フォームの回答 1'!BK23="かなり早かった"),2,(IF(('[1]フォームの回答 1'!BK23="非常に早かった、あるいは全く眠れなかった"),3,"")))))))</f>
        <v>0</v>
      </c>
      <c r="DE23" s="1">
        <f>IF(('[1]フォームの回答 1'!BL23="十分である"),0,(IF(('[1]フォームの回答 1'!BL23="少し足りない"),1,(IF(('[1]フォームの回答 1'!BL23="かなり足りない"),2,(IF(('[1]フォームの回答 1'!BL23="全く足りない、あるいは全く眠れなかった"),3,"")))))))</f>
        <v>2</v>
      </c>
      <c r="DF23" s="1">
        <f>IF(('[1]フォームの回答 1'!BM23="満足している"),0,(IF(('[1]フォームの回答 1'!BM23="少し不満である"),1,(IF(('[1]フォームの回答 1'!BM23="かなり不満である"),2,(IF(('[1]フォームの回答 1'!BM23="非常に不満である、あるいは全く眠れなかった"),3,"")))))))</f>
        <v>2</v>
      </c>
      <c r="DG23" s="1">
        <f>IF(('[1]フォームの回答 1'!BN23="いつもどおり"),0,(IF(('[1]フォームの回答 1'!BN23="少し滅入った"),1,(IF(('[1]フォームの回答 1'!BN23="かなり滅入った"),2,(IF(('[1]フォームの回答 1'!BN23="非常に滅入った"),3,"")))))))</f>
        <v>1</v>
      </c>
      <c r="DH23" s="1">
        <f>IF(('[1]フォームの回答 1'!BO23="いつもどおり"),0,(IF(('[1]フォームの回答 1'!BO23="少し低下した"),1,(IF(('[1]フォームの回答 1'!BO23="かなり低下した"),2,(IF(('[1]フォームの回答 1'!BO23="非常に低下した"),3,"")))))))</f>
        <v>1</v>
      </c>
      <c r="DI23" s="1">
        <f>IF(('[1]フォームの回答 1'!BP23="全くなかった"),0,(IF(('[1]フォームの回答 1'!BP23="少しあった"),1,(IF(('[1]フォームの回答 1'!BP23="かなりあった"),2,(IF(('[1]フォームの回答 1'!BP23="激しかった"),3,"")))))))</f>
        <v>1</v>
      </c>
      <c r="DJ23">
        <f t="shared" si="44"/>
        <v>8</v>
      </c>
      <c r="DK23" s="4" t="str">
        <f t="shared" si="45"/>
        <v>高</v>
      </c>
      <c r="DL23" s="5">
        <v>7.7</v>
      </c>
      <c r="DM23" s="5">
        <v>16</v>
      </c>
      <c r="DN23" s="5">
        <v>4.4000000000000004</v>
      </c>
      <c r="DO23" s="5">
        <v>28.1</v>
      </c>
      <c r="DP23" s="5"/>
      <c r="DQ23" s="5"/>
      <c r="DR23" s="43">
        <v>2.028</v>
      </c>
      <c r="DS23" s="43">
        <v>205.15</v>
      </c>
      <c r="DT23" s="5">
        <v>0.99</v>
      </c>
      <c r="DU23" s="5">
        <v>50</v>
      </c>
      <c r="DV23" s="5" t="s">
        <v>115</v>
      </c>
    </row>
    <row r="24" spans="1:126" ht="14">
      <c r="A24" s="1">
        <v>314</v>
      </c>
      <c r="B24" s="24" t="s">
        <v>139</v>
      </c>
      <c r="C24" s="24">
        <v>28396</v>
      </c>
      <c r="D24" s="38">
        <f t="shared" si="17"/>
        <v>46</v>
      </c>
      <c r="E24" s="1">
        <f>IF(('[1]フォームの回答 1'!C24="そうだ"),1,(IF(('[1]フォームの回答 1'!C24="まぁそうだ"),2,(IF(('[1]フォームの回答 1'!C24="ややちがう"),3,(IF(('[1]フォームの回答 1'!C24="ちがう"),4,"")))))))</f>
        <v>1</v>
      </c>
      <c r="F24" s="1">
        <f>IF(('[1]フォームの回答 1'!D24="そうだ"),1,(IF(('[1]フォームの回答 1'!D24="まぁそうだ"),2,(IF(('[1]フォームの回答 1'!D24="ややちがう"),3,(IF(('[1]フォームの回答 1'!D24="ちがう"),4,"")))))))</f>
        <v>2</v>
      </c>
      <c r="G24" s="1">
        <f>IF(('[1]フォームの回答 1'!E24="そうだ"),1,(IF(('[1]フォームの回答 1'!E24="まぁそうだ"),2,(IF(('[1]フォームの回答 1'!E24="ややちがう"),3,(IF(('[1]フォームの回答 1'!E24="ちがう"),4,"")))))))</f>
        <v>2</v>
      </c>
      <c r="H24" s="1">
        <f>IF(('[1]フォームの回答 1'!F24="そうだ"),1,(IF(('[1]フォームの回答 1'!F24="まぁそうだ"),2,(IF(('[1]フォームの回答 1'!F24="ややちがう"),3,(IF(('[1]フォームの回答 1'!F24="ちがう"),4,"")))))))</f>
        <v>2</v>
      </c>
      <c r="I24" s="1">
        <f>IF(('[1]フォームの回答 1'!G24="そうだ"),1,(IF(('[1]フォームの回答 1'!G24="まぁそうだ"),2,(IF(('[1]フォームの回答 1'!G24="ややちがう"),3,(IF(('[1]フォームの回答 1'!G24="ちがう"),4,"")))))))</f>
        <v>2</v>
      </c>
      <c r="J24" s="1">
        <f>IF(('[1]フォームの回答 1'!H24="そうだ"),1,(IF(('[1]フォームの回答 1'!H24="まぁそうだ"),2,(IF(('[1]フォームの回答 1'!H24="ややちがう"),3,(IF(('[1]フォームの回答 1'!H24="ちがう"),4,"")))))))</f>
        <v>1</v>
      </c>
      <c r="K24" s="1">
        <f>IF(('[1]フォームの回答 1'!I24="そうだ"),1,(IF(('[1]フォームの回答 1'!I24="まぁそうだ"),2,(IF(('[1]フォームの回答 1'!I24="ややちがう"),3,(IF(('[1]フォームの回答 1'!I24="ちがう"),4,"")))))))</f>
        <v>4</v>
      </c>
      <c r="L24" s="1">
        <f>IF(('[1]フォームの回答 1'!J24="そうだ"),1,(IF(('[1]フォームの回答 1'!J24="まぁそうだ"),2,(IF(('[1]フォームの回答 1'!J24="ややちがう"),3,(IF(('[1]フォームの回答 1'!J24="ちがう"),4,"")))))))</f>
        <v>2</v>
      </c>
      <c r="M24" s="1">
        <f>IF(('[1]フォームの回答 1'!K24="そうだ"),1,(IF(('[1]フォームの回答 1'!K24="まぁそうだ"),2,(IF(('[1]フォームの回答 1'!K24="ややちがう"),3,(IF(('[1]フォームの回答 1'!K24="ちがう"),4,"")))))))</f>
        <v>1</v>
      </c>
      <c r="N24" s="1">
        <f>IF(('[1]フォームの回答 1'!L24="そうだ"),1,(IF(('[1]フォームの回答 1'!L24="まぁそうだ"),2,(IF(('[1]フォームの回答 1'!L24="ややちがう"),3,(IF(('[1]フォームの回答 1'!L24="ちがう"),4,"")))))))</f>
        <v>2</v>
      </c>
      <c r="O24" s="1">
        <f>IF(('[1]フォームの回答 1'!M24="そうだ"),1,(IF(('[1]フォームの回答 1'!M24="まぁそうだ"),2,(IF(('[1]フォームの回答 1'!M24="ややちがう"),3,(IF(('[1]フォームの回答 1'!M24="ちがう"),4,"")))))))</f>
        <v>4</v>
      </c>
      <c r="P24" s="1">
        <f>IF(('[1]フォームの回答 1'!N24="そうだ"),1,(IF(('[1]フォームの回答 1'!N24="まぁそうだ"),2,(IF(('[1]フォームの回答 1'!N24="ややちがう"),3,(IF(('[1]フォームの回答 1'!N24="ちがう"),4,"")))))))</f>
        <v>4</v>
      </c>
      <c r="Q24" s="1">
        <f>IF(('[1]フォームの回答 1'!O24="そうだ"),1,(IF(('[1]フォームの回答 1'!O24="まぁそうだ"),2,(IF(('[1]フォームの回答 1'!O24="ややちがう"),3,(IF(('[1]フォームの回答 1'!O24="ちがう"),4,"")))))))</f>
        <v>4</v>
      </c>
      <c r="R24" s="1">
        <f>IF(('[1]フォームの回答 1'!P24="そうだ"),1,(IF(('[1]フォームの回答 1'!P24="まぁそうだ"),2,(IF(('[1]フォームの回答 1'!P24="ややちがう"),3,(IF(('[1]フォームの回答 1'!P24="ちがう"),4,"")))))))</f>
        <v>1</v>
      </c>
      <c r="S24" s="1">
        <f>IF(('[1]フォームの回答 1'!Q24="そうだ"),1,(IF(('[1]フォームの回答 1'!Q24="まぁそうだ"),2,(IF(('[1]フォームの回答 1'!Q24="ややちがう"),3,(IF(('[1]フォームの回答 1'!Q24="ちがう"),4,"")))))))</f>
        <v>4</v>
      </c>
      <c r="T24" s="1">
        <f>IF(('[1]フォームの回答 1'!R24="そうだ"),1,(IF(('[1]フォームの回答 1'!R24="まぁそうだ"),2,(IF(('[1]フォームの回答 1'!R24="ややちがう"),3,(IF(('[1]フォームの回答 1'!R24="ちがう"),4,"")))))))</f>
        <v>2</v>
      </c>
      <c r="U24" s="1">
        <f>IF(('[1]フォームの回答 1'!S24="そうだ"),1,(IF(('[1]フォームの回答 1'!S24="まぁそうだ"),2,(IF(('[1]フォームの回答 1'!S24="ややちがう"),3,(IF(('[1]フォームの回答 1'!S24="ちがう"),4,"")))))))</f>
        <v>1</v>
      </c>
      <c r="V24" s="1">
        <f t="shared" si="18"/>
        <v>10</v>
      </c>
      <c r="W24" s="1">
        <f t="shared" si="0"/>
        <v>4</v>
      </c>
      <c r="X24" s="1">
        <f t="shared" si="19"/>
        <v>10</v>
      </c>
      <c r="Y24" s="1">
        <f t="shared" si="1"/>
        <v>4</v>
      </c>
      <c r="Z24" s="1">
        <f t="shared" si="20"/>
        <v>1</v>
      </c>
      <c r="AA24" s="1">
        <f t="shared" si="21"/>
        <v>2</v>
      </c>
      <c r="AB24" s="1">
        <f t="shared" si="22"/>
        <v>3</v>
      </c>
      <c r="AC24" s="1">
        <f t="shared" si="23"/>
        <v>1</v>
      </c>
      <c r="AD24" s="1">
        <f t="shared" si="24"/>
        <v>1</v>
      </c>
      <c r="AE24" s="1">
        <f t="shared" si="2"/>
        <v>2</v>
      </c>
      <c r="AF24" s="1">
        <f t="shared" si="25"/>
        <v>10</v>
      </c>
      <c r="AG24" s="1">
        <f t="shared" si="3"/>
        <v>2</v>
      </c>
      <c r="AH24" s="1">
        <f t="shared" si="26"/>
        <v>4</v>
      </c>
      <c r="AI24" s="1">
        <f t="shared" si="27"/>
        <v>2</v>
      </c>
      <c r="AJ24" s="1">
        <f t="shared" si="28"/>
        <v>3</v>
      </c>
      <c r="AK24" s="1">
        <f t="shared" si="29"/>
        <v>3</v>
      </c>
      <c r="AL24" s="1">
        <f t="shared" si="30"/>
        <v>4</v>
      </c>
      <c r="AM24" s="1">
        <f t="shared" si="31"/>
        <v>1</v>
      </c>
      <c r="AN24" s="1">
        <f>IF(('[1]フォームの回答 1'!T24="ほとんどなかった"),1,(IF(('[1]フォームの回答 1'!T24="ときどきあった"),2,(IF(('[1]フォームの回答 1'!T24="しばしばあった"),3,(IF(('[1]フォームの回答 1'!T24="ほとんどいつもあった"),4,"")))))))</f>
        <v>4</v>
      </c>
      <c r="AO24" s="1">
        <f>IF(('[1]フォームの回答 1'!U24="ほとんどなかった"),1,(IF(('[1]フォームの回答 1'!U24="ときどきあった"),2,(IF(('[1]フォームの回答 1'!U24="しばしばあった"),3,(IF(('[1]フォームの回答 1'!U24="ほとんどいつもあった"),4,"")))))))</f>
        <v>3</v>
      </c>
      <c r="AP24" s="1">
        <f>IF(('[1]フォームの回答 1'!V24="ほとんどなかった"),1,(IF(('[1]フォームの回答 1'!V24="ときどきあった"),2,(IF(('[1]フォームの回答 1'!V24="しばしばあった"),3,(IF(('[1]フォームの回答 1'!V24="ほとんどいつもあった"),4,"")))))))</f>
        <v>3</v>
      </c>
      <c r="AQ24" s="1">
        <f>IF(('[1]フォームの回答 1'!W24="ほとんどなかった"),1,(IF(('[1]フォームの回答 1'!W24="ときどきあった"),2,(IF(('[1]フォームの回答 1'!W24="しばしばあった"),3,(IF(('[1]フォームの回答 1'!W24="ほとんどいつもあった"),4,"")))))))</f>
        <v>1</v>
      </c>
      <c r="AR24" s="1">
        <f>IF(('[1]フォームの回答 1'!X24="ほとんどなかった"),1,(IF(('[1]フォームの回答 1'!X24="ときどきあった"),2,(IF(('[1]フォームの回答 1'!X24="しばしばあった"),3,(IF(('[1]フォームの回答 1'!X24="ほとんどいつもあった"),4,"")))))))</f>
        <v>1</v>
      </c>
      <c r="AS24" s="1">
        <f>IF(('[1]フォームの回答 1'!Y24="ほとんどなかった"),1,(IF(('[1]フォームの回答 1'!Y24="ときどきあった"),2,(IF(('[1]フォームの回答 1'!Y24="しばしばあった"),3,(IF(('[1]フォームの回答 1'!Y24="ほとんどいつもあった"),4,"")))))))</f>
        <v>2</v>
      </c>
      <c r="AT24" s="1">
        <f>IF(('[1]フォームの回答 1'!Z24="ほとんどなかった"),1,(IF(('[1]フォームの回答 1'!Z24="ときどきあった"),2,(IF(('[1]フォームの回答 1'!Z24="しばしばあった"),3,(IF(('[1]フォームの回答 1'!Z24="ほとんどいつもあった"),4,"")))))))</f>
        <v>2</v>
      </c>
      <c r="AU24" s="1">
        <f>IF(('[1]フォームの回答 1'!AA24="ほとんどなかった"),1,(IF(('[1]フォームの回答 1'!AA24="ときどきあった"),2,(IF(('[1]フォームの回答 1'!AA24="しばしばあった"),3,(IF(('[1]フォームの回答 1'!AA24="ほとんどいつもあった"),4,"")))))))</f>
        <v>1</v>
      </c>
      <c r="AV24" s="1">
        <f>IF(('[1]フォームの回答 1'!AB24="ほとんどなかった"),1,(IF(('[1]フォームの回答 1'!AB24="ときどきばあった"),2,(IF(('[1]フォームの回答 1'!AB24="しばしばあった"),3,(IF(('[1]フォームの回答 1'!AB24="ほとんどいつもあった"),4,"")))))))</f>
        <v>1</v>
      </c>
      <c r="AW24" s="1">
        <f>IF(('[1]フォームの回答 1'!AC24="ほとんどなかった"),1,(IF(('[1]フォームの回答 1'!AC24="ときどきあった"),2,(IF(('[1]フォームの回答 1'!AC24="しばしばあった"),3,(IF(('[1]フォームの回答 1'!AC24="ほとんどいつもあった"),4,"")))))))</f>
        <v>2</v>
      </c>
      <c r="AX24" s="1">
        <f>IF(('[1]フォームの回答 1'!AD24="ほとんどなかった"),1,(IF(('[1]フォームの回答 1'!AD24="ときどきあった"),2,(IF(('[1]フォームの回答 1'!AD24="しばしばあった"),3,(IF(('[1]フォームの回答 1'!AD24="ほとんどいつもあった"),4,"")))))))</f>
        <v>2</v>
      </c>
      <c r="AY24" s="1">
        <f>IF(('[1]フォームの回答 1'!AE24="ほとんどなかった"),1,(IF(('[1]フォームの回答 1'!AE24="ときどきあった"),2,(IF(('[1]フォームの回答 1'!AE24="しばしばあった"),3,(IF(('[1]フォームの回答 1'!AE24="ほとんどいつもあった"),4,"")))))))</f>
        <v>1</v>
      </c>
      <c r="AZ24" s="1">
        <f>IF(('[1]フォームの回答 1'!AF24="ほとんどなかった"),1,(IF(('[1]フォームの回答 1'!AF24="ときどきあった"),2,(IF(('[1]フォームの回答 1'!AF24="しばしばあった"),3,(IF(('[1]フォームの回答 1'!AF24="ほとんどいつもあった"),4,"")))))))</f>
        <v>2</v>
      </c>
      <c r="BA24" s="1">
        <f>IF(('[1]フォームの回答 1'!AG24="ほとんどなかった"),1,(IF(('[1]フォームの回答 1'!AG24="ときどきあった"),2,(IF(('[1]フォームの回答 1'!AG24="しばしばあった"),3,(IF(('[1]フォームの回答 1'!AG24="ほとんどいつもあった"),4,"")))))))</f>
        <v>2</v>
      </c>
      <c r="BB24" s="1">
        <f>IF(('[1]フォームの回答 1'!AH24="ほとんどなかった"),1,(IF(('[1]フォームの回答 1'!AH24="ときどきあった"),2,(IF(('[1]フォームの回答 1'!AH24="しばしばあった"),3,(IF(('[1]フォームの回答 1'!AH24="ほとんどいつもあった"),4,"")))))))</f>
        <v>2</v>
      </c>
      <c r="BC24" s="1">
        <f>IF(('[1]フォームの回答 1'!AI24="ほとんどなかった"),1,(IF(('[1]フォームの回答 1'!AI24="ときどきあった"),2,(IF(('[1]フォームの回答 1'!AI24="しばしばあった"),3,(IF(('[1]フォームの回答 1'!AI24="ほとんどいつもあった"),4,"")))))))</f>
        <v>2</v>
      </c>
      <c r="BD24" s="1">
        <f>IF(('[1]フォームの回答 1'!AJ24="ほとんどなかった"),1,(IF(('[1]フォームの回答 1'!AJ24="ときどきあった"),2,(IF(('[1]フォームの回答 1'!AJ24="しばしばあった"),3,(IF(('[1]フォームの回答 1'!AJ24="ほとんどいつもあった"),4,"")))))))</f>
        <v>1</v>
      </c>
      <c r="BE24" s="1">
        <f>IF(('[1]フォームの回答 1'!AK24="ほとんどなかった"),1,(IF(('[1]フォームの回答 1'!AK24="ときどきあった"),2,(IF(('[1]フォームの回答 1'!AK24="しばしばあった"),3,(IF(('[1]フォームの回答 1'!AK24="ほとんどいつもあった"),4,"")))))))</f>
        <v>1</v>
      </c>
      <c r="BF24" s="1">
        <f>IF(('[1]フォームの回答 1'!AL24="ほとんどなかった"),1,(IF(('[1]フォームの回答 1'!AL24="ときどきあった"),2,(IF(('[1]フォームの回答 1'!AL24="しばしばあった"),3,(IF(('[1]フォームの回答 1'!AL24="ほとんどいつもあった"),4,"")))))))</f>
        <v>3</v>
      </c>
      <c r="BG24" s="1">
        <f>IF(('[1]フォームの回答 1'!AM24="ほとんどなかった"),1,(IF(('[1]フォームの回答 1'!AM24="ときどきあった"),2,(IF(('[1]フォームの回答 1'!AM24="しばしばあった"),3,(IF(('[1]フォームの回答 1'!AM24="ほとんどいつもあった"),4,"")))))))</f>
        <v>1</v>
      </c>
      <c r="BH24" s="1">
        <f>IF(('[1]フォームの回答 1'!AN24="ほとんどなかった"),1,(IF(('[1]フォームの回答 1'!AN24="ときどきあった"),2,(IF(('[1]フォームの回答 1'!AN24="しばしばあった"),3,(IF(('[1]フォームの回答 1'!AN24="ほとんどいつもあった"),4,"")))))))</f>
        <v>1</v>
      </c>
      <c r="BI24" s="1">
        <f>IF(('[1]フォームの回答 1'!AO24="ほとんどなかった"),1,(IF(('[1]フォームの回答 1'!AO24="ときどきあった"),2,(IF(('[1]フォームの回答 1'!AO24="しばしばあった"),3,(IF(('[1]フォームの回答 1'!AO24="ほとんどいつもあった"),4,"")))))))</f>
        <v>1</v>
      </c>
      <c r="BJ24" s="1">
        <f>IF(('[1]フォームの回答 1'!AP24="ほとんどなかった"),1,(IF(('[1]フォームの回答 1'!AP24="ときどきあった"),2,(IF(('[1]フォームの回答 1'!AP24="しばしばあった"),3,(IF(('[1]フォームの回答 1'!AP24="ほとんどいつもあった"),4,"")))))))</f>
        <v>1</v>
      </c>
      <c r="BK24" s="1">
        <f>IF(('[1]フォームの回答 1'!AQ24="ほとんどなかった"),1,(IF(('[1]フォームの回答 1'!AQ24="ときどきあった"),2,(IF(('[1]フォームの回答 1'!AQ24="しばしばあった"),3,(IF(('[1]フォームの回答 1'!AQ24="ほとんどいつもあった"),4,"")))))))</f>
        <v>3</v>
      </c>
      <c r="BL24" s="1">
        <f>IF(('[1]フォームの回答 1'!AR24="ほとんどなかった"),1,(IF(('[1]フォームの回答 1'!AR24="ときどきあった"),2,(IF(('[1]フォームの回答 1'!AR24="しばしばあった"),3,(IF(('[1]フォームの回答 1'!AR24="ほとんどいつもあった"),4,"")))))))</f>
        <v>1</v>
      </c>
      <c r="BM24" s="1">
        <f>IF(('[1]フォームの回答 1'!AS24="ほとんどなかった"),1,(IF(('[1]フォームの回答 1'!AS24="ときどきあった"),2,(IF(('[1]フォームの回答 1'!AS24="しばしばあった"),3,(IF(('[1]フォームの回答 1'!AS24="ほとんどいつもあった"),4,"")))))))</f>
        <v>2</v>
      </c>
      <c r="BN24" s="1">
        <f>IF(('[1]フォームの回答 1'!AT24="ほとんどなかった"),1,(IF(('[1]フォームの回答 1'!AT24="ときどきあった"),2,(IF(('[1]フォームの回答 1'!AT24="しばしばあった"),3,(IF(('[1]フォームの回答 1'!AT24="ほとんどいつもあった"),4,"")))))))</f>
        <v>1</v>
      </c>
      <c r="BO24" s="1">
        <f>IF(('[1]フォームの回答 1'!AU24="ほとんどなかった"),1,(IF(('[1]フォームの回答 1'!AU24="ときどきあった"),2,(IF(('[1]フォームの回答 1'!AU24="しばしばあった"),3,(IF(('[1]フォームの回答 1'!AU24="ほとんどいつもあった"),4,"")))))))</f>
        <v>1</v>
      </c>
      <c r="BP24" s="1">
        <f>IF(('[1]フォームの回答 1'!AV24="ほとんどなかった"),1,(IF(('[1]フォームの回答 1'!AV24="ときどきあった"),2,(IF(('[1]フォームの回答 1'!AV24="しばしばあった"),3,(IF(('[1]フォームの回答 1'!AV24="ほとんどいつもあった"),4,"")))))))</f>
        <v>4</v>
      </c>
      <c r="BQ24" s="1">
        <f t="shared" si="32"/>
        <v>10</v>
      </c>
      <c r="BR24" s="1">
        <f t="shared" si="33"/>
        <v>1</v>
      </c>
      <c r="BS24" s="1">
        <f t="shared" si="34"/>
        <v>4</v>
      </c>
      <c r="BT24" s="1">
        <f t="shared" si="4"/>
        <v>2</v>
      </c>
      <c r="BU24" s="1">
        <f t="shared" si="5"/>
        <v>4</v>
      </c>
      <c r="BV24" s="1">
        <f t="shared" si="6"/>
        <v>2</v>
      </c>
      <c r="BW24" s="1">
        <f t="shared" si="35"/>
        <v>5</v>
      </c>
      <c r="BX24" s="1">
        <f t="shared" si="7"/>
        <v>3</v>
      </c>
      <c r="BY24" s="1">
        <f t="shared" si="36"/>
        <v>10</v>
      </c>
      <c r="BZ24" s="1">
        <f t="shared" si="8"/>
        <v>3</v>
      </c>
      <c r="CA24" s="1">
        <f t="shared" si="37"/>
        <v>19</v>
      </c>
      <c r="CB24" s="1">
        <f t="shared" si="9"/>
        <v>3</v>
      </c>
      <c r="CC24" s="1">
        <f>IF(('[1]フォームの回答 1'!AW24="非常に"),1,(IF(('[1]フォームの回答 1'!AW24="かなり"),2,(IF(('[1]フォームの回答 1'!AW24="多少"),3,(IF(('[1]フォームの回答 1'!AW24="全くない"),4,"")))))))</f>
        <v>1</v>
      </c>
      <c r="CD24" s="1">
        <f>IF(('[1]フォームの回答 1'!AX24="非常に"),1,(IF(('[1]フォームの回答 1'!AX24="かなり"),2,(IF(('[1]フォームの回答 1'!AX24="多少"),3,(IF(('[1]フォームの回答 1'!AX24="全くない"),4,"")))))))</f>
        <v>1</v>
      </c>
      <c r="CE24" s="1">
        <f>IF(('[1]フォームの回答 1'!AY24="非常に"),1,(IF(('[1]フォームの回答 1'!AY24="かなり"),2,(IF(('[1]フォームの回答 1'!AY24="多少"),3,(IF(('[1]フォームの回答 1'!AY24="全くない"),4,"")))))))</f>
        <v>1</v>
      </c>
      <c r="CF24" s="1">
        <f>IF(('[1]フォームの回答 1'!AZ24="非常に"),1,(IF(('[1]フォームの回答 1'!AZ24="かなり"),2,(IF(('[1]フォームの回答 1'!AZ24="多少"),3,(IF(('[1]フォームの回答 1'!AZ24="全くない"),4,"")))))))</f>
        <v>1</v>
      </c>
      <c r="CG24" s="1">
        <f>IF(('[1]フォームの回答 1'!BA24="非常に"),1,(IF(('[1]フォームの回答 1'!BA24="かなり"),2,(IF(('[1]フォームの回答 1'!BA24="多少"),3,(IF(('[1]フォームの回答 1'!BA24="全くない"),4,"")))))))</f>
        <v>2</v>
      </c>
      <c r="CH24" s="1">
        <f>IF(('[1]フォームの回答 1'!BB24="非常に"),1,(IF(('[1]フォームの回答 1'!BB24="かなり"),2,(IF(('[1]フォームの回答 1'!BB24="多少"),3,(IF(('[1]フォームの回答 1'!BB24="全くない"),4,"")))))))</f>
        <v>2</v>
      </c>
      <c r="CI24" s="1">
        <f>IF(('[1]フォームの回答 1'!BC24="非常に"),1,(IF(('[1]フォームの回答 1'!BC24="かなり"),2,(IF(('[1]フォームの回答 1'!BC24="多少"),3,(IF(('[1]フォームの回答 1'!BC24="全くない"),4,"")))))))</f>
        <v>1</v>
      </c>
      <c r="CJ24" s="1">
        <f>IF(('[1]フォームの回答 1'!BD24="非常に"),1,(IF(('[1]フォームの回答 1'!BD24="かなり"),2,(IF(('[1]フォームの回答 1'!BD24="多少"),3,(IF(('[1]フォームの回答 1'!BD24="全くない"),4,"")))))))</f>
        <v>1</v>
      </c>
      <c r="CK24" s="1">
        <f>IF(('[1]フォームの回答 1'!BE24="非常に"),1,(IF(('[1]フォームの回答 1'!BE24="かなり"),2,(IF(('[1]フォームの回答 1'!BE24="多少"),3,(IF(('[1]フォームの回答 1'!BE24="全くない"),4,"")))))))</f>
        <v>1</v>
      </c>
      <c r="CL24" s="1">
        <f>IF(('[1]フォームの回答 1'!BF24="満足"),1,(IF(('[1]フォームの回答 1'!BF24="まぁ満足"),2,(IF(('[1]フォームの回答 1'!BF24="やや満足"),3,(IF(('[1]フォームの回答 1'!BF24="不満足"),4,"")))))))</f>
        <v>2</v>
      </c>
      <c r="CM24" s="1">
        <f>IF(('[1]フォームの回答 1'!BG24="満足"),1,(IF(('[1]フォームの回答 1'!BG24="まぁ満足"),2,(IF(('[1]フォームの回答 1'!BG24="やや満足"),3,(IF(('[1]フォームの回答 1'!BG24="不満足"),4,"")))))))</f>
        <v>1</v>
      </c>
      <c r="CN24" s="1">
        <f t="shared" si="38"/>
        <v>12</v>
      </c>
      <c r="CO24" s="1">
        <f t="shared" si="10"/>
        <v>1</v>
      </c>
      <c r="CP24" s="1">
        <f t="shared" si="39"/>
        <v>11</v>
      </c>
      <c r="CQ24" s="1">
        <f t="shared" si="11"/>
        <v>2</v>
      </c>
      <c r="CR24" s="1">
        <f t="shared" si="40"/>
        <v>11</v>
      </c>
      <c r="CS24" s="1">
        <f t="shared" si="41"/>
        <v>2</v>
      </c>
      <c r="CT24" s="1">
        <f t="shared" si="42"/>
        <v>7</v>
      </c>
      <c r="CU24" s="1">
        <f t="shared" si="12"/>
        <v>2</v>
      </c>
      <c r="CV24" s="1">
        <f t="shared" si="13"/>
        <v>14</v>
      </c>
      <c r="CW24" s="1">
        <f t="shared" si="14"/>
        <v>21</v>
      </c>
      <c r="CX24" s="1">
        <f t="shared" si="15"/>
        <v>5</v>
      </c>
      <c r="CY24" s="29" t="str">
        <f t="shared" si="43"/>
        <v>低</v>
      </c>
      <c r="CZ24" s="1">
        <v>0.6</v>
      </c>
      <c r="DA24" s="2">
        <f t="shared" si="16"/>
        <v>0.4</v>
      </c>
      <c r="DB24" s="1">
        <f>IF(('[1]フォームの回答 1'!BI24="いつもより寝つきは良い"),0,(IF(('[1]フォームの回答 1'!BI24="いつもより少し時間がかかった"),1,(IF(('[1]フォームの回答 1'!BI24="いつもよりかなり時間がかかった"),2,(IF(('[1]フォームの回答 1'!BI24="いつもより非常に時間がかかった、あるいは全く眠れなかった"),3,"")))))))</f>
        <v>3</v>
      </c>
      <c r="DC24" s="1">
        <f>IF(('[1]フォームの回答 1'!BJ24="問題になるほどのことはなかった"),0,(IF(('[1]フォームの回答 1'!BJ24="少し困ることがある"),1,(IF(('[1]フォームの回答 1'!BJ24="かなり困っている"),2,(IF(('[1]フォームの回答 1'!BJ24="深刻な状態、あるいは全く眠れなかった"),3,"")))))))</f>
        <v>1</v>
      </c>
      <c r="DD24" s="1">
        <f>IF(('[1]フォームの回答 1'!BK24="そのようなことはなかった"),0,(IF(('[1]フォームの回答 1'!BK24="少し早かった"),1,(IF(('[1]フォームの回答 1'!BK24="かなり早かった"),2,(IF(('[1]フォームの回答 1'!BK24="非常に早かった、あるいは全く眠れなかった"),3,"")))))))</f>
        <v>1</v>
      </c>
      <c r="DE24" s="1">
        <f>IF(('[1]フォームの回答 1'!BL24="十分である"),0,(IF(('[1]フォームの回答 1'!BL24="少し足りない"),1,(IF(('[1]フォームの回答 1'!BL24="かなり足りない"),2,(IF(('[1]フォームの回答 1'!BL24="全く足りない、あるいは全く眠れなかった"),3,"")))))))</f>
        <v>1</v>
      </c>
      <c r="DF24" s="1">
        <f>IF(('[1]フォームの回答 1'!BM24="満足している"),0,(IF(('[1]フォームの回答 1'!BM24="少し不満である"),1,(IF(('[1]フォームの回答 1'!BM24="かなり不満である"),2,(IF(('[1]フォームの回答 1'!BM24="非常に不満である、あるいは全く眠れなかった"),3,"")))))))</f>
        <v>2</v>
      </c>
      <c r="DG24" s="1">
        <f>IF(('[1]フォームの回答 1'!BN24="いつもどおり"),0,(IF(('[1]フォームの回答 1'!BN24="少し滅入った"),1,(IF(('[1]フォームの回答 1'!BN24="かなり滅入った"),2,(IF(('[1]フォームの回答 1'!BN24="非常に滅入った"),3,"")))))))</f>
        <v>0</v>
      </c>
      <c r="DH24" s="1">
        <f>IF(('[1]フォームの回答 1'!BO24="いつもどおり"),0,(IF(('[1]フォームの回答 1'!BO24="少し低下した"),1,(IF(('[1]フォームの回答 1'!BO24="かなり低下した"),2,(IF(('[1]フォームの回答 1'!BO24="非常に低下した"),3,"")))))))</f>
        <v>1</v>
      </c>
      <c r="DI24" s="1">
        <f>IF(('[1]フォームの回答 1'!BP24="全くなかった"),0,(IF(('[1]フォームの回答 1'!BP24="少しあった"),1,(IF(('[1]フォームの回答 1'!BP24="かなりあった"),2,(IF(('[1]フォームの回答 1'!BP24="激しかった"),3,"")))))))</f>
        <v>0</v>
      </c>
      <c r="DJ24">
        <f t="shared" si="44"/>
        <v>9</v>
      </c>
      <c r="DK24" s="4" t="str">
        <f t="shared" si="45"/>
        <v>高</v>
      </c>
      <c r="DL24" s="5">
        <v>63</v>
      </c>
      <c r="DM24" s="5">
        <v>28.4</v>
      </c>
      <c r="DN24" s="5">
        <v>20.100000000000001</v>
      </c>
      <c r="DO24" s="5">
        <v>111.5</v>
      </c>
      <c r="DP24" s="5"/>
      <c r="DQ24" s="5"/>
      <c r="DR24" s="43">
        <v>1.4239999999999999</v>
      </c>
      <c r="DS24" s="43">
        <v>228.88</v>
      </c>
      <c r="DT24" s="5">
        <v>0.62</v>
      </c>
      <c r="DU24" s="5">
        <v>31</v>
      </c>
      <c r="DV24" s="5" t="s">
        <v>115</v>
      </c>
    </row>
    <row r="25" spans="1:126" ht="14">
      <c r="A25" s="1">
        <v>315</v>
      </c>
      <c r="B25" s="24" t="s">
        <v>139</v>
      </c>
      <c r="C25" s="24">
        <v>36119</v>
      </c>
      <c r="D25" s="38">
        <f t="shared" si="17"/>
        <v>25</v>
      </c>
      <c r="E25" s="1">
        <f>IF(('[1]フォームの回答 1'!C25="そうだ"),1,(IF(('[1]フォームの回答 1'!C25="まぁそうだ"),2,(IF(('[1]フォームの回答 1'!C25="ややちがう"),3,(IF(('[1]フォームの回答 1'!C25="ちがう"),4,"")))))))</f>
        <v>3</v>
      </c>
      <c r="F25" s="1">
        <f>IF(('[1]フォームの回答 1'!D25="そうだ"),1,(IF(('[1]フォームの回答 1'!D25="まぁそうだ"),2,(IF(('[1]フォームの回答 1'!D25="ややちがう"),3,(IF(('[1]フォームの回答 1'!D25="ちがう"),4,"")))))))</f>
        <v>3</v>
      </c>
      <c r="G25" s="1">
        <f>IF(('[1]フォームの回答 1'!E25="そうだ"),1,(IF(('[1]フォームの回答 1'!E25="まぁそうだ"),2,(IF(('[1]フォームの回答 1'!E25="ややちがう"),3,(IF(('[1]フォームの回答 1'!E25="ちがう"),4,"")))))))</f>
        <v>2</v>
      </c>
      <c r="H25" s="1">
        <f>IF(('[1]フォームの回答 1'!F25="そうだ"),1,(IF(('[1]フォームの回答 1'!F25="まぁそうだ"),2,(IF(('[1]フォームの回答 1'!F25="ややちがう"),3,(IF(('[1]フォームの回答 1'!F25="ちがう"),4,"")))))))</f>
        <v>2</v>
      </c>
      <c r="I25" s="1">
        <f>IF(('[1]フォームの回答 1'!G25="そうだ"),1,(IF(('[1]フォームの回答 1'!G25="まぁそうだ"),2,(IF(('[1]フォームの回答 1'!G25="ややちがう"),3,(IF(('[1]フォームの回答 1'!G25="ちがう"),4,"")))))))</f>
        <v>1</v>
      </c>
      <c r="J25" s="1">
        <f>IF(('[1]フォームの回答 1'!H25="そうだ"),1,(IF(('[1]フォームの回答 1'!H25="まぁそうだ"),2,(IF(('[1]フォームの回答 1'!H25="ややちがう"),3,(IF(('[1]フォームの回答 1'!H25="ちがう"),4,"")))))))</f>
        <v>2</v>
      </c>
      <c r="K25" s="1">
        <f>IF(('[1]フォームの回答 1'!I25="そうだ"),1,(IF(('[1]フォームの回答 1'!I25="まぁそうだ"),2,(IF(('[1]フォームの回答 1'!I25="ややちがう"),3,(IF(('[1]フォームの回答 1'!I25="ちがう"),4,"")))))))</f>
        <v>3</v>
      </c>
      <c r="L25" s="1">
        <f>IF(('[1]フォームの回答 1'!J25="そうだ"),1,(IF(('[1]フォームの回答 1'!J25="まぁそうだ"),2,(IF(('[1]フォームの回答 1'!J25="ややちがう"),3,(IF(('[1]フォームの回答 1'!J25="ちがう"),4,"")))))))</f>
        <v>3</v>
      </c>
      <c r="M25" s="1">
        <f>IF(('[1]フォームの回答 1'!K25="そうだ"),1,(IF(('[1]フォームの回答 1'!K25="まぁそうだ"),2,(IF(('[1]フォームの回答 1'!K25="ややちがう"),3,(IF(('[1]フォームの回答 1'!K25="ちがう"),4,"")))))))</f>
        <v>3</v>
      </c>
      <c r="N25" s="1">
        <f>IF(('[1]フォームの回答 1'!L25="そうだ"),1,(IF(('[1]フォームの回答 1'!L25="まぁそうだ"),2,(IF(('[1]フォームの回答 1'!L25="ややちがう"),3,(IF(('[1]フォームの回答 1'!L25="ちがう"),4,"")))))))</f>
        <v>4</v>
      </c>
      <c r="O25" s="1">
        <f>IF(('[1]フォームの回答 1'!M25="そうだ"),1,(IF(('[1]フォームの回答 1'!M25="まぁそうだ"),2,(IF(('[1]フォームの回答 1'!M25="ややちがう"),3,(IF(('[1]フォームの回答 1'!M25="ちがう"),4,"")))))))</f>
        <v>3</v>
      </c>
      <c r="P25" s="1">
        <f>IF(('[1]フォームの回答 1'!N25="そうだ"),1,(IF(('[1]フォームの回答 1'!N25="まぁそうだ"),2,(IF(('[1]フォームの回答 1'!N25="ややちがう"),3,(IF(('[1]フォームの回答 1'!N25="ちがう"),4,"")))))))</f>
        <v>4</v>
      </c>
      <c r="Q25" s="1">
        <f>IF(('[1]フォームの回答 1'!O25="そうだ"),1,(IF(('[1]フォームの回答 1'!O25="まぁそうだ"),2,(IF(('[1]フォームの回答 1'!O25="ややちがう"),3,(IF(('[1]フォームの回答 1'!O25="ちがう"),4,"")))))))</f>
        <v>3</v>
      </c>
      <c r="R25" s="1">
        <f>IF(('[1]フォームの回答 1'!P25="そうだ"),1,(IF(('[1]フォームの回答 1'!P25="まぁそうだ"),2,(IF(('[1]フォームの回答 1'!P25="ややちがう"),3,(IF(('[1]フォームの回答 1'!P25="ちがう"),4,"")))))))</f>
        <v>2</v>
      </c>
      <c r="S25" s="1">
        <f>IF(('[1]フォームの回答 1'!Q25="そうだ"),1,(IF(('[1]フォームの回答 1'!Q25="まぁそうだ"),2,(IF(('[1]フォームの回答 1'!Q25="ややちがう"),3,(IF(('[1]フォームの回答 1'!Q25="ちがう"),4,"")))))))</f>
        <v>1</v>
      </c>
      <c r="T25" s="1">
        <f>IF(('[1]フォームの回答 1'!R25="そうだ"),1,(IF(('[1]フォームの回答 1'!R25="まぁそうだ"),2,(IF(('[1]フォームの回答 1'!R25="ややちがう"),3,(IF(('[1]フォームの回答 1'!R25="ちがう"),4,"")))))))</f>
        <v>4</v>
      </c>
      <c r="U25" s="1">
        <f>IF(('[1]フォームの回答 1'!S25="そうだ"),1,(IF(('[1]フォームの回答 1'!S25="まぁそうだ"),2,(IF(('[1]フォームの回答 1'!S25="ややちがう"),3,(IF(('[1]フォームの回答 1'!S25="ちがう"),4,"")))))))</f>
        <v>3</v>
      </c>
      <c r="V25" s="1">
        <f t="shared" si="18"/>
        <v>7</v>
      </c>
      <c r="W25" s="1">
        <f t="shared" si="0"/>
        <v>2</v>
      </c>
      <c r="X25" s="1">
        <f t="shared" si="19"/>
        <v>10</v>
      </c>
      <c r="Y25" s="1">
        <f t="shared" si="1"/>
        <v>4</v>
      </c>
      <c r="Z25" s="1">
        <f t="shared" si="20"/>
        <v>2</v>
      </c>
      <c r="AA25" s="1">
        <f t="shared" si="21"/>
        <v>3</v>
      </c>
      <c r="AB25" s="1">
        <f t="shared" si="22"/>
        <v>5</v>
      </c>
      <c r="AC25" s="1">
        <f t="shared" si="23"/>
        <v>2</v>
      </c>
      <c r="AD25" s="1">
        <f t="shared" si="24"/>
        <v>4</v>
      </c>
      <c r="AE25" s="1">
        <f t="shared" si="2"/>
        <v>5</v>
      </c>
      <c r="AF25" s="1">
        <f t="shared" si="25"/>
        <v>5</v>
      </c>
      <c r="AG25" s="1">
        <f t="shared" si="3"/>
        <v>4</v>
      </c>
      <c r="AH25" s="1">
        <f t="shared" si="26"/>
        <v>3</v>
      </c>
      <c r="AI25" s="1">
        <f t="shared" si="27"/>
        <v>3</v>
      </c>
      <c r="AJ25" s="1">
        <f t="shared" si="28"/>
        <v>1</v>
      </c>
      <c r="AK25" s="1">
        <f t="shared" si="29"/>
        <v>5</v>
      </c>
      <c r="AL25" s="1">
        <f t="shared" si="30"/>
        <v>2</v>
      </c>
      <c r="AM25" s="1">
        <f t="shared" si="31"/>
        <v>4</v>
      </c>
      <c r="AN25" s="1">
        <f>IF(('[1]フォームの回答 1'!T25="ほとんどなかった"),1,(IF(('[1]フォームの回答 1'!T25="ときどきあった"),2,(IF(('[1]フォームの回答 1'!T25="しばしばあった"),3,(IF(('[1]フォームの回答 1'!T25="ほとんどいつもあった"),4,"")))))))</f>
        <v>1</v>
      </c>
      <c r="AO25" s="1">
        <f>IF(('[1]フォームの回答 1'!U25="ほとんどなかった"),1,(IF(('[1]フォームの回答 1'!U25="ときどきあった"),2,(IF(('[1]フォームの回答 1'!U25="しばしばあった"),3,(IF(('[1]フォームの回答 1'!U25="ほとんどいつもあった"),4,"")))))))</f>
        <v>1</v>
      </c>
      <c r="AP25" s="1">
        <f>IF(('[1]フォームの回答 1'!V25="ほとんどなかった"),1,(IF(('[1]フォームの回答 1'!V25="ときどきあった"),2,(IF(('[1]フォームの回答 1'!V25="しばしばあった"),3,(IF(('[1]フォームの回答 1'!V25="ほとんどいつもあった"),4,"")))))))</f>
        <v>1</v>
      </c>
      <c r="AQ25" s="1">
        <f>IF(('[1]フォームの回答 1'!W25="ほとんどなかった"),1,(IF(('[1]フォームの回答 1'!W25="ときどきあった"),2,(IF(('[1]フォームの回答 1'!W25="しばしばあった"),3,(IF(('[1]フォームの回答 1'!W25="ほとんどいつもあった"),4,"")))))))</f>
        <v>2</v>
      </c>
      <c r="AR25" s="1">
        <f>IF(('[1]フォームの回答 1'!X25="ほとんどなかった"),1,(IF(('[1]フォームの回答 1'!X25="ときどきあった"),2,(IF(('[1]フォームの回答 1'!X25="しばしばあった"),3,(IF(('[1]フォームの回答 1'!X25="ほとんどいつもあった"),4,"")))))))</f>
        <v>2</v>
      </c>
      <c r="AS25" s="1">
        <f>IF(('[1]フォームの回答 1'!Y25="ほとんどなかった"),1,(IF(('[1]フォームの回答 1'!Y25="ときどきあった"),2,(IF(('[1]フォームの回答 1'!Y25="しばしばあった"),3,(IF(('[1]フォームの回答 1'!Y25="ほとんどいつもあった"),4,"")))))))</f>
        <v>3</v>
      </c>
      <c r="AT25" s="1">
        <f>IF(('[1]フォームの回答 1'!Z25="ほとんどなかった"),1,(IF(('[1]フォームの回答 1'!Z25="ときどきあった"),2,(IF(('[1]フォームの回答 1'!Z25="しばしばあった"),3,(IF(('[1]フォームの回答 1'!Z25="ほとんどいつもあった"),4,"")))))))</f>
        <v>3</v>
      </c>
      <c r="AU25" s="1">
        <f>IF(('[1]フォームの回答 1'!AA25="ほとんどなかった"),1,(IF(('[1]フォームの回答 1'!AA25="ときどきあった"),2,(IF(('[1]フォームの回答 1'!AA25="しばしばあった"),3,(IF(('[1]フォームの回答 1'!AA25="ほとんどいつもあった"),4,"")))))))</f>
        <v>1</v>
      </c>
      <c r="AV25" s="1">
        <f>IF(('[1]フォームの回答 1'!AB25="ほとんどなかった"),1,(IF(('[1]フォームの回答 1'!AB25="ときどきばあった"),2,(IF(('[1]フォームの回答 1'!AB25="しばしばあった"),3,(IF(('[1]フォームの回答 1'!AB25="ほとんどいつもあった"),4,"")))))))</f>
        <v>4</v>
      </c>
      <c r="AW25" s="1">
        <f>IF(('[1]フォームの回答 1'!AC25="ほとんどなかった"),1,(IF(('[1]フォームの回答 1'!AC25="ときどきあった"),2,(IF(('[1]フォームの回答 1'!AC25="しばしばあった"),3,(IF(('[1]フォームの回答 1'!AC25="ほとんどいつもあった"),4,"")))))))</f>
        <v>1</v>
      </c>
      <c r="AX25" s="1">
        <f>IF(('[1]フォームの回答 1'!AD25="ほとんどなかった"),1,(IF(('[1]フォームの回答 1'!AD25="ときどきあった"),2,(IF(('[1]フォームの回答 1'!AD25="しばしばあった"),3,(IF(('[1]フォームの回答 1'!AD25="ほとんどいつもあった"),4,"")))))))</f>
        <v>4</v>
      </c>
      <c r="AY25" s="1">
        <f>IF(('[1]フォームの回答 1'!AE25="ほとんどなかった"),1,(IF(('[1]フォームの回答 1'!AE25="ときどきあった"),2,(IF(('[1]フォームの回答 1'!AE25="しばしばあった"),3,(IF(('[1]フォームの回答 1'!AE25="ほとんどいつもあった"),4,"")))))))</f>
        <v>3</v>
      </c>
      <c r="AZ25" s="1">
        <f>IF(('[1]フォームの回答 1'!AF25="ほとんどなかった"),1,(IF(('[1]フォームの回答 1'!AF25="ときどきあった"),2,(IF(('[1]フォームの回答 1'!AF25="しばしばあった"),3,(IF(('[1]フォームの回答 1'!AF25="ほとんどいつもあった"),4,"")))))))</f>
        <v>2</v>
      </c>
      <c r="BA25" s="1">
        <f>IF(('[1]フォームの回答 1'!AG25="ほとんどなかった"),1,(IF(('[1]フォームの回答 1'!AG25="ときどきあった"),2,(IF(('[1]フォームの回答 1'!AG25="しばしばあった"),3,(IF(('[1]フォームの回答 1'!AG25="ほとんどいつもあった"),4,"")))))))</f>
        <v>3</v>
      </c>
      <c r="BB25" s="1">
        <f>IF(('[1]フォームの回答 1'!AH25="ほとんどなかった"),1,(IF(('[1]フォームの回答 1'!AH25="ときどきあった"),2,(IF(('[1]フォームの回答 1'!AH25="しばしばあった"),3,(IF(('[1]フォームの回答 1'!AH25="ほとんどいつもあった"),4,"")))))))</f>
        <v>3</v>
      </c>
      <c r="BC25" s="1">
        <f>IF(('[1]フォームの回答 1'!AI25="ほとんどなかった"),1,(IF(('[1]フォームの回答 1'!AI25="ときどきあった"),2,(IF(('[1]フォームの回答 1'!AI25="しばしばあった"),3,(IF(('[1]フォームの回答 1'!AI25="ほとんどいつもあった"),4,"")))))))</f>
        <v>4</v>
      </c>
      <c r="BD25" s="1">
        <f>IF(('[1]フォームの回答 1'!AJ25="ほとんどなかった"),1,(IF(('[1]フォームの回答 1'!AJ25="ときどきあった"),2,(IF(('[1]フォームの回答 1'!AJ25="しばしばあった"),3,(IF(('[1]フォームの回答 1'!AJ25="ほとんどいつもあった"),4,"")))))))</f>
        <v>2</v>
      </c>
      <c r="BE25" s="1">
        <f>IF(('[1]フォームの回答 1'!AK25="ほとんどなかった"),1,(IF(('[1]フォームの回答 1'!AK25="ときどきあった"),2,(IF(('[1]フォームの回答 1'!AK25="しばしばあった"),3,(IF(('[1]フォームの回答 1'!AK25="ほとんどいつもあった"),4,"")))))))</f>
        <v>3</v>
      </c>
      <c r="BF25" s="1">
        <f>IF(('[1]フォームの回答 1'!AL25="ほとんどなかった"),1,(IF(('[1]フォームの回答 1'!AL25="ときどきあった"),2,(IF(('[1]フォームの回答 1'!AL25="しばしばあった"),3,(IF(('[1]フォームの回答 1'!AL25="ほとんどいつもあった"),4,"")))))))</f>
        <v>1</v>
      </c>
      <c r="BG25" s="1">
        <f>IF(('[1]フォームの回答 1'!AM25="ほとんどなかった"),1,(IF(('[1]フォームの回答 1'!AM25="ときどきあった"),2,(IF(('[1]フォームの回答 1'!AM25="しばしばあった"),3,(IF(('[1]フォームの回答 1'!AM25="ほとんどいつもあった"),4,"")))))))</f>
        <v>1</v>
      </c>
      <c r="BH25" s="1">
        <f>IF(('[1]フォームの回答 1'!AN25="ほとんどなかった"),1,(IF(('[1]フォームの回答 1'!AN25="ときどきあった"),2,(IF(('[1]フォームの回答 1'!AN25="しばしばあった"),3,(IF(('[1]フォームの回答 1'!AN25="ほとんどいつもあった"),4,"")))))))</f>
        <v>2</v>
      </c>
      <c r="BI25" s="1">
        <f>IF(('[1]フォームの回答 1'!AO25="ほとんどなかった"),1,(IF(('[1]フォームの回答 1'!AO25="ときどきあった"),2,(IF(('[1]フォームの回答 1'!AO25="しばしばあった"),3,(IF(('[1]フォームの回答 1'!AO25="ほとんどいつもあった"),4,"")))))))</f>
        <v>4</v>
      </c>
      <c r="BJ25" s="1">
        <f>IF(('[1]フォームの回答 1'!AP25="ほとんどなかった"),1,(IF(('[1]フォームの回答 1'!AP25="ときどきあった"),2,(IF(('[1]フォームの回答 1'!AP25="しばしばあった"),3,(IF(('[1]フォームの回答 1'!AP25="ほとんどいつもあった"),4,"")))))))</f>
        <v>2</v>
      </c>
      <c r="BK25" s="1">
        <f>IF(('[1]フォームの回答 1'!AQ25="ほとんどなかった"),1,(IF(('[1]フォームの回答 1'!AQ25="ときどきあった"),2,(IF(('[1]フォームの回答 1'!AQ25="しばしばあった"),3,(IF(('[1]フォームの回答 1'!AQ25="ほとんどいつもあった"),4,"")))))))</f>
        <v>3</v>
      </c>
      <c r="BL25" s="1">
        <f>IF(('[1]フォームの回答 1'!AR25="ほとんどなかった"),1,(IF(('[1]フォームの回答 1'!AR25="ときどきあった"),2,(IF(('[1]フォームの回答 1'!AR25="しばしばあった"),3,(IF(('[1]フォームの回答 1'!AR25="ほとんどいつもあった"),4,"")))))))</f>
        <v>1</v>
      </c>
      <c r="BM25" s="1">
        <f>IF(('[1]フォームの回答 1'!AS25="ほとんどなかった"),1,(IF(('[1]フォームの回答 1'!AS25="ときどきあった"),2,(IF(('[1]フォームの回答 1'!AS25="しばしばあった"),3,(IF(('[1]フォームの回答 1'!AS25="ほとんどいつもあった"),4,"")))))))</f>
        <v>4</v>
      </c>
      <c r="BN25" s="1">
        <f>IF(('[1]フォームの回答 1'!AT25="ほとんどなかった"),1,(IF(('[1]フォームの回答 1'!AT25="ときどきあった"),2,(IF(('[1]フォームの回答 1'!AT25="しばしばあった"),3,(IF(('[1]フォームの回答 1'!AT25="ほとんどいつもあった"),4,"")))))))</f>
        <v>2</v>
      </c>
      <c r="BO25" s="1">
        <f>IF(('[1]フォームの回答 1'!AU25="ほとんどなかった"),1,(IF(('[1]フォームの回答 1'!AU25="ときどきあった"),2,(IF(('[1]フォームの回答 1'!AU25="しばしばあった"),3,(IF(('[1]フォームの回答 1'!AU25="ほとんどいつもあった"),4,"")))))))</f>
        <v>4</v>
      </c>
      <c r="BP25" s="1">
        <f>IF(('[1]フォームの回答 1'!AV25="ほとんどなかった"),1,(IF(('[1]フォームの回答 1'!AV25="ときどきあった"),2,(IF(('[1]フォームの回答 1'!AV25="しばしばあった"),3,(IF(('[1]フォームの回答 1'!AV25="ほとんどいつもあった"),4,"")))))))</f>
        <v>4</v>
      </c>
      <c r="BQ25" s="1">
        <f t="shared" si="32"/>
        <v>3</v>
      </c>
      <c r="BR25" s="1">
        <f t="shared" si="33"/>
        <v>5</v>
      </c>
      <c r="BS25" s="1">
        <f t="shared" si="34"/>
        <v>7</v>
      </c>
      <c r="BT25" s="1">
        <f t="shared" si="4"/>
        <v>3</v>
      </c>
      <c r="BU25" s="1">
        <f t="shared" si="5"/>
        <v>8</v>
      </c>
      <c r="BV25" s="1">
        <f t="shared" si="6"/>
        <v>4</v>
      </c>
      <c r="BW25" s="1">
        <f t="shared" si="35"/>
        <v>8</v>
      </c>
      <c r="BX25" s="1">
        <f t="shared" si="7"/>
        <v>4</v>
      </c>
      <c r="BY25" s="1">
        <f t="shared" si="36"/>
        <v>17</v>
      </c>
      <c r="BZ25" s="1">
        <f t="shared" si="8"/>
        <v>5</v>
      </c>
      <c r="CA25" s="1">
        <f t="shared" si="37"/>
        <v>28</v>
      </c>
      <c r="CB25" s="1">
        <f t="shared" si="9"/>
        <v>5</v>
      </c>
      <c r="CC25" s="1">
        <f>IF(('[1]フォームの回答 1'!AW25="非常に"),1,(IF(('[1]フォームの回答 1'!AW25="かなり"),2,(IF(('[1]フォームの回答 1'!AW25="多少"),3,(IF(('[1]フォームの回答 1'!AW25="全くない"),4,"")))))))</f>
        <v>3</v>
      </c>
      <c r="CD25" s="1">
        <f>IF(('[1]フォームの回答 1'!AX25="非常に"),1,(IF(('[1]フォームの回答 1'!AX25="かなり"),2,(IF(('[1]フォームの回答 1'!AX25="多少"),3,(IF(('[1]フォームの回答 1'!AX25="全くない"),4,"")))))))</f>
        <v>3</v>
      </c>
      <c r="CE25" s="1">
        <f>IF(('[1]フォームの回答 1'!AY25="非常に"),1,(IF(('[1]フォームの回答 1'!AY25="かなり"),2,(IF(('[1]フォームの回答 1'!AY25="多少"),3,(IF(('[1]フォームの回答 1'!AY25="全くない"),4,"")))))))</f>
        <v>1</v>
      </c>
      <c r="CF25" s="1">
        <f>IF(('[1]フォームの回答 1'!AZ25="非常に"),1,(IF(('[1]フォームの回答 1'!AZ25="かなり"),2,(IF(('[1]フォームの回答 1'!AZ25="多少"),3,(IF(('[1]フォームの回答 1'!AZ25="全くない"),4,"")))))))</f>
        <v>3</v>
      </c>
      <c r="CG25" s="1">
        <f>IF(('[1]フォームの回答 1'!BA25="非常に"),1,(IF(('[1]フォームの回答 1'!BA25="かなり"),2,(IF(('[1]フォームの回答 1'!BA25="多少"),3,(IF(('[1]フォームの回答 1'!BA25="全くない"),4,"")))))))</f>
        <v>3</v>
      </c>
      <c r="CH25" s="1">
        <f>IF(('[1]フォームの回答 1'!BB25="非常に"),1,(IF(('[1]フォームの回答 1'!BB25="かなり"),2,(IF(('[1]フォームの回答 1'!BB25="多少"),3,(IF(('[1]フォームの回答 1'!BB25="全くない"),4,"")))))))</f>
        <v>1</v>
      </c>
      <c r="CI25" s="1">
        <f>IF(('[1]フォームの回答 1'!BC25="非常に"),1,(IF(('[1]フォームの回答 1'!BC25="かなり"),2,(IF(('[1]フォームの回答 1'!BC25="多少"),3,(IF(('[1]フォームの回答 1'!BC25="全くない"),4,"")))))))</f>
        <v>3</v>
      </c>
      <c r="CJ25" s="1">
        <f>IF(('[1]フォームの回答 1'!BD25="非常に"),1,(IF(('[1]フォームの回答 1'!BD25="かなり"),2,(IF(('[1]フォームの回答 1'!BD25="多少"),3,(IF(('[1]フォームの回答 1'!BD25="全くない"),4,"")))))))</f>
        <v>3</v>
      </c>
      <c r="CK25" s="1">
        <f>IF(('[1]フォームの回答 1'!BE25="非常に"),1,(IF(('[1]フォームの回答 1'!BE25="かなり"),2,(IF(('[1]フォームの回答 1'!BE25="多少"),3,(IF(('[1]フォームの回答 1'!BE25="全くない"),4,"")))))))</f>
        <v>1</v>
      </c>
      <c r="CL25" s="1">
        <f>IF(('[1]フォームの回答 1'!BF25="満足"),1,(IF(('[1]フォームの回答 1'!BF25="まぁ満足"),2,(IF(('[1]フォームの回答 1'!BF25="やや満足"),3,(IF(('[1]フォームの回答 1'!BF25="不満足"),4,"")))))))</f>
        <v>3</v>
      </c>
      <c r="CM25" s="1">
        <f>IF(('[1]フォームの回答 1'!BG25="満足"),1,(IF(('[1]フォームの回答 1'!BG25="まぁ満足"),2,(IF(('[1]フォームの回答 1'!BG25="やや満足"),3,(IF(('[1]フォームの回答 1'!BG25="不満足"),4,"")))))))</f>
        <v>1</v>
      </c>
      <c r="CN25" s="1">
        <f t="shared" si="38"/>
        <v>6</v>
      </c>
      <c r="CO25" s="1">
        <f t="shared" si="10"/>
        <v>4</v>
      </c>
      <c r="CP25" s="1">
        <f t="shared" si="39"/>
        <v>6</v>
      </c>
      <c r="CQ25" s="1">
        <f t="shared" si="11"/>
        <v>4</v>
      </c>
      <c r="CR25" s="1">
        <f t="shared" si="40"/>
        <v>12</v>
      </c>
      <c r="CS25" s="1">
        <f t="shared" si="41"/>
        <v>1</v>
      </c>
      <c r="CT25" s="1">
        <f t="shared" si="42"/>
        <v>6</v>
      </c>
      <c r="CU25" s="1">
        <f t="shared" si="12"/>
        <v>3</v>
      </c>
      <c r="CV25" s="1">
        <f t="shared" si="13"/>
        <v>26</v>
      </c>
      <c r="CW25" s="1">
        <f t="shared" si="14"/>
        <v>32</v>
      </c>
      <c r="CX25" s="1">
        <f t="shared" si="15"/>
        <v>9</v>
      </c>
      <c r="CY25" s="29" t="str">
        <f t="shared" si="43"/>
        <v>高</v>
      </c>
      <c r="CZ25" s="1">
        <v>0.5</v>
      </c>
      <c r="DA25" s="2">
        <f t="shared" si="16"/>
        <v>0.5</v>
      </c>
      <c r="DB25" s="1">
        <f>IF(('[1]フォームの回答 1'!BI25="いつもより寝つきは良い"),0,(IF(('[1]フォームの回答 1'!BI25="いつもより少し時間がかかった"),1,(IF(('[1]フォームの回答 1'!BI25="いつもよりかなり時間がかかった"),2,(IF(('[1]フォームの回答 1'!BI25="いつもより非常に時間がかかった、あるいは全く眠れなかった"),3,"")))))))</f>
        <v>2</v>
      </c>
      <c r="DC25" s="1">
        <f>IF(('[1]フォームの回答 1'!BJ25="問題になるほどのことはなかった"),0,(IF(('[1]フォームの回答 1'!BJ25="少し困ることがある"),1,(IF(('[1]フォームの回答 1'!BJ25="かなり困っている"),2,(IF(('[1]フォームの回答 1'!BJ25="深刻な状態、あるいは全く眠れなかった"),3,"")))))))</f>
        <v>1</v>
      </c>
      <c r="DD25" s="1">
        <f>IF(('[1]フォームの回答 1'!BK25="そのようなことはなかった"),0,(IF(('[1]フォームの回答 1'!BK25="少し早かった"),1,(IF(('[1]フォームの回答 1'!BK25="かなり早かった"),2,(IF(('[1]フォームの回答 1'!BK25="非常に早かった、あるいは全く眠れなかった"),3,"")))))))</f>
        <v>1</v>
      </c>
      <c r="DE25" s="1">
        <f>IF(('[1]フォームの回答 1'!BL25="十分である"),0,(IF(('[1]フォームの回答 1'!BL25="少し足りない"),1,(IF(('[1]フォームの回答 1'!BL25="かなり足りない"),2,(IF(('[1]フォームの回答 1'!BL25="全く足りない、あるいは全く眠れなかった"),3,"")))))))</f>
        <v>2</v>
      </c>
      <c r="DF25" s="1">
        <f>IF(('[1]フォームの回答 1'!BM25="満足している"),0,(IF(('[1]フォームの回答 1'!BM25="少し不満である"),1,(IF(('[1]フォームの回答 1'!BM25="かなり不満である"),2,(IF(('[1]フォームの回答 1'!BM25="非常に不満である、あるいは全く眠れなかった"),3,"")))))))</f>
        <v>3</v>
      </c>
      <c r="DG25" s="1">
        <f>IF(('[1]フォームの回答 1'!BN25="いつもどおり"),0,(IF(('[1]フォームの回答 1'!BN25="少し滅入った"),1,(IF(('[1]フォームの回答 1'!BN25="かなり滅入った"),2,(IF(('[1]フォームの回答 1'!BN25="非常に滅入った"),3,"")))))))</f>
        <v>2</v>
      </c>
      <c r="DH25" s="1">
        <f>IF(('[1]フォームの回答 1'!BO25="いつもどおり"),0,(IF(('[1]フォームの回答 1'!BO25="少し低下した"),1,(IF(('[1]フォームの回答 1'!BO25="かなり低下した"),2,(IF(('[1]フォームの回答 1'!BO25="非常に低下した"),3,"")))))))</f>
        <v>2</v>
      </c>
      <c r="DI25" s="1">
        <f>IF(('[1]フォームの回答 1'!BP25="全くなかった"),0,(IF(('[1]フォームの回答 1'!BP25="少しあった"),1,(IF(('[1]フォームの回答 1'!BP25="かなりあった"),2,(IF(('[1]フォームの回答 1'!BP25="激しかった"),3,"")))))))</f>
        <v>3</v>
      </c>
      <c r="DJ25">
        <f t="shared" si="44"/>
        <v>16</v>
      </c>
      <c r="DK25" s="4" t="str">
        <f t="shared" si="45"/>
        <v>高</v>
      </c>
      <c r="DL25" s="5">
        <v>9.4</v>
      </c>
      <c r="DM25" s="5">
        <v>3.9</v>
      </c>
      <c r="DN25" s="5">
        <v>1.6</v>
      </c>
      <c r="DO25" s="5">
        <v>14.9</v>
      </c>
      <c r="DP25" s="5"/>
      <c r="DQ25" s="5"/>
      <c r="DR25" s="43">
        <v>0.45600000000000002</v>
      </c>
      <c r="DS25" s="43">
        <v>87.78</v>
      </c>
      <c r="DT25" s="5">
        <v>0.52</v>
      </c>
      <c r="DU25" s="5">
        <v>26</v>
      </c>
      <c r="DV25" s="5" t="s">
        <v>115</v>
      </c>
    </row>
    <row r="26" spans="1:126" ht="14">
      <c r="A26" s="1">
        <v>316</v>
      </c>
      <c r="B26" s="24" t="s">
        <v>140</v>
      </c>
      <c r="C26" s="24">
        <v>36085</v>
      </c>
      <c r="D26" s="38">
        <f t="shared" si="17"/>
        <v>25</v>
      </c>
      <c r="E26" s="1">
        <f>IF(('[1]フォームの回答 1'!C26="そうだ"),1,(IF(('[1]フォームの回答 1'!C26="まぁそうだ"),2,(IF(('[1]フォームの回答 1'!C26="ややちがう"),3,(IF(('[1]フォームの回答 1'!C26="ちがう"),4,"")))))))</f>
        <v>1</v>
      </c>
      <c r="F26" s="1">
        <f>IF(('[1]フォームの回答 1'!D26="そうだ"),1,(IF(('[1]フォームの回答 1'!D26="まぁそうだ"),2,(IF(('[1]フォームの回答 1'!D26="ややちがう"),3,(IF(('[1]フォームの回答 1'!D26="ちがう"),4,"")))))))</f>
        <v>1</v>
      </c>
      <c r="G26" s="1">
        <f>IF(('[1]フォームの回答 1'!E26="そうだ"),1,(IF(('[1]フォームの回答 1'!E26="まぁそうだ"),2,(IF(('[1]フォームの回答 1'!E26="ややちがう"),3,(IF(('[1]フォームの回答 1'!E26="ちがう"),4,"")))))))</f>
        <v>1</v>
      </c>
      <c r="H26" s="1">
        <f>IF(('[1]フォームの回答 1'!F26="そうだ"),1,(IF(('[1]フォームの回答 1'!F26="まぁそうだ"),2,(IF(('[1]フォームの回答 1'!F26="ややちがう"),3,(IF(('[1]フォームの回答 1'!F26="ちがう"),4,"")))))))</f>
        <v>1</v>
      </c>
      <c r="I26" s="1">
        <f>IF(('[1]フォームの回答 1'!G26="そうだ"),1,(IF(('[1]フォームの回答 1'!G26="まぁそうだ"),2,(IF(('[1]フォームの回答 1'!G26="ややちがう"),3,(IF(('[1]フォームの回答 1'!G26="ちがう"),4,"")))))))</f>
        <v>2</v>
      </c>
      <c r="J26" s="1">
        <f>IF(('[1]フォームの回答 1'!H26="そうだ"),1,(IF(('[1]フォームの回答 1'!H26="まぁそうだ"),2,(IF(('[1]フォームの回答 1'!H26="ややちがう"),3,(IF(('[1]フォームの回答 1'!H26="ちがう"),4,"")))))))</f>
        <v>1</v>
      </c>
      <c r="K26" s="1">
        <f>IF(('[1]フォームの回答 1'!I26="そうだ"),1,(IF(('[1]フォームの回答 1'!I26="まぁそうだ"),2,(IF(('[1]フォームの回答 1'!I26="ややちがう"),3,(IF(('[1]フォームの回答 1'!I26="ちがう"),4,"")))))))</f>
        <v>4</v>
      </c>
      <c r="L26" s="1">
        <f>IF(('[1]フォームの回答 1'!J26="そうだ"),1,(IF(('[1]フォームの回答 1'!J26="まぁそうだ"),2,(IF(('[1]フォームの回答 1'!J26="ややちがう"),3,(IF(('[1]フォームの回答 1'!J26="ちがう"),4,"")))))))</f>
        <v>4</v>
      </c>
      <c r="M26" s="1">
        <f>IF(('[1]フォームの回答 1'!K26="そうだ"),1,(IF(('[1]フォームの回答 1'!K26="まぁそうだ"),2,(IF(('[1]フォームの回答 1'!K26="ややちがう"),3,(IF(('[1]フォームの回答 1'!K26="ちがう"),4,"")))))))</f>
        <v>3</v>
      </c>
      <c r="N26" s="1">
        <f>IF(('[1]フォームの回答 1'!L26="そうだ"),1,(IF(('[1]フォームの回答 1'!L26="まぁそうだ"),2,(IF(('[1]フォームの回答 1'!L26="ややちがう"),3,(IF(('[1]フォームの回答 1'!L26="ちがう"),4,"")))))))</f>
        <v>2</v>
      </c>
      <c r="O26" s="1">
        <f>IF(('[1]フォームの回答 1'!M26="そうだ"),1,(IF(('[1]フォームの回答 1'!M26="まぁそうだ"),2,(IF(('[1]フォームの回答 1'!M26="ややちがう"),3,(IF(('[1]フォームの回答 1'!M26="ちがう"),4,"")))))))</f>
        <v>4</v>
      </c>
      <c r="P26" s="1">
        <f>IF(('[1]フォームの回答 1'!N26="そうだ"),1,(IF(('[1]フォームの回答 1'!N26="まぁそうだ"),2,(IF(('[1]フォームの回答 1'!N26="ややちがう"),3,(IF(('[1]フォームの回答 1'!N26="ちがう"),4,"")))))))</f>
        <v>3</v>
      </c>
      <c r="Q26" s="1">
        <f>IF(('[1]フォームの回答 1'!O26="そうだ"),1,(IF(('[1]フォームの回答 1'!O26="まぁそうだ"),2,(IF(('[1]フォームの回答 1'!O26="ややちがう"),3,(IF(('[1]フォームの回答 1'!O26="ちがう"),4,"")))))))</f>
        <v>4</v>
      </c>
      <c r="R26" s="1">
        <f>IF(('[1]フォームの回答 1'!P26="そうだ"),1,(IF(('[1]フォームの回答 1'!P26="まぁそうだ"),2,(IF(('[1]フォームの回答 1'!P26="ややちがう"),3,(IF(('[1]フォームの回答 1'!P26="ちがう"),4,"")))))))</f>
        <v>2</v>
      </c>
      <c r="S26" s="1">
        <f>IF(('[1]フォームの回答 1'!Q26="そうだ"),1,(IF(('[1]フォームの回答 1'!Q26="まぁそうだ"),2,(IF(('[1]フォームの回答 1'!Q26="ややちがう"),3,(IF(('[1]フォームの回答 1'!Q26="ちがう"),4,"")))))))</f>
        <v>3</v>
      </c>
      <c r="T26" s="1">
        <f>IF(('[1]フォームの回答 1'!R26="そうだ"),1,(IF(('[1]フォームの回答 1'!R26="まぁそうだ"),2,(IF(('[1]フォームの回答 1'!R26="ややちがう"),3,(IF(('[1]フォームの回答 1'!R26="ちがう"),4,"")))))))</f>
        <v>2</v>
      </c>
      <c r="U26" s="1">
        <f>IF(('[1]フォームの回答 1'!S26="そうだ"),1,(IF(('[1]フォームの回答 1'!S26="まぁそうだ"),2,(IF(('[1]フォームの回答 1'!S26="ややちがう"),3,(IF(('[1]フォームの回答 1'!S26="ちがう"),4,"")))))))</f>
        <v>2</v>
      </c>
      <c r="V26" s="1">
        <f t="shared" si="18"/>
        <v>12</v>
      </c>
      <c r="W26" s="1">
        <f t="shared" si="0"/>
        <v>5</v>
      </c>
      <c r="X26" s="1">
        <f t="shared" si="19"/>
        <v>11</v>
      </c>
      <c r="Y26" s="1">
        <f t="shared" si="1"/>
        <v>5</v>
      </c>
      <c r="Z26" s="1">
        <f t="shared" si="20"/>
        <v>1</v>
      </c>
      <c r="AA26" s="1">
        <f t="shared" si="21"/>
        <v>2</v>
      </c>
      <c r="AB26" s="1">
        <f t="shared" si="22"/>
        <v>5</v>
      </c>
      <c r="AC26" s="1">
        <f t="shared" si="23"/>
        <v>2</v>
      </c>
      <c r="AD26" s="1">
        <f t="shared" si="24"/>
        <v>2</v>
      </c>
      <c r="AE26" s="1">
        <f t="shared" si="2"/>
        <v>3</v>
      </c>
      <c r="AF26" s="1">
        <f t="shared" si="25"/>
        <v>6</v>
      </c>
      <c r="AG26" s="1">
        <f t="shared" si="3"/>
        <v>3</v>
      </c>
      <c r="AH26" s="1">
        <f t="shared" si="26"/>
        <v>4</v>
      </c>
      <c r="AI26" s="1">
        <f t="shared" si="27"/>
        <v>2</v>
      </c>
      <c r="AJ26" s="1">
        <f t="shared" si="28"/>
        <v>3</v>
      </c>
      <c r="AK26" s="1">
        <f t="shared" si="29"/>
        <v>3</v>
      </c>
      <c r="AL26" s="1">
        <f t="shared" si="30"/>
        <v>3</v>
      </c>
      <c r="AM26" s="1">
        <f t="shared" si="31"/>
        <v>3</v>
      </c>
      <c r="AN26" s="1">
        <f>IF(('[1]フォームの回答 1'!T26="ほとんどなかった"),1,(IF(('[1]フォームの回答 1'!T26="ときどきあった"),2,(IF(('[1]フォームの回答 1'!T26="しばしばあった"),3,(IF(('[1]フォームの回答 1'!T26="ほとんどいつもあった"),4,"")))))))</f>
        <v>1</v>
      </c>
      <c r="AO26" s="1">
        <f>IF(('[1]フォームの回答 1'!U26="ほとんどなかった"),1,(IF(('[1]フォームの回答 1'!U26="ときどきあった"),2,(IF(('[1]フォームの回答 1'!U26="しばしばあった"),3,(IF(('[1]フォームの回答 1'!U26="ほとんどいつもあった"),4,"")))))))</f>
        <v>1</v>
      </c>
      <c r="AP26" s="1">
        <f>IF(('[1]フォームの回答 1'!V26="ほとんどなかった"),1,(IF(('[1]フォームの回答 1'!V26="ときどきあった"),2,(IF(('[1]フォームの回答 1'!V26="しばしばあった"),3,(IF(('[1]フォームの回答 1'!V26="ほとんどいつもあった"),4,"")))))))</f>
        <v>1</v>
      </c>
      <c r="AQ26" s="1">
        <f>IF(('[1]フォームの回答 1'!W26="ほとんどなかった"),1,(IF(('[1]フォームの回答 1'!W26="ときどきあった"),2,(IF(('[1]フォームの回答 1'!W26="しばしばあった"),3,(IF(('[1]フォームの回答 1'!W26="ほとんどいつもあった"),4,"")))))))</f>
        <v>2</v>
      </c>
      <c r="AR26" s="1">
        <f>IF(('[1]フォームの回答 1'!X26="ほとんどなかった"),1,(IF(('[1]フォームの回答 1'!X26="ときどきあった"),2,(IF(('[1]フォームの回答 1'!X26="しばしばあった"),3,(IF(('[1]フォームの回答 1'!X26="ほとんどいつもあった"),4,"")))))))</f>
        <v>2</v>
      </c>
      <c r="AS26" s="1">
        <f>IF(('[1]フォームの回答 1'!Y26="ほとんどなかった"),1,(IF(('[1]フォームの回答 1'!Y26="ときどきあった"),2,(IF(('[1]フォームの回答 1'!Y26="しばしばあった"),3,(IF(('[1]フォームの回答 1'!Y26="ほとんどいつもあった"),4,"")))))))</f>
        <v>2</v>
      </c>
      <c r="AT26" s="1">
        <f>IF(('[1]フォームの回答 1'!Z26="ほとんどなかった"),1,(IF(('[1]フォームの回答 1'!Z26="ときどきあった"),2,(IF(('[1]フォームの回答 1'!Z26="しばしばあった"),3,(IF(('[1]フォームの回答 1'!Z26="ほとんどいつもあった"),4,"")))))))</f>
        <v>4</v>
      </c>
      <c r="AU26" s="1">
        <f>IF(('[1]フォームの回答 1'!AA26="ほとんどなかった"),1,(IF(('[1]フォームの回答 1'!AA26="ときどきあった"),2,(IF(('[1]フォームの回答 1'!AA26="しばしばあった"),3,(IF(('[1]フォームの回答 1'!AA26="ほとんどいつもあった"),4,"")))))))</f>
        <v>4</v>
      </c>
      <c r="AV26" s="1">
        <f>IF(('[1]フォームの回答 1'!AB26="ほとんどなかった"),1,(IF(('[1]フォームの回答 1'!AB26="ときどきばあった"),2,(IF(('[1]フォームの回答 1'!AB26="しばしばあった"),3,(IF(('[1]フォームの回答 1'!AB26="ほとんどいつもあった"),4,"")))))))</f>
        <v>3</v>
      </c>
      <c r="AW26" s="1">
        <f>IF(('[1]フォームの回答 1'!AC26="ほとんどなかった"),1,(IF(('[1]フォームの回答 1'!AC26="ときどきあった"),2,(IF(('[1]フォームの回答 1'!AC26="しばしばあった"),3,(IF(('[1]フォームの回答 1'!AC26="ほとんどいつもあった"),4,"")))))))</f>
        <v>4</v>
      </c>
      <c r="AX26" s="1">
        <f>IF(('[1]フォームの回答 1'!AD26="ほとんどなかった"),1,(IF(('[1]フォームの回答 1'!AD26="ときどきあった"),2,(IF(('[1]フォームの回答 1'!AD26="しばしばあった"),3,(IF(('[1]フォームの回答 1'!AD26="ほとんどいつもあった"),4,"")))))))</f>
        <v>3</v>
      </c>
      <c r="AY26" s="1">
        <f>IF(('[1]フォームの回答 1'!AE26="ほとんどなかった"),1,(IF(('[1]フォームの回答 1'!AE26="ときどきあった"),2,(IF(('[1]フォームの回答 1'!AE26="しばしばあった"),3,(IF(('[1]フォームの回答 1'!AE26="ほとんどいつもあった"),4,"")))))))</f>
        <v>2</v>
      </c>
      <c r="AZ26" s="1">
        <f>IF(('[1]フォームの回答 1'!AF26="ほとんどなかった"),1,(IF(('[1]フォームの回答 1'!AF26="ときどきあった"),2,(IF(('[1]フォームの回答 1'!AF26="しばしばあった"),3,(IF(('[1]フォームの回答 1'!AF26="ほとんどいつもあった"),4,"")))))))</f>
        <v>3</v>
      </c>
      <c r="BA26" s="1">
        <f>IF(('[1]フォームの回答 1'!AG26="ほとんどなかった"),1,(IF(('[1]フォームの回答 1'!AG26="ときどきあった"),2,(IF(('[1]フォームの回答 1'!AG26="しばしばあった"),3,(IF(('[1]フォームの回答 1'!AG26="ほとんどいつもあった"),4,"")))))))</f>
        <v>2</v>
      </c>
      <c r="BB26" s="1">
        <f>IF(('[1]フォームの回答 1'!AH26="ほとんどなかった"),1,(IF(('[1]フォームの回答 1'!AH26="ときどきあった"),2,(IF(('[1]フォームの回答 1'!AH26="しばしばあった"),3,(IF(('[1]フォームの回答 1'!AH26="ほとんどいつもあった"),4,"")))))))</f>
        <v>1</v>
      </c>
      <c r="BC26" s="1">
        <f>IF(('[1]フォームの回答 1'!AI26="ほとんどなかった"),1,(IF(('[1]フォームの回答 1'!AI26="ときどきあった"),2,(IF(('[1]フォームの回答 1'!AI26="しばしばあった"),3,(IF(('[1]フォームの回答 1'!AI26="ほとんどいつもあった"),4,"")))))))</f>
        <v>2</v>
      </c>
      <c r="BD26" s="1">
        <f>IF(('[1]フォームの回答 1'!AJ26="ほとんどなかった"),1,(IF(('[1]フォームの回答 1'!AJ26="ときどきあった"),2,(IF(('[1]フォームの回答 1'!AJ26="しばしばあった"),3,(IF(('[1]フォームの回答 1'!AJ26="ほとんどいつもあった"),4,"")))))))</f>
        <v>1</v>
      </c>
      <c r="BE26" s="1">
        <f>IF(('[1]フォームの回答 1'!AK26="ほとんどなかった"),1,(IF(('[1]フォームの回答 1'!AK26="ときどきあった"),2,(IF(('[1]フォームの回答 1'!AK26="しばしばあった"),3,(IF(('[1]フォームの回答 1'!AK26="ほとんどいつもあった"),4,"")))))))</f>
        <v>3</v>
      </c>
      <c r="BF26" s="1">
        <f>IF(('[1]フォームの回答 1'!AL26="ほとんどなかった"),1,(IF(('[1]フォームの回答 1'!AL26="ときどきあった"),2,(IF(('[1]フォームの回答 1'!AL26="しばしばあった"),3,(IF(('[1]フォームの回答 1'!AL26="ほとんどいつもあった"),4,"")))))))</f>
        <v>1</v>
      </c>
      <c r="BG26" s="1">
        <f>IF(('[1]フォームの回答 1'!AM26="ほとんどなかった"),1,(IF(('[1]フォームの回答 1'!AM26="ときどきあった"),2,(IF(('[1]フォームの回答 1'!AM26="しばしばあった"),3,(IF(('[1]フォームの回答 1'!AM26="ほとんどいつもあった"),4,"")))))))</f>
        <v>2</v>
      </c>
      <c r="BH26" s="1">
        <f>IF(('[1]フォームの回答 1'!AN26="ほとんどなかった"),1,(IF(('[1]フォームの回答 1'!AN26="ときどきあった"),2,(IF(('[1]フォームの回答 1'!AN26="しばしばあった"),3,(IF(('[1]フォームの回答 1'!AN26="ほとんどいつもあった"),4,"")))))))</f>
        <v>2</v>
      </c>
      <c r="BI26" s="1">
        <f>IF(('[1]フォームの回答 1'!AO26="ほとんどなかった"),1,(IF(('[1]フォームの回答 1'!AO26="ときどきあった"),2,(IF(('[1]フォームの回答 1'!AO26="しばしばあった"),3,(IF(('[1]フォームの回答 1'!AO26="ほとんどいつもあった"),4,"")))))))</f>
        <v>4</v>
      </c>
      <c r="BJ26" s="1">
        <f>IF(('[1]フォームの回答 1'!AP26="ほとんどなかった"),1,(IF(('[1]フォームの回答 1'!AP26="ときどきあった"),2,(IF(('[1]フォームの回答 1'!AP26="しばしばあった"),3,(IF(('[1]フォームの回答 1'!AP26="ほとんどいつもあった"),4,"")))))))</f>
        <v>2</v>
      </c>
      <c r="BK26" s="1">
        <f>IF(('[1]フォームの回答 1'!AQ26="ほとんどなかった"),1,(IF(('[1]フォームの回答 1'!AQ26="ときどきあった"),2,(IF(('[1]フォームの回答 1'!AQ26="しばしばあった"),3,(IF(('[1]フォームの回答 1'!AQ26="ほとんどいつもあった"),4,"")))))))</f>
        <v>2</v>
      </c>
      <c r="BL26" s="1">
        <f>IF(('[1]フォームの回答 1'!AR26="ほとんどなかった"),1,(IF(('[1]フォームの回答 1'!AR26="ときどきあった"),2,(IF(('[1]フォームの回答 1'!AR26="しばしばあった"),3,(IF(('[1]フォームの回答 1'!AR26="ほとんどいつもあった"),4,"")))))))</f>
        <v>1</v>
      </c>
      <c r="BM26" s="1">
        <f>IF(('[1]フォームの回答 1'!AS26="ほとんどなかった"),1,(IF(('[1]フォームの回答 1'!AS26="ときどきあった"),2,(IF(('[1]フォームの回答 1'!AS26="しばしばあった"),3,(IF(('[1]フォームの回答 1'!AS26="ほとんどいつもあった"),4,"")))))))</f>
        <v>4</v>
      </c>
      <c r="BN26" s="1">
        <f>IF(('[1]フォームの回答 1'!AT26="ほとんどなかった"),1,(IF(('[1]フォームの回答 1'!AT26="ときどきあった"),2,(IF(('[1]フォームの回答 1'!AT26="しばしばあった"),3,(IF(('[1]フォームの回答 1'!AT26="ほとんどいつもあった"),4,"")))))))</f>
        <v>2</v>
      </c>
      <c r="BO26" s="1">
        <f>IF(('[1]フォームの回答 1'!AU26="ほとんどなかった"),1,(IF(('[1]フォームの回答 1'!AU26="ときどきあった"),2,(IF(('[1]フォームの回答 1'!AU26="しばしばあった"),3,(IF(('[1]フォームの回答 1'!AU26="ほとんどいつもあった"),4,"")))))))</f>
        <v>3</v>
      </c>
      <c r="BP26" s="1">
        <f>IF(('[1]フォームの回答 1'!AV26="ほとんどなかった"),1,(IF(('[1]フォームの回答 1'!AV26="ときどきあった"),2,(IF(('[1]フォームの回答 1'!AV26="しばしばあった"),3,(IF(('[1]フォームの回答 1'!AV26="ほとんどいつもあった"),4,"")))))))</f>
        <v>1</v>
      </c>
      <c r="BQ26" s="1">
        <f t="shared" si="32"/>
        <v>3</v>
      </c>
      <c r="BR26" s="1">
        <f t="shared" si="33"/>
        <v>5</v>
      </c>
      <c r="BS26" s="1">
        <f t="shared" si="34"/>
        <v>6</v>
      </c>
      <c r="BT26" s="1">
        <f t="shared" si="4"/>
        <v>3</v>
      </c>
      <c r="BU26" s="1">
        <f t="shared" si="5"/>
        <v>11</v>
      </c>
      <c r="BV26" s="1">
        <f t="shared" si="6"/>
        <v>4</v>
      </c>
      <c r="BW26" s="1">
        <f t="shared" si="35"/>
        <v>9</v>
      </c>
      <c r="BX26" s="1">
        <f t="shared" si="7"/>
        <v>4</v>
      </c>
      <c r="BY26" s="1">
        <f t="shared" si="36"/>
        <v>12</v>
      </c>
      <c r="BZ26" s="1">
        <f t="shared" si="8"/>
        <v>3</v>
      </c>
      <c r="CA26" s="1">
        <f t="shared" si="37"/>
        <v>24</v>
      </c>
      <c r="CB26" s="1">
        <f t="shared" si="9"/>
        <v>4</v>
      </c>
      <c r="CC26" s="1">
        <f>IF(('[1]フォームの回答 1'!AW26="非常に"),1,(IF(('[1]フォームの回答 1'!AW26="かなり"),2,(IF(('[1]フォームの回答 1'!AW26="多少"),3,(IF(('[1]フォームの回答 1'!AW26="全くない"),4,"")))))))</f>
        <v>2</v>
      </c>
      <c r="CD26" s="1">
        <f>IF(('[1]フォームの回答 1'!AX26="非常に"),1,(IF(('[1]フォームの回答 1'!AX26="かなり"),2,(IF(('[1]フォームの回答 1'!AX26="多少"),3,(IF(('[1]フォームの回答 1'!AX26="全くない"),4,"")))))))</f>
        <v>3</v>
      </c>
      <c r="CE26" s="1">
        <f>IF(('[1]フォームの回答 1'!AY26="非常に"),1,(IF(('[1]フォームの回答 1'!AY26="かなり"),2,(IF(('[1]フォームの回答 1'!AY26="多少"),3,(IF(('[1]フォームの回答 1'!AY26="全くない"),4,"")))))))</f>
        <v>1</v>
      </c>
      <c r="CF26" s="1">
        <f>IF(('[1]フォームの回答 1'!AZ26="非常に"),1,(IF(('[1]フォームの回答 1'!AZ26="かなり"),2,(IF(('[1]フォームの回答 1'!AZ26="多少"),3,(IF(('[1]フォームの回答 1'!AZ26="全くない"),4,"")))))))</f>
        <v>3</v>
      </c>
      <c r="CG26" s="1">
        <f>IF(('[1]フォームの回答 1'!BA26="非常に"),1,(IF(('[1]フォームの回答 1'!BA26="かなり"),2,(IF(('[1]フォームの回答 1'!BA26="多少"),3,(IF(('[1]フォームの回答 1'!BA26="全くない"),4,"")))))))</f>
        <v>3</v>
      </c>
      <c r="CH26" s="1">
        <f>IF(('[1]フォームの回答 1'!BB26="非常に"),1,(IF(('[1]フォームの回答 1'!BB26="かなり"),2,(IF(('[1]フォームの回答 1'!BB26="多少"),3,(IF(('[1]フォームの回答 1'!BB26="全くない"),4,"")))))))</f>
        <v>1</v>
      </c>
      <c r="CI26" s="1">
        <f>IF(('[1]フォームの回答 1'!BC26="非常に"),1,(IF(('[1]フォームの回答 1'!BC26="かなり"),2,(IF(('[1]フォームの回答 1'!BC26="多少"),3,(IF(('[1]フォームの回答 1'!BC26="全くない"),4,"")))))))</f>
        <v>2</v>
      </c>
      <c r="CJ26" s="1">
        <f>IF(('[1]フォームの回答 1'!BD26="非常に"),1,(IF(('[1]フォームの回答 1'!BD26="かなり"),2,(IF(('[1]フォームの回答 1'!BD26="多少"),3,(IF(('[1]フォームの回答 1'!BD26="全くない"),4,"")))))))</f>
        <v>2</v>
      </c>
      <c r="CK26" s="1">
        <f>IF(('[1]フォームの回答 1'!BE26="非常に"),1,(IF(('[1]フォームの回答 1'!BE26="かなり"),2,(IF(('[1]フォームの回答 1'!BE26="多少"),3,(IF(('[1]フォームの回答 1'!BE26="全くない"),4,"")))))))</f>
        <v>1</v>
      </c>
      <c r="CL26" s="1">
        <f>IF(('[1]フォームの回答 1'!BF26="満足"),1,(IF(('[1]フォームの回答 1'!BF26="まぁ満足"),2,(IF(('[1]フォームの回答 1'!BF26="やや満足"),3,(IF(('[1]フォームの回答 1'!BF26="不満足"),4,"")))))))</f>
        <v>3</v>
      </c>
      <c r="CM26" s="1">
        <f>IF(('[1]フォームの回答 1'!BG26="満足"),1,(IF(('[1]フォームの回答 1'!BG26="まぁ満足"),2,(IF(('[1]フォームの回答 1'!BG26="やや満足"),3,(IF(('[1]フォームの回答 1'!BG26="不満足"),4,"")))))))</f>
        <v>1</v>
      </c>
      <c r="CN26" s="1">
        <f t="shared" si="38"/>
        <v>8</v>
      </c>
      <c r="CO26" s="1">
        <f t="shared" si="10"/>
        <v>2</v>
      </c>
      <c r="CP26" s="1">
        <f t="shared" si="39"/>
        <v>7</v>
      </c>
      <c r="CQ26" s="1">
        <f t="shared" si="11"/>
        <v>4</v>
      </c>
      <c r="CR26" s="1">
        <f t="shared" si="40"/>
        <v>12</v>
      </c>
      <c r="CS26" s="1">
        <f t="shared" si="41"/>
        <v>1</v>
      </c>
      <c r="CT26" s="1">
        <f t="shared" si="42"/>
        <v>6</v>
      </c>
      <c r="CU26" s="1">
        <f t="shared" si="12"/>
        <v>3</v>
      </c>
      <c r="CV26" s="1">
        <f t="shared" si="13"/>
        <v>23</v>
      </c>
      <c r="CW26" s="1">
        <f t="shared" si="14"/>
        <v>28</v>
      </c>
      <c r="CX26" s="1">
        <f t="shared" si="15"/>
        <v>7</v>
      </c>
      <c r="CY26" s="29" t="str">
        <f t="shared" si="43"/>
        <v>中①</v>
      </c>
      <c r="CZ26" s="1">
        <v>1</v>
      </c>
      <c r="DA26" s="2">
        <f t="shared" si="16"/>
        <v>0</v>
      </c>
      <c r="DB26" s="1">
        <f>IF(('[1]フォームの回答 1'!BI26="いつもより寝つきは良い"),0,(IF(('[1]フォームの回答 1'!BI26="いつもより少し時間がかかった"),1,(IF(('[1]フォームの回答 1'!BI26="いつもよりかなり時間がかかった"),2,(IF(('[1]フォームの回答 1'!BI26="いつもより非常に時間がかかった、あるいは全く眠れなかった"),3,"")))))))</f>
        <v>1</v>
      </c>
      <c r="DC26" s="1">
        <f>IF(('[1]フォームの回答 1'!BJ26="問題になるほどのことはなかった"),0,(IF(('[1]フォームの回答 1'!BJ26="少し困ることがある"),1,(IF(('[1]フォームの回答 1'!BJ26="かなり困っている"),2,(IF(('[1]フォームの回答 1'!BJ26="深刻な状態、あるいは全く眠れなかった"),3,"")))))))</f>
        <v>0</v>
      </c>
      <c r="DD26" s="1">
        <f>IF(('[1]フォームの回答 1'!BK26="そのようなことはなかった"),0,(IF(('[1]フォームの回答 1'!BK26="少し早かった"),1,(IF(('[1]フォームの回答 1'!BK26="かなり早かった"),2,(IF(('[1]フォームの回答 1'!BK26="非常に早かった、あるいは全く眠れなかった"),3,"")))))))</f>
        <v>0</v>
      </c>
      <c r="DE26" s="1">
        <f>IF(('[1]フォームの回答 1'!BL26="十分である"),0,(IF(('[1]フォームの回答 1'!BL26="少し足りない"),1,(IF(('[1]フォームの回答 1'!BL26="かなり足りない"),2,(IF(('[1]フォームの回答 1'!BL26="全く足りない、あるいは全く眠れなかった"),3,"")))))))</f>
        <v>1</v>
      </c>
      <c r="DF26" s="1">
        <f>IF(('[1]フォームの回答 1'!BM26="満足している"),0,(IF(('[1]フォームの回答 1'!BM26="少し不満である"),1,(IF(('[1]フォームの回答 1'!BM26="かなり不満である"),2,(IF(('[1]フォームの回答 1'!BM26="非常に不満である、あるいは全く眠れなかった"),3,"")))))))</f>
        <v>1</v>
      </c>
      <c r="DG26" s="1">
        <f>IF(('[1]フォームの回答 1'!BN26="いつもどおり"),0,(IF(('[1]フォームの回答 1'!BN26="少し滅入った"),1,(IF(('[1]フォームの回答 1'!BN26="かなり滅入った"),2,(IF(('[1]フォームの回答 1'!BN26="非常に滅入った"),3,"")))))))</f>
        <v>1</v>
      </c>
      <c r="DH26" s="1">
        <f>IF(('[1]フォームの回答 1'!BO26="いつもどおり"),0,(IF(('[1]フォームの回答 1'!BO26="少し低下した"),1,(IF(('[1]フォームの回答 1'!BO26="かなり低下した"),2,(IF(('[1]フォームの回答 1'!BO26="非常に低下した"),3,"")))))))</f>
        <v>1</v>
      </c>
      <c r="DI26" s="1">
        <f>IF(('[1]フォームの回答 1'!BP26="全くなかった"),0,(IF(('[1]フォームの回答 1'!BP26="少しあった"),1,(IF(('[1]フォームの回答 1'!BP26="かなりあった"),2,(IF(('[1]フォームの回答 1'!BP26="激しかった"),3,"")))))))</f>
        <v>1</v>
      </c>
      <c r="DJ26">
        <f t="shared" si="44"/>
        <v>6</v>
      </c>
      <c r="DK26" s="4" t="str">
        <f t="shared" si="45"/>
        <v>高</v>
      </c>
      <c r="DL26" s="5">
        <v>53.1</v>
      </c>
      <c r="DM26" s="5">
        <v>26.4</v>
      </c>
      <c r="DN26" s="5">
        <v>58.3</v>
      </c>
      <c r="DO26" s="5">
        <v>137.80000000000001</v>
      </c>
      <c r="DP26" s="5"/>
      <c r="DQ26" s="5"/>
      <c r="DR26" s="43">
        <v>1.92</v>
      </c>
      <c r="DS26" s="43">
        <v>276.75</v>
      </c>
      <c r="DT26" s="5">
        <v>0.69</v>
      </c>
      <c r="DU26" s="5">
        <v>35</v>
      </c>
      <c r="DV26" s="5" t="s">
        <v>115</v>
      </c>
    </row>
    <row r="27" spans="1:126" ht="14" hidden="1">
      <c r="A27" s="1">
        <v>317</v>
      </c>
      <c r="B27" s="24" t="s">
        <v>140</v>
      </c>
      <c r="C27" s="24">
        <v>36423</v>
      </c>
      <c r="D27" s="38">
        <f t="shared" si="17"/>
        <v>24</v>
      </c>
      <c r="E27" s="1">
        <f>IF(('[1]フォームの回答 1'!C27="そうだ"),1,(IF(('[1]フォームの回答 1'!C27="まぁそうだ"),2,(IF(('[1]フォームの回答 1'!C27="ややちがう"),3,(IF(('[1]フォームの回答 1'!C27="ちがう"),4,"")))))))</f>
        <v>3</v>
      </c>
      <c r="F27" s="1">
        <f>IF(('[1]フォームの回答 1'!D27="そうだ"),1,(IF(('[1]フォームの回答 1'!D27="まぁそうだ"),2,(IF(('[1]フォームの回答 1'!D27="ややちがう"),3,(IF(('[1]フォームの回答 1'!D27="ちがう"),4,"")))))))</f>
        <v>3</v>
      </c>
      <c r="G27" s="1">
        <f>IF(('[1]フォームの回答 1'!E27="そうだ"),1,(IF(('[1]フォームの回答 1'!E27="まぁそうだ"),2,(IF(('[1]フォームの回答 1'!E27="ややちがう"),3,(IF(('[1]フォームの回答 1'!E27="ちがう"),4,"")))))))</f>
        <v>3</v>
      </c>
      <c r="H27" s="1">
        <f>IF(('[1]フォームの回答 1'!F27="そうだ"),1,(IF(('[1]フォームの回答 1'!F27="まぁそうだ"),2,(IF(('[1]フォームの回答 1'!F27="ややちがう"),3,(IF(('[1]フォームの回答 1'!F27="ちがう"),4,"")))))))</f>
        <v>3</v>
      </c>
      <c r="I27" s="1">
        <f>IF(('[1]フォームの回答 1'!G27="そうだ"),1,(IF(('[1]フォームの回答 1'!G27="まぁそうだ"),2,(IF(('[1]フォームの回答 1'!G27="ややちがう"),3,(IF(('[1]フォームの回答 1'!G27="ちがう"),4,"")))))))</f>
        <v>3</v>
      </c>
      <c r="J27" s="1">
        <f>IF(('[1]フォームの回答 1'!H27="そうだ"),1,(IF(('[1]フォームの回答 1'!H27="まぁそうだ"),2,(IF(('[1]フォームの回答 1'!H27="ややちがう"),3,(IF(('[1]フォームの回答 1'!H27="ちがう"),4,"")))))))</f>
        <v>3</v>
      </c>
      <c r="K27" s="1">
        <f>IF(('[1]フォームの回答 1'!I27="そうだ"),1,(IF(('[1]フォームの回答 1'!I27="まぁそうだ"),2,(IF(('[1]フォームの回答 1'!I27="ややちがう"),3,(IF(('[1]フォームの回答 1'!I27="ちがう"),4,"")))))))</f>
        <v>4</v>
      </c>
      <c r="L27" s="1">
        <f>IF(('[1]フォームの回答 1'!J27="そうだ"),1,(IF(('[1]フォームの回答 1'!J27="まぁそうだ"),2,(IF(('[1]フォームの回答 1'!J27="ややちがう"),3,(IF(('[1]フォームの回答 1'!J27="ちがう"),4,"")))))))</f>
        <v>1</v>
      </c>
      <c r="M27" s="1">
        <f>IF(('[1]フォームの回答 1'!K27="そうだ"),1,(IF(('[1]フォームの回答 1'!K27="まぁそうだ"),2,(IF(('[1]フォームの回答 1'!K27="ややちがう"),3,(IF(('[1]フォームの回答 1'!K27="ちがう"),4,"")))))))</f>
        <v>2</v>
      </c>
      <c r="N27" s="1">
        <f>IF(('[1]フォームの回答 1'!L27="そうだ"),1,(IF(('[1]フォームの回答 1'!L27="まぁそうだ"),2,(IF(('[1]フォームの回答 1'!L27="ややちがう"),3,(IF(('[1]フォームの回答 1'!L27="ちがう"),4,"")))))))</f>
        <v>2</v>
      </c>
      <c r="O27" s="1">
        <f>IF(('[1]フォームの回答 1'!M27="そうだ"),1,(IF(('[1]フォームの回答 1'!M27="まぁそうだ"),2,(IF(('[1]フォームの回答 1'!M27="ややちがう"),3,(IF(('[1]フォームの回答 1'!M27="ちがう"),4,"")))))))</f>
        <v>4</v>
      </c>
      <c r="P27" s="1">
        <f>IF(('[1]フォームの回答 1'!N27="そうだ"),1,(IF(('[1]フォームの回答 1'!N27="まぁそうだ"),2,(IF(('[1]フォームの回答 1'!N27="ややちがう"),3,(IF(('[1]フォームの回答 1'!N27="ちがう"),4,"")))))))</f>
        <v>3</v>
      </c>
      <c r="Q27" s="1">
        <f>IF(('[1]フォームの回答 1'!O27="そうだ"),1,(IF(('[1]フォームの回答 1'!O27="まぁそうだ"),2,(IF(('[1]フォームの回答 1'!O27="ややちがう"),3,(IF(('[1]フォームの回答 1'!O27="ちがう"),4,"")))))))</f>
        <v>4</v>
      </c>
      <c r="R27" s="1">
        <f>IF(('[1]フォームの回答 1'!P27="そうだ"),1,(IF(('[1]フォームの回答 1'!P27="まぁそうだ"),2,(IF(('[1]フォームの回答 1'!P27="ややちがう"),3,(IF(('[1]フォームの回答 1'!P27="ちがう"),4,"")))))))</f>
        <v>1</v>
      </c>
      <c r="S27" s="1">
        <f>IF(('[1]フォームの回答 1'!Q27="そうだ"),1,(IF(('[1]フォームの回答 1'!Q27="まぁそうだ"),2,(IF(('[1]フォームの回答 1'!Q27="ややちがう"),3,(IF(('[1]フォームの回答 1'!Q27="ちがう"),4,"")))))))</f>
        <v>1</v>
      </c>
      <c r="T27" s="1">
        <f>IF(('[1]フォームの回答 1'!R27="そうだ"),1,(IF(('[1]フォームの回答 1'!R27="まぁそうだ"),2,(IF(('[1]フォームの回答 1'!R27="ややちがう"),3,(IF(('[1]フォームの回答 1'!R27="ちがう"),4,"")))))))</f>
        <v>1</v>
      </c>
      <c r="U27" s="1">
        <f>IF(('[1]フォームの回答 1'!S27="そうだ"),1,(IF(('[1]フォームの回答 1'!S27="まぁそうだ"),2,(IF(('[1]フォームの回答 1'!S27="ややちがう"),3,(IF(('[1]フォームの回答 1'!S27="ちがう"),4,"")))))))</f>
        <v>2</v>
      </c>
      <c r="V27" s="1">
        <f t="shared" si="18"/>
        <v>6</v>
      </c>
      <c r="W27" s="1">
        <f t="shared" si="0"/>
        <v>2</v>
      </c>
      <c r="X27" s="1">
        <f t="shared" si="19"/>
        <v>6</v>
      </c>
      <c r="Y27" s="1">
        <f t="shared" si="1"/>
        <v>2</v>
      </c>
      <c r="Z27" s="1">
        <f t="shared" si="20"/>
        <v>1</v>
      </c>
      <c r="AA27" s="1">
        <f t="shared" si="21"/>
        <v>2</v>
      </c>
      <c r="AB27" s="1">
        <f t="shared" si="22"/>
        <v>4</v>
      </c>
      <c r="AC27" s="1">
        <f t="shared" si="23"/>
        <v>2</v>
      </c>
      <c r="AD27" s="1">
        <f t="shared" si="24"/>
        <v>4</v>
      </c>
      <c r="AE27" s="1">
        <f t="shared" si="2"/>
        <v>5</v>
      </c>
      <c r="AF27" s="1">
        <f t="shared" si="25"/>
        <v>10</v>
      </c>
      <c r="AG27" s="1">
        <f t="shared" si="3"/>
        <v>2</v>
      </c>
      <c r="AH27" s="1">
        <f t="shared" si="26"/>
        <v>4</v>
      </c>
      <c r="AI27" s="1">
        <f t="shared" si="27"/>
        <v>2</v>
      </c>
      <c r="AJ27" s="1">
        <f t="shared" si="28"/>
        <v>4</v>
      </c>
      <c r="AK27" s="1">
        <f t="shared" si="29"/>
        <v>1</v>
      </c>
      <c r="AL27" s="1">
        <f t="shared" si="30"/>
        <v>3</v>
      </c>
      <c r="AM27" s="1">
        <f t="shared" si="31"/>
        <v>3</v>
      </c>
      <c r="AN27" s="1">
        <f>IF(('[1]フォームの回答 1'!T27="ほとんどなかった"),1,(IF(('[1]フォームの回答 1'!T27="ときどきあった"),2,(IF(('[1]フォームの回答 1'!T27="しばしばあった"),3,(IF(('[1]フォームの回答 1'!T27="ほとんどいつもあった"),4,"")))))))</f>
        <v>2</v>
      </c>
      <c r="AO27" s="1">
        <f>IF(('[1]フォームの回答 1'!U27="ほとんどなかった"),1,(IF(('[1]フォームの回答 1'!U27="ときどきあった"),2,(IF(('[1]フォームの回答 1'!U27="しばしばあった"),3,(IF(('[1]フォームの回答 1'!U27="ほとんどいつもあった"),4,"")))))))</f>
        <v>2</v>
      </c>
      <c r="AP27" s="1">
        <f>IF(('[1]フォームの回答 1'!V27="ほとんどなかった"),1,(IF(('[1]フォームの回答 1'!V27="ときどきあった"),2,(IF(('[1]フォームの回答 1'!V27="しばしばあった"),3,(IF(('[1]フォームの回答 1'!V27="ほとんどいつもあった"),4,"")))))))</f>
        <v>2</v>
      </c>
      <c r="AQ27" s="1">
        <f>IF(('[1]フォームの回答 1'!W27="ほとんどなかった"),1,(IF(('[1]フォームの回答 1'!W27="ときどきあった"),2,(IF(('[1]フォームの回答 1'!W27="しばしばあった"),3,(IF(('[1]フォームの回答 1'!W27="ほとんどいつもあった"),4,"")))))))</f>
        <v>4</v>
      </c>
      <c r="AR27" s="1">
        <f>IF(('[1]フォームの回答 1'!X27="ほとんどなかった"),1,(IF(('[1]フォームの回答 1'!X27="ときどきあった"),2,(IF(('[1]フォームの回答 1'!X27="しばしばあった"),3,(IF(('[1]フォームの回答 1'!X27="ほとんどいつもあった"),4,"")))))))</f>
        <v>4</v>
      </c>
      <c r="AS27" s="1">
        <f>IF(('[1]フォームの回答 1'!Y27="ほとんどなかった"),1,(IF(('[1]フォームの回答 1'!Y27="ときどきあった"),2,(IF(('[1]フォームの回答 1'!Y27="しばしばあった"),3,(IF(('[1]フォームの回答 1'!Y27="ほとんどいつもあった"),4,"")))))))</f>
        <v>4</v>
      </c>
      <c r="AT27" s="1">
        <f>IF(('[1]フォームの回答 1'!Z27="ほとんどなかった"),1,(IF(('[1]フォームの回答 1'!Z27="ときどきあった"),2,(IF(('[1]フォームの回答 1'!Z27="しばしばあった"),3,(IF(('[1]フォームの回答 1'!Z27="ほとんどいつもあった"),4,"")))))))</f>
        <v>4</v>
      </c>
      <c r="AU27" s="1">
        <f>IF(('[1]フォームの回答 1'!AA27="ほとんどなかった"),1,(IF(('[1]フォームの回答 1'!AA27="ときどきあった"),2,(IF(('[1]フォームの回答 1'!AA27="しばしばあった"),3,(IF(('[1]フォームの回答 1'!AA27="ほとんどいつもあった"),4,"")))))))</f>
        <v>4</v>
      </c>
      <c r="AV27" s="1">
        <f>IF(('[1]フォームの回答 1'!AB27="ほとんどなかった"),1,(IF(('[1]フォームの回答 1'!AB27="ときどきばあった"),2,(IF(('[1]フォームの回答 1'!AB27="しばしばあった"),3,(IF(('[1]フォームの回答 1'!AB27="ほとんどいつもあった"),4,"")))))))</f>
        <v>3</v>
      </c>
      <c r="AW27" s="1">
        <f>IF(('[1]フォームの回答 1'!AC27="ほとんどなかった"),1,(IF(('[1]フォームの回答 1'!AC27="ときどきあった"),2,(IF(('[1]フォームの回答 1'!AC27="しばしばあった"),3,(IF(('[1]フォームの回答 1'!AC27="ほとんどいつもあった"),4,"")))))))</f>
        <v>3</v>
      </c>
      <c r="AX27" s="1">
        <f>IF(('[1]フォームの回答 1'!AD27="ほとんどなかった"),1,(IF(('[1]フォームの回答 1'!AD27="ときどきあった"),2,(IF(('[1]フォームの回答 1'!AD27="しばしばあった"),3,(IF(('[1]フォームの回答 1'!AD27="ほとんどいつもあった"),4,"")))))))</f>
        <v>4</v>
      </c>
      <c r="AY27" s="1">
        <f>IF(('[1]フォームの回答 1'!AE27="ほとんどなかった"),1,(IF(('[1]フォームの回答 1'!AE27="ときどきあった"),2,(IF(('[1]フォームの回答 1'!AE27="しばしばあった"),3,(IF(('[1]フォームの回答 1'!AE27="ほとんどいつもあった"),4,"")))))))</f>
        <v>3</v>
      </c>
      <c r="AZ27" s="1">
        <f>IF(('[1]フォームの回答 1'!AF27="ほとんどなかった"),1,(IF(('[1]フォームの回答 1'!AF27="ときどきあった"),2,(IF(('[1]フォームの回答 1'!AF27="しばしばあった"),3,(IF(('[1]フォームの回答 1'!AF27="ほとんどいつもあった"),4,"")))))))</f>
        <v>3</v>
      </c>
      <c r="BA27" s="1">
        <f>IF(('[1]フォームの回答 1'!AG27="ほとんどなかった"),1,(IF(('[1]フォームの回答 1'!AG27="ときどきあった"),2,(IF(('[1]フォームの回答 1'!AG27="しばしばあった"),3,(IF(('[1]フォームの回答 1'!AG27="ほとんどいつもあった"),4,"")))))))</f>
        <v>3</v>
      </c>
      <c r="BB27" s="1">
        <f>IF(('[1]フォームの回答 1'!AH27="ほとんどなかった"),1,(IF(('[1]フォームの回答 1'!AH27="ときどきあった"),2,(IF(('[1]フォームの回答 1'!AH27="しばしばあった"),3,(IF(('[1]フォームの回答 1'!AH27="ほとんどいつもあった"),4,"")))))))</f>
        <v>3</v>
      </c>
      <c r="BC27" s="1">
        <f>IF(('[1]フォームの回答 1'!AI27="ほとんどなかった"),1,(IF(('[1]フォームの回答 1'!AI27="ときどきあった"),2,(IF(('[1]フォームの回答 1'!AI27="しばしばあった"),3,(IF(('[1]フォームの回答 1'!AI27="ほとんどいつもあった"),4,"")))))))</f>
        <v>3</v>
      </c>
      <c r="BD27" s="1">
        <f>IF(('[1]フォームの回答 1'!AJ27="ほとんどなかった"),1,(IF(('[1]フォームの回答 1'!AJ27="ときどきあった"),2,(IF(('[1]フォームの回答 1'!AJ27="しばしばあった"),3,(IF(('[1]フォームの回答 1'!AJ27="ほとんどいつもあった"),4,"")))))))</f>
        <v>2</v>
      </c>
      <c r="BE27" s="1">
        <f>IF(('[1]フォームの回答 1'!AK27="ほとんどなかった"),1,(IF(('[1]フォームの回答 1'!AK27="ときどきあった"),2,(IF(('[1]フォームの回答 1'!AK27="しばしばあった"),3,(IF(('[1]フォームの回答 1'!AK27="ほとんどいつもあった"),4,"")))))))</f>
        <v>3</v>
      </c>
      <c r="BF27" s="1">
        <f>IF(('[1]フォームの回答 1'!AL27="ほとんどなかった"),1,(IF(('[1]フォームの回答 1'!AL27="ときどきあった"),2,(IF(('[1]フォームの回答 1'!AL27="しばしばあった"),3,(IF(('[1]フォームの回答 1'!AL27="ほとんどいつもあった"),4,"")))))))</f>
        <v>3</v>
      </c>
      <c r="BG27" s="1">
        <f>IF(('[1]フォームの回答 1'!AM27="ほとんどなかった"),1,(IF(('[1]フォームの回答 1'!AM27="ときどきあった"),2,(IF(('[1]フォームの回答 1'!AM27="しばしばあった"),3,(IF(('[1]フォームの回答 1'!AM27="ほとんどいつもあった"),4,"")))))))</f>
        <v>1</v>
      </c>
      <c r="BH27" s="1">
        <f>IF(('[1]フォームの回答 1'!AN27="ほとんどなかった"),1,(IF(('[1]フォームの回答 1'!AN27="ときどきあった"),2,(IF(('[1]フォームの回答 1'!AN27="しばしばあった"),3,(IF(('[1]フォームの回答 1'!AN27="ほとんどいつもあった"),4,"")))))))</f>
        <v>3</v>
      </c>
      <c r="BI27" s="1">
        <f>IF(('[1]フォームの回答 1'!AO27="ほとんどなかった"),1,(IF(('[1]フォームの回答 1'!AO27="ときどきあった"),2,(IF(('[1]フォームの回答 1'!AO27="しばしばあった"),3,(IF(('[1]フォームの回答 1'!AO27="ほとんどいつもあった"),4,"")))))))</f>
        <v>3</v>
      </c>
      <c r="BJ27" s="1">
        <f>IF(('[1]フォームの回答 1'!AP27="ほとんどなかった"),1,(IF(('[1]フォームの回答 1'!AP27="ときどきあった"),2,(IF(('[1]フォームの回答 1'!AP27="しばしばあった"),3,(IF(('[1]フォームの回答 1'!AP27="ほとんどいつもあった"),4,"")))))))</f>
        <v>1</v>
      </c>
      <c r="BK27" s="1">
        <f>IF(('[1]フォームの回答 1'!AQ27="ほとんどなかった"),1,(IF(('[1]フォームの回答 1'!AQ27="ときどきあった"),2,(IF(('[1]フォームの回答 1'!AQ27="しばしばあった"),3,(IF(('[1]フォームの回答 1'!AQ27="ほとんどいつもあった"),4,"")))))))</f>
        <v>4</v>
      </c>
      <c r="BL27" s="1">
        <f>IF(('[1]フォームの回答 1'!AR27="ほとんどなかった"),1,(IF(('[1]フォームの回答 1'!AR27="ときどきあった"),2,(IF(('[1]フォームの回答 1'!AR27="しばしばあった"),3,(IF(('[1]フォームの回答 1'!AR27="ほとんどいつもあった"),4,"")))))))</f>
        <v>1</v>
      </c>
      <c r="BM27" s="1">
        <f>IF(('[1]フォームの回答 1'!AS27="ほとんどなかった"),1,(IF(('[1]フォームの回答 1'!AS27="ときどきあった"),2,(IF(('[1]フォームの回答 1'!AS27="しばしばあった"),3,(IF(('[1]フォームの回答 1'!AS27="ほとんどいつもあった"),4,"")))))))</f>
        <v>3</v>
      </c>
      <c r="BN27" s="1">
        <f>IF(('[1]フォームの回答 1'!AT27="ほとんどなかった"),1,(IF(('[1]フォームの回答 1'!AT27="ときどきあった"),2,(IF(('[1]フォームの回答 1'!AT27="しばしばあった"),3,(IF(('[1]フォームの回答 1'!AT27="ほとんどいつもあった"),4,"")))))))</f>
        <v>1</v>
      </c>
      <c r="BO27" s="1">
        <f>IF(('[1]フォームの回答 1'!AU27="ほとんどなかった"),1,(IF(('[1]フォームの回答 1'!AU27="ときどきあった"),2,(IF(('[1]フォームの回答 1'!AU27="しばしばあった"),3,(IF(('[1]フォームの回答 1'!AU27="ほとんどいつもあった"),4,"")))))))</f>
        <v>4</v>
      </c>
      <c r="BP27" s="1">
        <f>IF(('[1]フォームの回答 1'!AV27="ほとんどなかった"),1,(IF(('[1]フォームの回答 1'!AV27="ときどきあった"),2,(IF(('[1]フォームの回答 1'!AV27="しばしばあった"),3,(IF(('[1]フォームの回答 1'!AV27="ほとんどいつもあった"),4,"")))))))</f>
        <v>3</v>
      </c>
      <c r="BQ27" s="1">
        <f t="shared" si="32"/>
        <v>6</v>
      </c>
      <c r="BR27" s="1">
        <f t="shared" si="33"/>
        <v>3</v>
      </c>
      <c r="BS27" s="1">
        <f t="shared" si="34"/>
        <v>12</v>
      </c>
      <c r="BT27" s="1">
        <f t="shared" si="4"/>
        <v>5</v>
      </c>
      <c r="BU27" s="1">
        <f t="shared" si="5"/>
        <v>11</v>
      </c>
      <c r="BV27" s="1">
        <f t="shared" si="6"/>
        <v>4</v>
      </c>
      <c r="BW27" s="1">
        <f t="shared" si="35"/>
        <v>10</v>
      </c>
      <c r="BX27" s="1">
        <f t="shared" si="7"/>
        <v>4</v>
      </c>
      <c r="BY27" s="1">
        <f t="shared" si="36"/>
        <v>17</v>
      </c>
      <c r="BZ27" s="1">
        <f t="shared" si="8"/>
        <v>4</v>
      </c>
      <c r="CA27" s="1">
        <f t="shared" si="37"/>
        <v>27</v>
      </c>
      <c r="CB27" s="1">
        <f t="shared" si="9"/>
        <v>4</v>
      </c>
      <c r="CC27" s="1">
        <f>IF(('[1]フォームの回答 1'!AW27="非常に"),1,(IF(('[1]フォームの回答 1'!AW27="かなり"),2,(IF(('[1]フォームの回答 1'!AW27="多少"),3,(IF(('[1]フォームの回答 1'!AW27="全くない"),4,"")))))))</f>
        <v>2</v>
      </c>
      <c r="CD27" s="1">
        <f>IF(('[1]フォームの回答 1'!AX27="非常に"),1,(IF(('[1]フォームの回答 1'!AX27="かなり"),2,(IF(('[1]フォームの回答 1'!AX27="多少"),3,(IF(('[1]フォームの回答 1'!AX27="全くない"),4,"")))))))</f>
        <v>1</v>
      </c>
      <c r="CE27" s="1">
        <f>IF(('[1]フォームの回答 1'!AY27="非常に"),1,(IF(('[1]フォームの回答 1'!AY27="かなり"),2,(IF(('[1]フォームの回答 1'!AY27="多少"),3,(IF(('[1]フォームの回答 1'!AY27="全くない"),4,"")))))))</f>
        <v>1</v>
      </c>
      <c r="CF27" s="1">
        <f>IF(('[1]フォームの回答 1'!AZ27="非常に"),1,(IF(('[1]フォームの回答 1'!AZ27="かなり"),2,(IF(('[1]フォームの回答 1'!AZ27="多少"),3,(IF(('[1]フォームの回答 1'!AZ27="全くない"),4,"")))))))</f>
        <v>3</v>
      </c>
      <c r="CG27" s="1">
        <f>IF(('[1]フォームの回答 1'!BA27="非常に"),1,(IF(('[1]フォームの回答 1'!BA27="かなり"),2,(IF(('[1]フォームの回答 1'!BA27="多少"),3,(IF(('[1]フォームの回答 1'!BA27="全くない"),4,"")))))))</f>
        <v>3</v>
      </c>
      <c r="CH27" s="1">
        <f>IF(('[1]フォームの回答 1'!BB27="非常に"),1,(IF(('[1]フォームの回答 1'!BB27="かなり"),2,(IF(('[1]フォームの回答 1'!BB27="多少"),3,(IF(('[1]フォームの回答 1'!BB27="全くない"),4,"")))))))</f>
        <v>2</v>
      </c>
      <c r="CI27" s="1">
        <f>IF(('[1]フォームの回答 1'!BC27="非常に"),1,(IF(('[1]フォームの回答 1'!BC27="かなり"),2,(IF(('[1]フォームの回答 1'!BC27="多少"),3,(IF(('[1]フォームの回答 1'!BC27="全くない"),4,"")))))))</f>
        <v>2</v>
      </c>
      <c r="CJ27" s="1">
        <f>IF(('[1]フォームの回答 1'!BD27="非常に"),1,(IF(('[1]フォームの回答 1'!BD27="かなり"),2,(IF(('[1]フォームの回答 1'!BD27="多少"),3,(IF(('[1]フォームの回答 1'!BD27="全くない"),4,"")))))))</f>
        <v>1</v>
      </c>
      <c r="CK27" s="1">
        <f>IF(('[1]フォームの回答 1'!BE27="非常に"),1,(IF(('[1]フォームの回答 1'!BE27="かなり"),2,(IF(('[1]フォームの回答 1'!BE27="多少"),3,(IF(('[1]フォームの回答 1'!BE27="全くない"),4,"")))))))</f>
        <v>1</v>
      </c>
      <c r="CL27" s="1">
        <f>IF(('[1]フォームの回答 1'!BF27="満足"),1,(IF(('[1]フォームの回答 1'!BF27="まぁ満足"),2,(IF(('[1]フォームの回答 1'!BF27="やや満足"),3,(IF(('[1]フォームの回答 1'!BF27="不満足"),4,"")))))))</f>
        <v>2</v>
      </c>
      <c r="CM27" s="1">
        <f>IF(('[1]フォームの回答 1'!BG27="満足"),1,(IF(('[1]フォームの回答 1'!BG27="まぁ満足"),2,(IF(('[1]フォームの回答 1'!BG27="やや満足"),3,(IF(('[1]フォームの回答 1'!BG27="不満足"),4,"")))))))</f>
        <v>4</v>
      </c>
      <c r="CN27" s="1">
        <f t="shared" si="38"/>
        <v>8</v>
      </c>
      <c r="CO27" s="1">
        <f t="shared" si="10"/>
        <v>2</v>
      </c>
      <c r="CP27" s="1">
        <f t="shared" si="39"/>
        <v>10</v>
      </c>
      <c r="CQ27" s="1">
        <f t="shared" si="11"/>
        <v>2</v>
      </c>
      <c r="CR27" s="1">
        <f t="shared" si="40"/>
        <v>11</v>
      </c>
      <c r="CS27" s="1">
        <f t="shared" si="41"/>
        <v>2</v>
      </c>
      <c r="CT27" s="1">
        <f t="shared" si="42"/>
        <v>4</v>
      </c>
      <c r="CU27" s="1">
        <f t="shared" si="12"/>
        <v>4</v>
      </c>
      <c r="CV27" s="1">
        <f t="shared" si="13"/>
        <v>24</v>
      </c>
      <c r="CW27" s="1">
        <f t="shared" si="14"/>
        <v>21</v>
      </c>
      <c r="CX27" s="1">
        <f t="shared" si="15"/>
        <v>6</v>
      </c>
      <c r="CY27" s="29" t="str">
        <f t="shared" si="43"/>
        <v>高</v>
      </c>
      <c r="CZ27" s="1">
        <v>0.6</v>
      </c>
      <c r="DA27" s="2">
        <f t="shared" si="16"/>
        <v>0.4</v>
      </c>
      <c r="DB27" s="1">
        <f>IF(('[1]フォームの回答 1'!BI27="いつもより寝つきは良い"),0,(IF(('[1]フォームの回答 1'!BI27="いつもより少し時間がかかった"),1,(IF(('[1]フォームの回答 1'!BI27="いつもよりかなり時間がかかった"),2,(IF(('[1]フォームの回答 1'!BI27="いつもより非常に時間がかかった、あるいは全く眠れなかった"),3,"")))))))</f>
        <v>1</v>
      </c>
      <c r="DC27" s="1">
        <f>IF(('[1]フォームの回答 1'!BJ27="問題になるほどのことはなかった"),0,(IF(('[1]フォームの回答 1'!BJ27="少し困ることがある"),1,(IF(('[1]フォームの回答 1'!BJ27="かなり困っている"),2,(IF(('[1]フォームの回答 1'!BJ27="深刻な状態、あるいは全く眠れなかった"),3,"")))))))</f>
        <v>1</v>
      </c>
      <c r="DD27" s="1">
        <f>IF(('[1]フォームの回答 1'!BK27="そのようなことはなかった"),0,(IF(('[1]フォームの回答 1'!BK27="少し早かった"),1,(IF(('[1]フォームの回答 1'!BK27="かなり早かった"),2,(IF(('[1]フォームの回答 1'!BK27="非常に早かった、あるいは全く眠れなかった"),3,"")))))))</f>
        <v>0</v>
      </c>
      <c r="DE27" s="1">
        <f>IF(('[1]フォームの回答 1'!BL27="十分である"),0,(IF(('[1]フォームの回答 1'!BL27="少し足りない"),1,(IF(('[1]フォームの回答 1'!BL27="かなり足りない"),2,(IF(('[1]フォームの回答 1'!BL27="全く足りない、あるいは全く眠れなかった"),3,"")))))))</f>
        <v>2</v>
      </c>
      <c r="DF27" s="1">
        <f>IF(('[1]フォームの回答 1'!BM27="満足している"),0,(IF(('[1]フォームの回答 1'!BM27="少し不満である"),1,(IF(('[1]フォームの回答 1'!BM27="かなり不満である"),2,(IF(('[1]フォームの回答 1'!BM27="非常に不満である、あるいは全く眠れなかった"),3,"")))))))</f>
        <v>2</v>
      </c>
      <c r="DG27" s="1">
        <f>IF(('[1]フォームの回答 1'!BN27="いつもどおり"),0,(IF(('[1]フォームの回答 1'!BN27="少し滅入った"),1,(IF(('[1]フォームの回答 1'!BN27="かなり滅入った"),2,(IF(('[1]フォームの回答 1'!BN27="非常に滅入った"),3,"")))))))</f>
        <v>1</v>
      </c>
      <c r="DH27" s="1">
        <f>IF(('[1]フォームの回答 1'!BO27="いつもどおり"),0,(IF(('[1]フォームの回答 1'!BO27="少し低下した"),1,(IF(('[1]フォームの回答 1'!BO27="かなり低下した"),2,(IF(('[1]フォームの回答 1'!BO27="非常に低下した"),3,"")))))))</f>
        <v>1</v>
      </c>
      <c r="DI27" s="1">
        <f>IF(('[1]フォームの回答 1'!BP27="全くなかった"),0,(IF(('[1]フォームの回答 1'!BP27="少しあった"),1,(IF(('[1]フォームの回答 1'!BP27="かなりあった"),2,(IF(('[1]フォームの回答 1'!BP27="激しかった"),3,"")))))))</f>
        <v>2</v>
      </c>
      <c r="DJ27">
        <f t="shared" si="44"/>
        <v>10</v>
      </c>
      <c r="DK27" s="4" t="str">
        <f t="shared" si="45"/>
        <v>高</v>
      </c>
      <c r="DL27" s="5">
        <v>13.1</v>
      </c>
      <c r="DM27" s="5">
        <v>9.6</v>
      </c>
      <c r="DN27" s="5">
        <v>11.5</v>
      </c>
      <c r="DO27" s="5">
        <v>34.200000000000003</v>
      </c>
      <c r="DP27" s="5" t="s">
        <v>200</v>
      </c>
      <c r="DQ27" s="5"/>
      <c r="DR27" s="43">
        <v>0.29199999999999998</v>
      </c>
      <c r="DS27" s="43">
        <v>32.44</v>
      </c>
      <c r="DT27" s="5">
        <v>0.9</v>
      </c>
      <c r="DU27" s="5">
        <v>10</v>
      </c>
      <c r="DV27" s="5" t="s">
        <v>115</v>
      </c>
    </row>
    <row r="28" spans="1:126" ht="14">
      <c r="A28" s="1">
        <v>318</v>
      </c>
      <c r="B28" s="24" t="s">
        <v>139</v>
      </c>
      <c r="C28" s="24">
        <v>36597</v>
      </c>
      <c r="D28" s="38">
        <f t="shared" si="17"/>
        <v>24</v>
      </c>
      <c r="E28" s="1">
        <f>IF(('[1]フォームの回答 1'!C28="そうだ"),1,(IF(('[1]フォームの回答 1'!C28="まぁそうだ"),2,(IF(('[1]フォームの回答 1'!C28="ややちがう"),3,(IF(('[1]フォームの回答 1'!C28="ちがう"),4,"")))))))</f>
        <v>3</v>
      </c>
      <c r="F28" s="1">
        <f>IF(('[1]フォームの回答 1'!D28="そうだ"),1,(IF(('[1]フォームの回答 1'!D28="まぁそうだ"),2,(IF(('[1]フォームの回答 1'!D28="ややちがう"),3,(IF(('[1]フォームの回答 1'!D28="ちがう"),4,"")))))))</f>
        <v>2</v>
      </c>
      <c r="G28" s="1">
        <f>IF(('[1]フォームの回答 1'!E28="そうだ"),1,(IF(('[1]フォームの回答 1'!E28="まぁそうだ"),2,(IF(('[1]フォームの回答 1'!E28="ややちがう"),3,(IF(('[1]フォームの回答 1'!E28="ちがう"),4,"")))))))</f>
        <v>2</v>
      </c>
      <c r="H28" s="1">
        <f>IF(('[1]フォームの回答 1'!F28="そうだ"),1,(IF(('[1]フォームの回答 1'!F28="まぁそうだ"),2,(IF(('[1]フォームの回答 1'!F28="ややちがう"),3,(IF(('[1]フォームの回答 1'!F28="ちがう"),4,"")))))))</f>
        <v>2</v>
      </c>
      <c r="I28" s="1">
        <f>IF(('[1]フォームの回答 1'!G28="そうだ"),1,(IF(('[1]フォームの回答 1'!G28="まぁそうだ"),2,(IF(('[1]フォームの回答 1'!G28="ややちがう"),3,(IF(('[1]フォームの回答 1'!G28="ちがう"),4,"")))))))</f>
        <v>2</v>
      </c>
      <c r="J28" s="1">
        <f>IF(('[1]フォームの回答 1'!H28="そうだ"),1,(IF(('[1]フォームの回答 1'!H28="まぁそうだ"),2,(IF(('[1]フォームの回答 1'!H28="ややちがう"),3,(IF(('[1]フォームの回答 1'!H28="ちがう"),4,"")))))))</f>
        <v>2</v>
      </c>
      <c r="K28" s="1">
        <f>IF(('[1]フォームの回答 1'!I28="そうだ"),1,(IF(('[1]フォームの回答 1'!I28="まぁそうだ"),2,(IF(('[1]フォームの回答 1'!I28="ややちがう"),3,(IF(('[1]フォームの回答 1'!I28="ちがう"),4,"")))))))</f>
        <v>3</v>
      </c>
      <c r="L28" s="1">
        <f>IF(('[1]フォームの回答 1'!J28="そうだ"),1,(IF(('[1]フォームの回答 1'!J28="まぁそうだ"),2,(IF(('[1]フォームの回答 1'!J28="ややちがう"),3,(IF(('[1]フォームの回答 1'!J28="ちがう"),4,"")))))))</f>
        <v>2</v>
      </c>
      <c r="M28" s="1">
        <f>IF(('[1]フォームの回答 1'!K28="そうだ"),1,(IF(('[1]フォームの回答 1'!K28="まぁそうだ"),2,(IF(('[1]フォームの回答 1'!K28="ややちがう"),3,(IF(('[1]フォームの回答 1'!K28="ちがう"),4,"")))))))</f>
        <v>2</v>
      </c>
      <c r="N28" s="1">
        <f>IF(('[1]フォームの回答 1'!L28="そうだ"),1,(IF(('[1]フォームの回答 1'!L28="まぁそうだ"),2,(IF(('[1]フォームの回答 1'!L28="ややちがう"),3,(IF(('[1]フォームの回答 1'!L28="ちがう"),4,"")))))))</f>
        <v>3</v>
      </c>
      <c r="O28" s="1">
        <f>IF(('[1]フォームの回答 1'!M28="そうだ"),1,(IF(('[1]フォームの回答 1'!M28="まぁそうだ"),2,(IF(('[1]フォームの回答 1'!M28="ややちがう"),3,(IF(('[1]フォームの回答 1'!M28="ちがう"),4,"")))))))</f>
        <v>4</v>
      </c>
      <c r="P28" s="1">
        <f>IF(('[1]フォームの回答 1'!N28="そうだ"),1,(IF(('[1]フォームの回答 1'!N28="まぁそうだ"),2,(IF(('[1]フォームの回答 1'!N28="ややちがう"),3,(IF(('[1]フォームの回答 1'!N28="ちがう"),4,"")))))))</f>
        <v>4</v>
      </c>
      <c r="Q28" s="1">
        <f>IF(('[1]フォームの回答 1'!O28="そうだ"),1,(IF(('[1]フォームの回答 1'!O28="まぁそうだ"),2,(IF(('[1]フォームの回答 1'!O28="ややちがう"),3,(IF(('[1]フォームの回答 1'!O28="ちがう"),4,"")))))))</f>
        <v>4</v>
      </c>
      <c r="R28" s="1">
        <f>IF(('[1]フォームの回答 1'!P28="そうだ"),1,(IF(('[1]フォームの回答 1'!P28="まぁそうだ"),2,(IF(('[1]フォームの回答 1'!P28="ややちがう"),3,(IF(('[1]フォームの回答 1'!P28="ちがう"),4,"")))))))</f>
        <v>1</v>
      </c>
      <c r="S28" s="1">
        <f>IF(('[1]フォームの回答 1'!Q28="そうだ"),1,(IF(('[1]フォームの回答 1'!Q28="まぁそうだ"),2,(IF(('[1]フォームの回答 1'!Q28="ややちがう"),3,(IF(('[1]フォームの回答 1'!Q28="ちがう"),4,"")))))))</f>
        <v>4</v>
      </c>
      <c r="T28" s="1">
        <f>IF(('[1]フォームの回答 1'!R28="そうだ"),1,(IF(('[1]フォームの回答 1'!R28="まぁそうだ"),2,(IF(('[1]フォームの回答 1'!R28="ややちがう"),3,(IF(('[1]フォームの回答 1'!R28="ちがう"),4,"")))))))</f>
        <v>2</v>
      </c>
      <c r="U28" s="1">
        <f>IF(('[1]フォームの回答 1'!S28="そうだ"),1,(IF(('[1]フォームの回答 1'!S28="まぁそうだ"),2,(IF(('[1]フォームの回答 1'!S28="ややちがう"),3,(IF(('[1]フォームの回答 1'!S28="ちがう"),4,"")))))))</f>
        <v>3</v>
      </c>
      <c r="V28" s="1">
        <f t="shared" si="18"/>
        <v>8</v>
      </c>
      <c r="W28" s="1">
        <f t="shared" si="0"/>
        <v>3</v>
      </c>
      <c r="X28" s="1">
        <f t="shared" si="19"/>
        <v>9</v>
      </c>
      <c r="Y28" s="1">
        <f t="shared" si="1"/>
        <v>3</v>
      </c>
      <c r="Z28" s="1">
        <f t="shared" si="20"/>
        <v>2</v>
      </c>
      <c r="AA28" s="1">
        <f t="shared" si="21"/>
        <v>3</v>
      </c>
      <c r="AB28" s="1">
        <f t="shared" si="22"/>
        <v>3</v>
      </c>
      <c r="AC28" s="1">
        <f t="shared" si="23"/>
        <v>1</v>
      </c>
      <c r="AD28" s="1">
        <f t="shared" si="24"/>
        <v>1</v>
      </c>
      <c r="AE28" s="1">
        <f t="shared" si="2"/>
        <v>2</v>
      </c>
      <c r="AF28" s="1">
        <f t="shared" si="25"/>
        <v>8</v>
      </c>
      <c r="AG28" s="1">
        <f t="shared" si="3"/>
        <v>3</v>
      </c>
      <c r="AH28" s="1">
        <f t="shared" si="26"/>
        <v>4</v>
      </c>
      <c r="AI28" s="1">
        <f t="shared" si="27"/>
        <v>2</v>
      </c>
      <c r="AJ28" s="1">
        <f t="shared" si="28"/>
        <v>3</v>
      </c>
      <c r="AK28" s="1">
        <f t="shared" si="29"/>
        <v>3</v>
      </c>
      <c r="AL28" s="1">
        <f t="shared" si="30"/>
        <v>2</v>
      </c>
      <c r="AM28" s="1">
        <f t="shared" si="31"/>
        <v>4</v>
      </c>
      <c r="AN28" s="1">
        <f>IF(('[1]フォームの回答 1'!T28="ほとんどなかった"),1,(IF(('[1]フォームの回答 1'!T28="ときどきあった"),2,(IF(('[1]フォームの回答 1'!T28="しばしばあった"),3,(IF(('[1]フォームの回答 1'!T28="ほとんどいつもあった"),4,"")))))))</f>
        <v>2</v>
      </c>
      <c r="AO28" s="1">
        <f>IF(('[1]フォームの回答 1'!U28="ほとんどなかった"),1,(IF(('[1]フォームの回答 1'!U28="ときどきあった"),2,(IF(('[1]フォームの回答 1'!U28="しばしばあった"),3,(IF(('[1]フォームの回答 1'!U28="ほとんどいつもあった"),4,"")))))))</f>
        <v>2</v>
      </c>
      <c r="AP28" s="1">
        <f>IF(('[1]フォームの回答 1'!V28="ほとんどなかった"),1,(IF(('[1]フォームの回答 1'!V28="ときどきあった"),2,(IF(('[1]フォームの回答 1'!V28="しばしばあった"),3,(IF(('[1]フォームの回答 1'!V28="ほとんどいつもあった"),4,"")))))))</f>
        <v>2</v>
      </c>
      <c r="AQ28" s="1">
        <f>IF(('[1]フォームの回答 1'!W28="ほとんどなかった"),1,(IF(('[1]フォームの回答 1'!W28="ときどきあった"),2,(IF(('[1]フォームの回答 1'!W28="しばしばあった"),3,(IF(('[1]フォームの回答 1'!W28="ほとんどいつもあった"),4,"")))))))</f>
        <v>1</v>
      </c>
      <c r="AR28" s="1">
        <f>IF(('[1]フォームの回答 1'!X28="ほとんどなかった"),1,(IF(('[1]フォームの回答 1'!X28="ときどきあった"),2,(IF(('[1]フォームの回答 1'!X28="しばしばあった"),3,(IF(('[1]フォームの回答 1'!X28="ほとんどいつもあった"),4,"")))))))</f>
        <v>1</v>
      </c>
      <c r="AS28" s="1">
        <f>IF(('[1]フォームの回答 1'!Y28="ほとんどなかった"),1,(IF(('[1]フォームの回答 1'!Y28="ときどきあった"),2,(IF(('[1]フォームの回答 1'!Y28="しばしばあった"),3,(IF(('[1]フォームの回答 1'!Y28="ほとんどいつもあった"),4,"")))))))</f>
        <v>1</v>
      </c>
      <c r="AT28" s="1">
        <f>IF(('[1]フォームの回答 1'!Z28="ほとんどなかった"),1,(IF(('[1]フォームの回答 1'!Z28="ときどきあった"),2,(IF(('[1]フォームの回答 1'!Z28="しばしばあった"),3,(IF(('[1]フォームの回答 1'!Z28="ほとんどいつもあった"),4,"")))))))</f>
        <v>1</v>
      </c>
      <c r="AU28" s="1">
        <f>IF(('[1]フォームの回答 1'!AA28="ほとんどなかった"),1,(IF(('[1]フォームの回答 1'!AA28="ときどきあった"),2,(IF(('[1]フォームの回答 1'!AA28="しばしばあった"),3,(IF(('[1]フォームの回答 1'!AA28="ほとんどいつもあった"),4,"")))))))</f>
        <v>1</v>
      </c>
      <c r="AV28" s="1">
        <f>IF(('[1]フォームの回答 1'!AB28="ほとんどなかった"),1,(IF(('[1]フォームの回答 1'!AB28="ときどきばあった"),2,(IF(('[1]フォームの回答 1'!AB28="しばしばあった"),3,(IF(('[1]フォームの回答 1'!AB28="ほとんどいつもあった"),4,"")))))))</f>
        <v>3</v>
      </c>
      <c r="AW28" s="1">
        <f>IF(('[1]フォームの回答 1'!AC28="ほとんどなかった"),1,(IF(('[1]フォームの回答 1'!AC28="ときどきあった"),2,(IF(('[1]フォームの回答 1'!AC28="しばしばあった"),3,(IF(('[1]フォームの回答 1'!AC28="ほとんどいつもあった"),4,"")))))))</f>
        <v>3</v>
      </c>
      <c r="AX28" s="1">
        <f>IF(('[1]フォームの回答 1'!AD28="ほとんどなかった"),1,(IF(('[1]フォームの回答 1'!AD28="ときどきあった"),2,(IF(('[1]フォームの回答 1'!AD28="しばしばあった"),3,(IF(('[1]フォームの回答 1'!AD28="ほとんどいつもあった"),4,"")))))))</f>
        <v>3</v>
      </c>
      <c r="AY28" s="1">
        <f>IF(('[1]フォームの回答 1'!AE28="ほとんどなかった"),1,(IF(('[1]フォームの回答 1'!AE28="ときどきあった"),2,(IF(('[1]フォームの回答 1'!AE28="しばしばあった"),3,(IF(('[1]フォームの回答 1'!AE28="ほとんどいつもあった"),4,"")))))))</f>
        <v>3</v>
      </c>
      <c r="AZ28" s="1">
        <f>IF(('[1]フォームの回答 1'!AF28="ほとんどなかった"),1,(IF(('[1]フォームの回答 1'!AF28="ときどきあった"),2,(IF(('[1]フォームの回答 1'!AF28="しばしばあった"),3,(IF(('[1]フォームの回答 1'!AF28="ほとんどいつもあった"),4,"")))))))</f>
        <v>2</v>
      </c>
      <c r="BA28" s="1">
        <f>IF(('[1]フォームの回答 1'!AG28="ほとんどなかった"),1,(IF(('[1]フォームの回答 1'!AG28="ときどきあった"),2,(IF(('[1]フォームの回答 1'!AG28="しばしばあった"),3,(IF(('[1]フォームの回答 1'!AG28="ほとんどいつもあった"),4,"")))))))</f>
        <v>3</v>
      </c>
      <c r="BB28" s="1">
        <f>IF(('[1]フォームの回答 1'!AH28="ほとんどなかった"),1,(IF(('[1]フォームの回答 1'!AH28="ときどきあった"),2,(IF(('[1]フォームの回答 1'!AH28="しばしばあった"),3,(IF(('[1]フォームの回答 1'!AH28="ほとんどいつもあった"),4,"")))))))</f>
        <v>3</v>
      </c>
      <c r="BC28" s="1">
        <f>IF(('[1]フォームの回答 1'!AI28="ほとんどなかった"),1,(IF(('[1]フォームの回答 1'!AI28="ときどきあった"),2,(IF(('[1]フォームの回答 1'!AI28="しばしばあった"),3,(IF(('[1]フォームの回答 1'!AI28="ほとんどいつもあった"),4,"")))))))</f>
        <v>3</v>
      </c>
      <c r="BD28" s="1">
        <f>IF(('[1]フォームの回答 1'!AJ28="ほとんどなかった"),1,(IF(('[1]フォームの回答 1'!AJ28="ときどきあった"),2,(IF(('[1]フォームの回答 1'!AJ28="しばしばあった"),3,(IF(('[1]フォームの回答 1'!AJ28="ほとんどいつもあった"),4,"")))))))</f>
        <v>2</v>
      </c>
      <c r="BE28" s="1">
        <f>IF(('[1]フォームの回答 1'!AK28="ほとんどなかった"),1,(IF(('[1]フォームの回答 1'!AK28="ときどきあった"),2,(IF(('[1]フォームの回答 1'!AK28="しばしばあった"),3,(IF(('[1]フォームの回答 1'!AK28="ほとんどいつもあった"),4,"")))))))</f>
        <v>3</v>
      </c>
      <c r="BF28" s="1">
        <f>IF(('[1]フォームの回答 1'!AL28="ほとんどなかった"),1,(IF(('[1]フォームの回答 1'!AL28="ときどきあった"),2,(IF(('[1]フォームの回答 1'!AL28="しばしばあった"),3,(IF(('[1]フォームの回答 1'!AL28="ほとんどいつもあった"),4,"")))))))</f>
        <v>1</v>
      </c>
      <c r="BG28" s="1">
        <f>IF(('[1]フォームの回答 1'!AM28="ほとんどなかった"),1,(IF(('[1]フォームの回答 1'!AM28="ときどきあった"),2,(IF(('[1]フォームの回答 1'!AM28="しばしばあった"),3,(IF(('[1]フォームの回答 1'!AM28="ほとんどいつもあった"),4,"")))))))</f>
        <v>1</v>
      </c>
      <c r="BH28" s="1">
        <f>IF(('[1]フォームの回答 1'!AN28="ほとんどなかった"),1,(IF(('[1]フォームの回答 1'!AN28="ときどきあった"),2,(IF(('[1]フォームの回答 1'!AN28="しばしばあった"),3,(IF(('[1]フォームの回答 1'!AN28="ほとんどいつもあった"),4,"")))))))</f>
        <v>1</v>
      </c>
      <c r="BI28" s="1">
        <f>IF(('[1]フォームの回答 1'!AO28="ほとんどなかった"),1,(IF(('[1]フォームの回答 1'!AO28="ときどきあった"),2,(IF(('[1]フォームの回答 1'!AO28="しばしばあった"),3,(IF(('[1]フォームの回答 1'!AO28="ほとんどいつもあった"),4,"")))))))</f>
        <v>2</v>
      </c>
      <c r="BJ28" s="1">
        <f>IF(('[1]フォームの回答 1'!AP28="ほとんどなかった"),1,(IF(('[1]フォームの回答 1'!AP28="ときどきあった"),2,(IF(('[1]フォームの回答 1'!AP28="しばしばあった"),3,(IF(('[1]フォームの回答 1'!AP28="ほとんどいつもあった"),4,"")))))))</f>
        <v>1</v>
      </c>
      <c r="BK28" s="1">
        <f>IF(('[1]フォームの回答 1'!AQ28="ほとんどなかった"),1,(IF(('[1]フォームの回答 1'!AQ28="ときどきあった"),2,(IF(('[1]フォームの回答 1'!AQ28="しばしばあった"),3,(IF(('[1]フォームの回答 1'!AQ28="ほとんどいつもあった"),4,"")))))))</f>
        <v>1</v>
      </c>
      <c r="BL28" s="1">
        <f>IF(('[1]フォームの回答 1'!AR28="ほとんどなかった"),1,(IF(('[1]フォームの回答 1'!AR28="ときどきあった"),2,(IF(('[1]フォームの回答 1'!AR28="しばしばあった"),3,(IF(('[1]フォームの回答 1'!AR28="ほとんどいつもあった"),4,"")))))))</f>
        <v>1</v>
      </c>
      <c r="BM28" s="1">
        <f>IF(('[1]フォームの回答 1'!AS28="ほとんどなかった"),1,(IF(('[1]フォームの回答 1'!AS28="ときどきあった"),2,(IF(('[1]フォームの回答 1'!AS28="しばしばあった"),3,(IF(('[1]フォームの回答 1'!AS28="ほとんどいつもあった"),4,"")))))))</f>
        <v>3</v>
      </c>
      <c r="BN28" s="1">
        <f>IF(('[1]フォームの回答 1'!AT28="ほとんどなかった"),1,(IF(('[1]フォームの回答 1'!AT28="ときどきあった"),2,(IF(('[1]フォームの回答 1'!AT28="しばしばあった"),3,(IF(('[1]フォームの回答 1'!AT28="ほとんどいつもあった"),4,"")))))))</f>
        <v>2</v>
      </c>
      <c r="BO28" s="1">
        <f>IF(('[1]フォームの回答 1'!AU28="ほとんどなかった"),1,(IF(('[1]フォームの回答 1'!AU28="ときどきあった"),2,(IF(('[1]フォームの回答 1'!AU28="しばしばあった"),3,(IF(('[1]フォームの回答 1'!AU28="ほとんどいつもあった"),4,"")))))))</f>
        <v>2</v>
      </c>
      <c r="BP28" s="1">
        <f>IF(('[1]フォームの回答 1'!AV28="ほとんどなかった"),1,(IF(('[1]フォームの回答 1'!AV28="ときどきあった"),2,(IF(('[1]フォームの回答 1'!AV28="しばしばあった"),3,(IF(('[1]フォームの回答 1'!AV28="ほとんどいつもあった"),4,"")))))))</f>
        <v>2</v>
      </c>
      <c r="BQ28" s="1">
        <f t="shared" si="32"/>
        <v>6</v>
      </c>
      <c r="BR28" s="1">
        <f t="shared" si="33"/>
        <v>3</v>
      </c>
      <c r="BS28" s="1">
        <f t="shared" si="34"/>
        <v>3</v>
      </c>
      <c r="BT28" s="1">
        <f t="shared" si="4"/>
        <v>1</v>
      </c>
      <c r="BU28" s="1">
        <f t="shared" si="5"/>
        <v>5</v>
      </c>
      <c r="BV28" s="1">
        <f t="shared" si="6"/>
        <v>3</v>
      </c>
      <c r="BW28" s="1">
        <f t="shared" si="35"/>
        <v>9</v>
      </c>
      <c r="BX28" s="1">
        <f t="shared" si="7"/>
        <v>4</v>
      </c>
      <c r="BY28" s="1">
        <f t="shared" si="36"/>
        <v>16</v>
      </c>
      <c r="BZ28" s="1">
        <f t="shared" si="8"/>
        <v>4</v>
      </c>
      <c r="CA28" s="1">
        <f t="shared" si="37"/>
        <v>17</v>
      </c>
      <c r="CB28" s="1">
        <f t="shared" si="9"/>
        <v>3</v>
      </c>
      <c r="CC28" s="1">
        <f>IF(('[1]フォームの回答 1'!AW28="非常に"),1,(IF(('[1]フォームの回答 1'!AW28="かなり"),2,(IF(('[1]フォームの回答 1'!AW28="多少"),3,(IF(('[1]フォームの回答 1'!AW28="全くない"),4,"")))))))</f>
        <v>3</v>
      </c>
      <c r="CD28" s="1">
        <f>IF(('[1]フォームの回答 1'!AX28="非常に"),1,(IF(('[1]フォームの回答 1'!AX28="かなり"),2,(IF(('[1]フォームの回答 1'!AX28="多少"),3,(IF(('[1]フォームの回答 1'!AX28="全くない"),4,"")))))))</f>
        <v>1</v>
      </c>
      <c r="CE28" s="1">
        <f>IF(('[1]フォームの回答 1'!AY28="非常に"),1,(IF(('[1]フォームの回答 1'!AY28="かなり"),2,(IF(('[1]フォームの回答 1'!AY28="多少"),3,(IF(('[1]フォームの回答 1'!AY28="全くない"),4,"")))))))</f>
        <v>1</v>
      </c>
      <c r="CF28" s="1">
        <f>IF(('[1]フォームの回答 1'!AZ28="非常に"),1,(IF(('[1]フォームの回答 1'!AZ28="かなり"),2,(IF(('[1]フォームの回答 1'!AZ28="多少"),3,(IF(('[1]フォームの回答 1'!AZ28="全くない"),4,"")))))))</f>
        <v>1</v>
      </c>
      <c r="CG28" s="1">
        <f>IF(('[1]フォームの回答 1'!BA28="非常に"),1,(IF(('[1]フォームの回答 1'!BA28="かなり"),2,(IF(('[1]フォームの回答 1'!BA28="多少"),3,(IF(('[1]フォームの回答 1'!BA28="全くない"),4,"")))))))</f>
        <v>2</v>
      </c>
      <c r="CH28" s="1">
        <f>IF(('[1]フォームの回答 1'!BB28="非常に"),1,(IF(('[1]フォームの回答 1'!BB28="かなり"),2,(IF(('[1]フォームの回答 1'!BB28="多少"),3,(IF(('[1]フォームの回答 1'!BB28="全くない"),4,"")))))))</f>
        <v>2</v>
      </c>
      <c r="CI28" s="1">
        <f>IF(('[1]フォームの回答 1'!BC28="非常に"),1,(IF(('[1]フォームの回答 1'!BC28="かなり"),2,(IF(('[1]フォームの回答 1'!BC28="多少"),3,(IF(('[1]フォームの回答 1'!BC28="全くない"),4,"")))))))</f>
        <v>3</v>
      </c>
      <c r="CJ28" s="1">
        <f>IF(('[1]フォームの回答 1'!BD28="非常に"),1,(IF(('[1]フォームの回答 1'!BD28="かなり"),2,(IF(('[1]フォームの回答 1'!BD28="多少"),3,(IF(('[1]フォームの回答 1'!BD28="全くない"),4,"")))))))</f>
        <v>2</v>
      </c>
      <c r="CK28" s="1">
        <f>IF(('[1]フォームの回答 1'!BE28="非常に"),1,(IF(('[1]フォームの回答 1'!BE28="かなり"),2,(IF(('[1]フォームの回答 1'!BE28="多少"),3,(IF(('[1]フォームの回答 1'!BE28="全くない"),4,"")))))))</f>
        <v>2</v>
      </c>
      <c r="CL28" s="1">
        <f>IF(('[1]フォームの回答 1'!BF28="満足"),1,(IF(('[1]フォームの回答 1'!BF28="まぁ満足"),2,(IF(('[1]フォームの回答 1'!BF28="やや満足"),3,(IF(('[1]フォームの回答 1'!BF28="不満足"),4,"")))))))</f>
        <v>2</v>
      </c>
      <c r="CM28" s="1">
        <f>IF(('[1]フォームの回答 1'!BG28="満足"),1,(IF(('[1]フォームの回答 1'!BG28="まぁ満足"),2,(IF(('[1]フォームの回答 1'!BG28="やや満足"),3,(IF(('[1]フォームの回答 1'!BG28="不満足"),4,"")))))))</f>
        <v>4</v>
      </c>
      <c r="CN28" s="1">
        <f t="shared" si="38"/>
        <v>8</v>
      </c>
      <c r="CO28" s="1">
        <f t="shared" si="10"/>
        <v>3</v>
      </c>
      <c r="CP28" s="1">
        <f t="shared" si="39"/>
        <v>10</v>
      </c>
      <c r="CQ28" s="1">
        <f t="shared" si="11"/>
        <v>2</v>
      </c>
      <c r="CR28" s="1">
        <f t="shared" si="40"/>
        <v>10</v>
      </c>
      <c r="CS28" s="1">
        <f t="shared" si="41"/>
        <v>2</v>
      </c>
      <c r="CT28" s="1">
        <f t="shared" si="42"/>
        <v>4</v>
      </c>
      <c r="CU28" s="1">
        <f t="shared" si="12"/>
        <v>4</v>
      </c>
      <c r="CV28" s="1">
        <f t="shared" si="13"/>
        <v>18</v>
      </c>
      <c r="CW28" s="1">
        <f t="shared" si="14"/>
        <v>24</v>
      </c>
      <c r="CX28" s="1">
        <f t="shared" si="15"/>
        <v>7</v>
      </c>
      <c r="CY28" s="29" t="str">
        <f t="shared" si="43"/>
        <v>低</v>
      </c>
      <c r="CZ28" s="1">
        <v>0.7</v>
      </c>
      <c r="DA28" s="2">
        <f t="shared" si="16"/>
        <v>0.30000000000000004</v>
      </c>
      <c r="DB28" s="1">
        <f>IF(('[1]フォームの回答 1'!BI28="いつもより寝つきは良い"),0,(IF(('[1]フォームの回答 1'!BI28="いつもより少し時間がかかった"),1,(IF(('[1]フォームの回答 1'!BI28="いつもよりかなり時間がかかった"),2,(IF(('[1]フォームの回答 1'!BI28="いつもより非常に時間がかかった、あるいは全く眠れなかった"),3,"")))))))</f>
        <v>1</v>
      </c>
      <c r="DC28" s="1">
        <f>IF(('[1]フォームの回答 1'!BJ28="問題になるほどのことはなかった"),0,(IF(('[1]フォームの回答 1'!BJ28="少し困ることがある"),1,(IF(('[1]フォームの回答 1'!BJ28="かなり困っている"),2,(IF(('[1]フォームの回答 1'!BJ28="深刻な状態、あるいは全く眠れなかった"),3,"")))))))</f>
        <v>0</v>
      </c>
      <c r="DD28" s="1">
        <f>IF(('[1]フォームの回答 1'!BK28="そのようなことはなかった"),0,(IF(('[1]フォームの回答 1'!BK28="少し早かった"),1,(IF(('[1]フォームの回答 1'!BK28="かなり早かった"),2,(IF(('[1]フォームの回答 1'!BK28="非常に早かった、あるいは全く眠れなかった"),3,"")))))))</f>
        <v>0</v>
      </c>
      <c r="DE28" s="1">
        <f>IF(('[1]フォームの回答 1'!BL28="十分である"),0,(IF(('[1]フォームの回答 1'!BL28="少し足りない"),1,(IF(('[1]フォームの回答 1'!BL28="かなり足りない"),2,(IF(('[1]フォームの回答 1'!BL28="全く足りない、あるいは全く眠れなかった"),3,"")))))))</f>
        <v>0</v>
      </c>
      <c r="DF28" s="1">
        <f>IF(('[1]フォームの回答 1'!BM28="満足している"),0,(IF(('[1]フォームの回答 1'!BM28="少し不満である"),1,(IF(('[1]フォームの回答 1'!BM28="かなり不満である"),2,(IF(('[1]フォームの回答 1'!BM28="非常に不満である、あるいは全く眠れなかった"),3,"")))))))</f>
        <v>1</v>
      </c>
      <c r="DG28" s="1">
        <f>IF(('[1]フォームの回答 1'!BN28="いつもどおり"),0,(IF(('[1]フォームの回答 1'!BN28="少し滅入った"),1,(IF(('[1]フォームの回答 1'!BN28="かなり滅入った"),2,(IF(('[1]フォームの回答 1'!BN28="非常に滅入った"),3,"")))))))</f>
        <v>1</v>
      </c>
      <c r="DH28" s="1">
        <f>IF(('[1]フォームの回答 1'!BO28="いつもどおり"),0,(IF(('[1]フォームの回答 1'!BO28="少し低下した"),1,(IF(('[1]フォームの回答 1'!BO28="かなり低下した"),2,(IF(('[1]フォームの回答 1'!BO28="非常に低下した"),3,"")))))))</f>
        <v>1</v>
      </c>
      <c r="DI28" s="1">
        <f>IF(('[1]フォームの回答 1'!BP28="全くなかった"),0,(IF(('[1]フォームの回答 1'!BP28="少しあった"),1,(IF(('[1]フォームの回答 1'!BP28="かなりあった"),2,(IF(('[1]フォームの回答 1'!BP28="激しかった"),3,"")))))))</f>
        <v>1</v>
      </c>
      <c r="DJ28">
        <f t="shared" si="44"/>
        <v>5</v>
      </c>
      <c r="DK28" s="4" t="str">
        <f t="shared" si="45"/>
        <v>中</v>
      </c>
      <c r="DL28" s="5">
        <v>2.2000000000000002</v>
      </c>
      <c r="DM28" s="5">
        <v>0.6</v>
      </c>
      <c r="DN28" s="5">
        <v>2.2999999999999998</v>
      </c>
      <c r="DO28" s="5">
        <v>5.0999999999999996</v>
      </c>
      <c r="DP28" s="5"/>
      <c r="DQ28" s="5"/>
      <c r="DR28" s="43">
        <v>0.42</v>
      </c>
      <c r="DS28" s="43">
        <v>61.18</v>
      </c>
      <c r="DT28" s="5">
        <v>0.69</v>
      </c>
      <c r="DU28" s="5">
        <v>35</v>
      </c>
      <c r="DV28" s="5" t="s">
        <v>115</v>
      </c>
    </row>
    <row r="29" spans="1:126" ht="14">
      <c r="A29" s="1">
        <v>319</v>
      </c>
      <c r="B29" s="24" t="s">
        <v>140</v>
      </c>
      <c r="C29" s="24">
        <v>34879</v>
      </c>
      <c r="D29" s="38">
        <f t="shared" si="17"/>
        <v>29</v>
      </c>
      <c r="E29" s="1">
        <f>IF(('[1]フォームの回答 1'!C29="そうだ"),1,(IF(('[1]フォームの回答 1'!C29="まぁそうだ"),2,(IF(('[1]フォームの回答 1'!C29="ややちがう"),3,(IF(('[1]フォームの回答 1'!C29="ちがう"),4,"")))))))</f>
        <v>3</v>
      </c>
      <c r="F29" s="1">
        <f>IF(('[1]フォームの回答 1'!D29="そうだ"),1,(IF(('[1]フォームの回答 1'!D29="まぁそうだ"),2,(IF(('[1]フォームの回答 1'!D29="ややちがう"),3,(IF(('[1]フォームの回答 1'!D29="ちがう"),4,"")))))))</f>
        <v>2</v>
      </c>
      <c r="G29" s="1">
        <f>IF(('[1]フォームの回答 1'!E29="そうだ"),1,(IF(('[1]フォームの回答 1'!E29="まぁそうだ"),2,(IF(('[1]フォームの回答 1'!E29="ややちがう"),3,(IF(('[1]フォームの回答 1'!E29="ちがう"),4,"")))))))</f>
        <v>1</v>
      </c>
      <c r="H29" s="1">
        <f>IF(('[1]フォームの回答 1'!F29="そうだ"),1,(IF(('[1]フォームの回答 1'!F29="まぁそうだ"),2,(IF(('[1]フォームの回答 1'!F29="ややちがう"),3,(IF(('[1]フォームの回答 1'!F29="ちがう"),4,"")))))))</f>
        <v>1</v>
      </c>
      <c r="I29" s="1">
        <f>IF(('[1]フォームの回答 1'!G29="そうだ"),1,(IF(('[1]フォームの回答 1'!G29="まぁそうだ"),2,(IF(('[1]フォームの回答 1'!G29="ややちがう"),3,(IF(('[1]フォームの回答 1'!G29="ちがう"),4,"")))))))</f>
        <v>1</v>
      </c>
      <c r="J29" s="1">
        <f>IF(('[1]フォームの回答 1'!H29="そうだ"),1,(IF(('[1]フォームの回答 1'!H29="まぁそうだ"),2,(IF(('[1]フォームの回答 1'!H29="ややちがう"),3,(IF(('[1]フォームの回答 1'!H29="ちがう"),4,"")))))))</f>
        <v>1</v>
      </c>
      <c r="K29" s="1">
        <f>IF(('[1]フォームの回答 1'!I29="そうだ"),1,(IF(('[1]フォームの回答 1'!I29="まぁそうだ"),2,(IF(('[1]フォームの回答 1'!I29="ややちがう"),3,(IF(('[1]フォームの回答 1'!I29="ちがう"),4,"")))))))</f>
        <v>4</v>
      </c>
      <c r="L29" s="1">
        <f>IF(('[1]フォームの回答 1'!J29="そうだ"),1,(IF(('[1]フォームの回答 1'!J29="まぁそうだ"),2,(IF(('[1]フォームの回答 1'!J29="ややちがう"),3,(IF(('[1]フォームの回答 1'!J29="ちがう"),4,"")))))))</f>
        <v>3</v>
      </c>
      <c r="M29" s="1">
        <f>IF(('[1]フォームの回答 1'!K29="そうだ"),1,(IF(('[1]フォームの回答 1'!K29="まぁそうだ"),2,(IF(('[1]フォームの回答 1'!K29="ややちがう"),3,(IF(('[1]フォームの回答 1'!K29="ちがう"),4,"")))))))</f>
        <v>3</v>
      </c>
      <c r="N29" s="1">
        <f>IF(('[1]フォームの回答 1'!L29="そうだ"),1,(IF(('[1]フォームの回答 1'!L29="まぁそうだ"),2,(IF(('[1]フォームの回答 1'!L29="ややちがう"),3,(IF(('[1]フォームの回答 1'!L29="ちがう"),4,"")))))))</f>
        <v>3</v>
      </c>
      <c r="O29" s="1">
        <f>IF(('[1]フォームの回答 1'!M29="そうだ"),1,(IF(('[1]フォームの回答 1'!M29="まぁそうだ"),2,(IF(('[1]フォームの回答 1'!M29="ややちがう"),3,(IF(('[1]フォームの回答 1'!M29="ちがう"),4,"")))))))</f>
        <v>4</v>
      </c>
      <c r="P29" s="1">
        <f>IF(('[1]フォームの回答 1'!N29="そうだ"),1,(IF(('[1]フォームの回答 1'!N29="まぁそうだ"),2,(IF(('[1]フォームの回答 1'!N29="ややちがう"),3,(IF(('[1]フォームの回答 1'!N29="ちがう"),4,"")))))))</f>
        <v>3</v>
      </c>
      <c r="Q29" s="1">
        <f>IF(('[1]フォームの回答 1'!O29="そうだ"),1,(IF(('[1]フォームの回答 1'!O29="まぁそうだ"),2,(IF(('[1]フォームの回答 1'!O29="ややちがう"),3,(IF(('[1]フォームの回答 1'!O29="ちがう"),4,"")))))))</f>
        <v>3</v>
      </c>
      <c r="R29" s="1">
        <f>IF(('[1]フォームの回答 1'!P29="そうだ"),1,(IF(('[1]フォームの回答 1'!P29="まぁそうだ"),2,(IF(('[1]フォームの回答 1'!P29="ややちがう"),3,(IF(('[1]フォームの回答 1'!P29="ちがう"),4,"")))))))</f>
        <v>3</v>
      </c>
      <c r="S29" s="1">
        <f>IF(('[1]フォームの回答 1'!Q29="そうだ"),1,(IF(('[1]フォームの回答 1'!Q29="まぁそうだ"),2,(IF(('[1]フォームの回答 1'!Q29="ややちがう"),3,(IF(('[1]フォームの回答 1'!Q29="ちがう"),4,"")))))))</f>
        <v>3</v>
      </c>
      <c r="T29" s="1">
        <f>IF(('[1]フォームの回答 1'!R29="そうだ"),1,(IF(('[1]フォームの回答 1'!R29="まぁそうだ"),2,(IF(('[1]フォームの回答 1'!R29="ややちがう"),3,(IF(('[1]フォームの回答 1'!R29="ちがう"),4,"")))))))</f>
        <v>4</v>
      </c>
      <c r="U29" s="1">
        <f>IF(('[1]フォームの回答 1'!S29="そうだ"),1,(IF(('[1]フォームの回答 1'!S29="まぁそうだ"),2,(IF(('[1]フォームの回答 1'!S29="ややちがう"),3,(IF(('[1]フォームの回答 1'!S29="ちがう"),4,"")))))))</f>
        <v>2</v>
      </c>
      <c r="V29" s="1">
        <f t="shared" si="18"/>
        <v>9</v>
      </c>
      <c r="W29" s="1">
        <f t="shared" si="0"/>
        <v>3</v>
      </c>
      <c r="X29" s="1">
        <f t="shared" si="19"/>
        <v>12</v>
      </c>
      <c r="Y29" s="1">
        <f t="shared" si="1"/>
        <v>5</v>
      </c>
      <c r="Z29" s="1">
        <f t="shared" si="20"/>
        <v>1</v>
      </c>
      <c r="AA29" s="1">
        <f t="shared" si="21"/>
        <v>2</v>
      </c>
      <c r="AB29" s="1">
        <f t="shared" si="22"/>
        <v>7</v>
      </c>
      <c r="AC29" s="1">
        <f t="shared" si="23"/>
        <v>3</v>
      </c>
      <c r="AD29" s="1">
        <f t="shared" si="24"/>
        <v>2</v>
      </c>
      <c r="AE29" s="1">
        <f t="shared" si="2"/>
        <v>3</v>
      </c>
      <c r="AF29" s="1">
        <f t="shared" si="25"/>
        <v>6</v>
      </c>
      <c r="AG29" s="1">
        <f t="shared" si="3"/>
        <v>3</v>
      </c>
      <c r="AH29" s="1">
        <f t="shared" si="26"/>
        <v>4</v>
      </c>
      <c r="AI29" s="1">
        <f t="shared" si="27"/>
        <v>2</v>
      </c>
      <c r="AJ29" s="1">
        <f t="shared" si="28"/>
        <v>1</v>
      </c>
      <c r="AK29" s="1">
        <f t="shared" si="29"/>
        <v>5</v>
      </c>
      <c r="AL29" s="1">
        <f t="shared" si="30"/>
        <v>3</v>
      </c>
      <c r="AM29" s="1">
        <f t="shared" si="31"/>
        <v>3</v>
      </c>
      <c r="AN29" s="1">
        <f>IF(('[1]フォームの回答 1'!T29="ほとんどなかった"),1,(IF(('[1]フォームの回答 1'!T29="ときどきあった"),2,(IF(('[1]フォームの回答 1'!T29="しばしばあった"),3,(IF(('[1]フォームの回答 1'!T29="ほとんどいつもあった"),4,"")))))))</f>
        <v>2</v>
      </c>
      <c r="AO29" s="1">
        <f>IF(('[1]フォームの回答 1'!U29="ほとんどなかった"),1,(IF(('[1]フォームの回答 1'!U29="ときどきあった"),2,(IF(('[1]フォームの回答 1'!U29="しばしばあった"),3,(IF(('[1]フォームの回答 1'!U29="ほとんどいつもあった"),4,"")))))))</f>
        <v>1</v>
      </c>
      <c r="AP29" s="1">
        <f>IF(('[1]フォームの回答 1'!V29="ほとんどなかった"),1,(IF(('[1]フォームの回答 1'!V29="ときどきあった"),2,(IF(('[1]フォームの回答 1'!V29="しばしばあった"),3,(IF(('[1]フォームの回答 1'!V29="ほとんどいつもあった"),4,"")))))))</f>
        <v>1</v>
      </c>
      <c r="AQ29" s="1">
        <f>IF(('[1]フォームの回答 1'!W29="ほとんどなかった"),1,(IF(('[1]フォームの回答 1'!W29="ときどきあった"),2,(IF(('[1]フォームの回答 1'!W29="しばしばあった"),3,(IF(('[1]フォームの回答 1'!W29="ほとんどいつもあった"),4,"")))))))</f>
        <v>2</v>
      </c>
      <c r="AR29" s="1">
        <f>IF(('[1]フォームの回答 1'!X29="ほとんどなかった"),1,(IF(('[1]フォームの回答 1'!X29="ときどきあった"),2,(IF(('[1]フォームの回答 1'!X29="しばしばあった"),3,(IF(('[1]フォームの回答 1'!X29="ほとんどいつもあった"),4,"")))))))</f>
        <v>3</v>
      </c>
      <c r="AS29" s="1">
        <f>IF(('[1]フォームの回答 1'!Y29="ほとんどなかった"),1,(IF(('[1]フォームの回答 1'!Y29="ときどきあった"),2,(IF(('[1]フォームの回答 1'!Y29="しばしばあった"),3,(IF(('[1]フォームの回答 1'!Y29="ほとんどいつもあった"),4,"")))))))</f>
        <v>3</v>
      </c>
      <c r="AT29" s="1">
        <f>IF(('[1]フォームの回答 1'!Z29="ほとんどなかった"),1,(IF(('[1]フォームの回答 1'!Z29="ときどきあった"),2,(IF(('[1]フォームの回答 1'!Z29="しばしばあった"),3,(IF(('[1]フォームの回答 1'!Z29="ほとんどいつもあった"),4,"")))))))</f>
        <v>3</v>
      </c>
      <c r="AU29" s="1">
        <f>IF(('[1]フォームの回答 1'!AA29="ほとんどなかった"),1,(IF(('[1]フォームの回答 1'!AA29="ときどきあった"),2,(IF(('[1]フォームの回答 1'!AA29="しばしばあった"),3,(IF(('[1]フォームの回答 1'!AA29="ほとんどいつもあった"),4,"")))))))</f>
        <v>3</v>
      </c>
      <c r="AV29" s="1">
        <f>IF(('[1]フォームの回答 1'!AB29="ほとんどなかった"),1,(IF(('[1]フォームの回答 1'!AB29="ときどきばあった"),2,(IF(('[1]フォームの回答 1'!AB29="しばしばあった"),3,(IF(('[1]フォームの回答 1'!AB29="ほとんどいつもあった"),4,"")))))))</f>
        <v>3</v>
      </c>
      <c r="AW29" s="1">
        <f>IF(('[1]フォームの回答 1'!AC29="ほとんどなかった"),1,(IF(('[1]フォームの回答 1'!AC29="ときどきあった"),2,(IF(('[1]フォームの回答 1'!AC29="しばしばあった"),3,(IF(('[1]フォームの回答 1'!AC29="ほとんどいつもあった"),4,"")))))))</f>
        <v>2</v>
      </c>
      <c r="AX29" s="1">
        <f>IF(('[1]フォームの回答 1'!AD29="ほとんどなかった"),1,(IF(('[1]フォームの回答 1'!AD29="ときどきあった"),2,(IF(('[1]フォームの回答 1'!AD29="しばしばあった"),3,(IF(('[1]フォームの回答 1'!AD29="ほとんどいつもあった"),4,"")))))))</f>
        <v>4</v>
      </c>
      <c r="AY29" s="1">
        <f>IF(('[1]フォームの回答 1'!AE29="ほとんどなかった"),1,(IF(('[1]フォームの回答 1'!AE29="ときどきあった"),2,(IF(('[1]フォームの回答 1'!AE29="しばしばあった"),3,(IF(('[1]フォームの回答 1'!AE29="ほとんどいつもあった"),4,"")))))))</f>
        <v>3</v>
      </c>
      <c r="AZ29" s="1">
        <f>IF(('[1]フォームの回答 1'!AF29="ほとんどなかった"),1,(IF(('[1]フォームの回答 1'!AF29="ときどきあった"),2,(IF(('[1]フォームの回答 1'!AF29="しばしばあった"),3,(IF(('[1]フォームの回答 1'!AF29="ほとんどいつもあった"),4,"")))))))</f>
        <v>2</v>
      </c>
      <c r="BA29" s="1">
        <f>IF(('[1]フォームの回答 1'!AG29="ほとんどなかった"),1,(IF(('[1]フォームの回答 1'!AG29="ときどきあった"),2,(IF(('[1]フォームの回答 1'!AG29="しばしばあった"),3,(IF(('[1]フォームの回答 1'!AG29="ほとんどいつもあった"),4,"")))))))</f>
        <v>2</v>
      </c>
      <c r="BB29" s="1">
        <f>IF(('[1]フォームの回答 1'!AH29="ほとんどなかった"),1,(IF(('[1]フォームの回答 1'!AH29="ときどきあった"),2,(IF(('[1]フォームの回答 1'!AH29="しばしばあった"),3,(IF(('[1]フォームの回答 1'!AH29="ほとんどいつもあった"),4,"")))))))</f>
        <v>3</v>
      </c>
      <c r="BC29" s="1">
        <f>IF(('[1]フォームの回答 1'!AI29="ほとんどなかった"),1,(IF(('[1]フォームの回答 1'!AI29="ときどきあった"),2,(IF(('[1]フォームの回答 1'!AI29="しばしばあった"),3,(IF(('[1]フォームの回答 1'!AI29="ほとんどいつもあった"),4,"")))))))</f>
        <v>2</v>
      </c>
      <c r="BD29" s="1">
        <f>IF(('[1]フォームの回答 1'!AJ29="ほとんどなかった"),1,(IF(('[1]フォームの回答 1'!AJ29="ときどきあった"),2,(IF(('[1]フォームの回答 1'!AJ29="しばしばあった"),3,(IF(('[1]フォームの回答 1'!AJ29="ほとんどいつもあった"),4,"")))))))</f>
        <v>2</v>
      </c>
      <c r="BE29" s="1">
        <f>IF(('[1]フォームの回答 1'!AK29="ほとんどなかった"),1,(IF(('[1]フォームの回答 1'!AK29="ときどきあった"),2,(IF(('[1]フォームの回答 1'!AK29="しばしばあった"),3,(IF(('[1]フォームの回答 1'!AK29="ほとんどいつもあった"),4,"")))))))</f>
        <v>2</v>
      </c>
      <c r="BF29" s="1">
        <f>IF(('[1]フォームの回答 1'!AL29="ほとんどなかった"),1,(IF(('[1]フォームの回答 1'!AL29="ときどきあった"),2,(IF(('[1]フォームの回答 1'!AL29="しばしばあった"),3,(IF(('[1]フォームの回答 1'!AL29="ほとんどいつもあった"),4,"")))))))</f>
        <v>1</v>
      </c>
      <c r="BG29" s="1">
        <f>IF(('[1]フォームの回答 1'!AM29="ほとんどなかった"),1,(IF(('[1]フォームの回答 1'!AM29="ときどきあった"),2,(IF(('[1]フォームの回答 1'!AM29="しばしばあった"),3,(IF(('[1]フォームの回答 1'!AM29="ほとんどいつもあった"),4,"")))))))</f>
        <v>2</v>
      </c>
      <c r="BH29" s="1">
        <f>IF(('[1]フォームの回答 1'!AN29="ほとんどなかった"),1,(IF(('[1]フォームの回答 1'!AN29="ときどきあった"),2,(IF(('[1]フォームの回答 1'!AN29="しばしばあった"),3,(IF(('[1]フォームの回答 1'!AN29="ほとんどいつもあった"),4,"")))))))</f>
        <v>3</v>
      </c>
      <c r="BI29" s="1">
        <f>IF(('[1]フォームの回答 1'!AO29="ほとんどなかった"),1,(IF(('[1]フォームの回答 1'!AO29="ときどきあった"),2,(IF(('[1]フォームの回答 1'!AO29="しばしばあった"),3,(IF(('[1]フォームの回答 1'!AO29="ほとんどいつもあった"),4,"")))))))</f>
        <v>4</v>
      </c>
      <c r="BJ29" s="1">
        <f>IF(('[1]フォームの回答 1'!AP29="ほとんどなかった"),1,(IF(('[1]フォームの回答 1'!AP29="ときどきあった"),2,(IF(('[1]フォームの回答 1'!AP29="しばしばあった"),3,(IF(('[1]フォームの回答 1'!AP29="ほとんどいつもあった"),4,"")))))))</f>
        <v>4</v>
      </c>
      <c r="BK29" s="1">
        <f>IF(('[1]フォームの回答 1'!AQ29="ほとんどなかった"),1,(IF(('[1]フォームの回答 1'!AQ29="ときどきあった"),2,(IF(('[1]フォームの回答 1'!AQ29="しばしばあった"),3,(IF(('[1]フォームの回答 1'!AQ29="ほとんどいつもあった"),4,"")))))))</f>
        <v>3</v>
      </c>
      <c r="BL29" s="1">
        <f>IF(('[1]フォームの回答 1'!AR29="ほとんどなかった"),1,(IF(('[1]フォームの回答 1'!AR29="ときどきあった"),2,(IF(('[1]フォームの回答 1'!AR29="しばしばあった"),3,(IF(('[1]フォームの回答 1'!AR29="ほとんどいつもあった"),4,"")))))))</f>
        <v>2</v>
      </c>
      <c r="BM29" s="1">
        <f>IF(('[1]フォームの回答 1'!AS29="ほとんどなかった"),1,(IF(('[1]フォームの回答 1'!AS29="ときどきあった"),2,(IF(('[1]フォームの回答 1'!AS29="しばしばあった"),3,(IF(('[1]フォームの回答 1'!AS29="ほとんどいつもあった"),4,"")))))))</f>
        <v>3</v>
      </c>
      <c r="BN29" s="1">
        <f>IF(('[1]フォームの回答 1'!AT29="ほとんどなかった"),1,(IF(('[1]フォームの回答 1'!AT29="ときどきあった"),2,(IF(('[1]フォームの回答 1'!AT29="しばしばあった"),3,(IF(('[1]フォームの回答 1'!AT29="ほとんどいつもあった"),4,"")))))))</f>
        <v>2</v>
      </c>
      <c r="BO29" s="1">
        <f>IF(('[1]フォームの回答 1'!AU29="ほとんどなかった"),1,(IF(('[1]フォームの回答 1'!AU29="ときどきあった"),2,(IF(('[1]フォームの回答 1'!AU29="しばしばあった"),3,(IF(('[1]フォームの回答 1'!AU29="ほとんどいつもあった"),4,"")))))))</f>
        <v>3</v>
      </c>
      <c r="BP29" s="1">
        <f>IF(('[1]フォームの回答 1'!AV29="ほとんどなかった"),1,(IF(('[1]フォームの回答 1'!AV29="ときどきあった"),2,(IF(('[1]フォームの回答 1'!AV29="しばしばあった"),3,(IF(('[1]フォームの回答 1'!AV29="ほとんどいつもあった"),4,"")))))))</f>
        <v>3</v>
      </c>
      <c r="BQ29" s="1">
        <f t="shared" si="32"/>
        <v>4</v>
      </c>
      <c r="BR29" s="1">
        <f t="shared" si="33"/>
        <v>4</v>
      </c>
      <c r="BS29" s="1">
        <f t="shared" si="34"/>
        <v>8</v>
      </c>
      <c r="BT29" s="1">
        <f t="shared" si="4"/>
        <v>3</v>
      </c>
      <c r="BU29" s="1">
        <f t="shared" si="5"/>
        <v>9</v>
      </c>
      <c r="BV29" s="1">
        <f t="shared" si="6"/>
        <v>4</v>
      </c>
      <c r="BW29" s="1">
        <f t="shared" si="35"/>
        <v>9</v>
      </c>
      <c r="BX29" s="1">
        <f t="shared" si="7"/>
        <v>4</v>
      </c>
      <c r="BY29" s="1">
        <f t="shared" si="36"/>
        <v>13</v>
      </c>
      <c r="BZ29" s="1">
        <f t="shared" si="8"/>
        <v>4</v>
      </c>
      <c r="CA29" s="1">
        <f t="shared" si="37"/>
        <v>30</v>
      </c>
      <c r="CB29" s="1">
        <f t="shared" si="9"/>
        <v>5</v>
      </c>
      <c r="CC29" s="1">
        <f>IF(('[1]フォームの回答 1'!AW29="非常に"),1,(IF(('[1]フォームの回答 1'!AW29="かなり"),2,(IF(('[1]フォームの回答 1'!AW29="多少"),3,(IF(('[1]フォームの回答 1'!AW29="全くない"),4,"")))))))</f>
        <v>3</v>
      </c>
      <c r="CD29" s="1">
        <f>IF(('[1]フォームの回答 1'!AX29="非常に"),1,(IF(('[1]フォームの回答 1'!AX29="かなり"),2,(IF(('[1]フォームの回答 1'!AX29="多少"),3,(IF(('[1]フォームの回答 1'!AX29="全くない"),4,"")))))))</f>
        <v>3</v>
      </c>
      <c r="CE29" s="1">
        <f>IF(('[1]フォームの回答 1'!AY29="非常に"),1,(IF(('[1]フォームの回答 1'!AY29="かなり"),2,(IF(('[1]フォームの回答 1'!AY29="多少"),3,(IF(('[1]フォームの回答 1'!AY29="全くない"),4,"")))))))</f>
        <v>2</v>
      </c>
      <c r="CF29" s="1">
        <f>IF(('[1]フォームの回答 1'!AZ29="非常に"),1,(IF(('[1]フォームの回答 1'!AZ29="かなり"),2,(IF(('[1]フォームの回答 1'!AZ29="多少"),3,(IF(('[1]フォームの回答 1'!AZ29="全くない"),4,"")))))))</f>
        <v>3</v>
      </c>
      <c r="CG29" s="1">
        <f>IF(('[1]フォームの回答 1'!BA29="非常に"),1,(IF(('[1]フォームの回答 1'!BA29="かなり"),2,(IF(('[1]フォームの回答 1'!BA29="多少"),3,(IF(('[1]フォームの回答 1'!BA29="全くない"),4,"")))))))</f>
        <v>3</v>
      </c>
      <c r="CH29" s="1">
        <f>IF(('[1]フォームの回答 1'!BB29="非常に"),1,(IF(('[1]フォームの回答 1'!BB29="かなり"),2,(IF(('[1]フォームの回答 1'!BB29="多少"),3,(IF(('[1]フォームの回答 1'!BB29="全くない"),4,"")))))))</f>
        <v>2</v>
      </c>
      <c r="CI29" s="1">
        <f>IF(('[1]フォームの回答 1'!BC29="非常に"),1,(IF(('[1]フォームの回答 1'!BC29="かなり"),2,(IF(('[1]フォームの回答 1'!BC29="多少"),3,(IF(('[1]フォームの回答 1'!BC29="全くない"),4,"")))))))</f>
        <v>3</v>
      </c>
      <c r="CJ29" s="1">
        <f>IF(('[1]フォームの回答 1'!BD29="非常に"),1,(IF(('[1]フォームの回答 1'!BD29="かなり"),2,(IF(('[1]フォームの回答 1'!BD29="多少"),3,(IF(('[1]フォームの回答 1'!BD29="全くない"),4,"")))))))</f>
        <v>3</v>
      </c>
      <c r="CK29" s="1">
        <f>IF(('[1]フォームの回答 1'!BE29="非常に"),1,(IF(('[1]フォームの回答 1'!BE29="かなり"),2,(IF(('[1]フォームの回答 1'!BE29="多少"),3,(IF(('[1]フォームの回答 1'!BE29="全くない"),4,"")))))))</f>
        <v>2</v>
      </c>
      <c r="CL29" s="1">
        <f>IF(('[1]フォームの回答 1'!BF29="満足"),1,(IF(('[1]フォームの回答 1'!BF29="まぁ満足"),2,(IF(('[1]フォームの回答 1'!BF29="やや満足"),3,(IF(('[1]フォームの回答 1'!BF29="不満足"),4,"")))))))</f>
        <v>3</v>
      </c>
      <c r="CM29" s="1">
        <f>IF(('[1]フォームの回答 1'!BG29="満足"),1,(IF(('[1]フォームの回答 1'!BG29="まぁ満足"),2,(IF(('[1]フォームの回答 1'!BG29="やや満足"),3,(IF(('[1]フォームの回答 1'!BG29="不満足"),4,"")))))))</f>
        <v>1</v>
      </c>
      <c r="CN29" s="1">
        <f t="shared" si="38"/>
        <v>6</v>
      </c>
      <c r="CO29" s="1">
        <f t="shared" si="10"/>
        <v>3</v>
      </c>
      <c r="CP29" s="1">
        <f t="shared" si="39"/>
        <v>6</v>
      </c>
      <c r="CQ29" s="1">
        <f t="shared" si="11"/>
        <v>4</v>
      </c>
      <c r="CR29" s="1">
        <f t="shared" si="40"/>
        <v>9</v>
      </c>
      <c r="CS29" s="1">
        <f t="shared" si="41"/>
        <v>3</v>
      </c>
      <c r="CT29" s="1">
        <f t="shared" si="42"/>
        <v>6</v>
      </c>
      <c r="CU29" s="1">
        <f t="shared" si="12"/>
        <v>3</v>
      </c>
      <c r="CV29" s="1">
        <f t="shared" si="13"/>
        <v>24</v>
      </c>
      <c r="CW29" s="1">
        <f t="shared" si="14"/>
        <v>29</v>
      </c>
      <c r="CX29" s="1">
        <f t="shared" si="15"/>
        <v>10</v>
      </c>
      <c r="CY29" s="29" t="str">
        <f t="shared" si="43"/>
        <v>高</v>
      </c>
      <c r="CZ29" s="1">
        <v>0.6</v>
      </c>
      <c r="DA29" s="2">
        <f t="shared" si="16"/>
        <v>0.4</v>
      </c>
      <c r="DB29" s="1">
        <f>IF(('[1]フォームの回答 1'!BI29="いつもより寝つきは良い"),0,(IF(('[1]フォームの回答 1'!BI29="いつもより少し時間がかかった"),1,(IF(('[1]フォームの回答 1'!BI29="いつもよりかなり時間がかかった"),2,(IF(('[1]フォームの回答 1'!BI29="いつもより非常に時間がかかった、あるいは全く眠れなかった"),3,"")))))))</f>
        <v>0</v>
      </c>
      <c r="DC29" s="1">
        <f>IF(('[1]フォームの回答 1'!BJ29="問題になるほどのことはなかった"),0,(IF(('[1]フォームの回答 1'!BJ29="少し困ることがある"),1,(IF(('[1]フォームの回答 1'!BJ29="かなり困っている"),2,(IF(('[1]フォームの回答 1'!BJ29="深刻な状態、あるいは全く眠れなかった"),3,"")))))))</f>
        <v>1</v>
      </c>
      <c r="DD29" s="1">
        <f>IF(('[1]フォームの回答 1'!BK29="そのようなことはなかった"),0,(IF(('[1]フォームの回答 1'!BK29="少し早かった"),1,(IF(('[1]フォームの回答 1'!BK29="かなり早かった"),2,(IF(('[1]フォームの回答 1'!BK29="非常に早かった、あるいは全く眠れなかった"),3,"")))))))</f>
        <v>1</v>
      </c>
      <c r="DE29" s="1">
        <f>IF(('[1]フォームの回答 1'!BL29="十分である"),0,(IF(('[1]フォームの回答 1'!BL29="少し足りない"),1,(IF(('[1]フォームの回答 1'!BL29="かなり足りない"),2,(IF(('[1]フォームの回答 1'!BL29="全く足りない、あるいは全く眠れなかった"),3,"")))))))</f>
        <v>1</v>
      </c>
      <c r="DF29" s="1">
        <f>IF(('[1]フォームの回答 1'!BM29="満足している"),0,(IF(('[1]フォームの回答 1'!BM29="少し不満である"),1,(IF(('[1]フォームの回答 1'!BM29="かなり不満である"),2,(IF(('[1]フォームの回答 1'!BM29="非常に不満である、あるいは全く眠れなかった"),3,"")))))))</f>
        <v>2</v>
      </c>
      <c r="DG29" s="1">
        <f>IF(('[1]フォームの回答 1'!BN29="いつもどおり"),0,(IF(('[1]フォームの回答 1'!BN29="少し滅入った"),1,(IF(('[1]フォームの回答 1'!BN29="かなり滅入った"),2,(IF(('[1]フォームの回答 1'!BN29="非常に滅入った"),3,"")))))))</f>
        <v>1</v>
      </c>
      <c r="DH29" s="1">
        <f>IF(('[1]フォームの回答 1'!BO29="いつもどおり"),0,(IF(('[1]フォームの回答 1'!BO29="少し低下した"),1,(IF(('[1]フォームの回答 1'!BO29="かなり低下した"),2,(IF(('[1]フォームの回答 1'!BO29="非常に低下した"),3,"")))))))</f>
        <v>1</v>
      </c>
      <c r="DI29" s="1">
        <f>IF(('[1]フォームの回答 1'!BP29="全くなかった"),0,(IF(('[1]フォームの回答 1'!BP29="少しあった"),1,(IF(('[1]フォームの回答 1'!BP29="かなりあった"),2,(IF(('[1]フォームの回答 1'!BP29="激しかった"),3,"")))))))</f>
        <v>2</v>
      </c>
      <c r="DJ29">
        <f t="shared" si="44"/>
        <v>9</v>
      </c>
      <c r="DK29" s="4" t="str">
        <f t="shared" si="45"/>
        <v>高</v>
      </c>
      <c r="DL29" s="5">
        <v>0</v>
      </c>
      <c r="DM29" s="5">
        <v>0</v>
      </c>
      <c r="DN29" s="5">
        <v>0</v>
      </c>
      <c r="DO29" s="5">
        <v>0</v>
      </c>
      <c r="DP29" s="5"/>
      <c r="DQ29" s="5" t="s">
        <v>200</v>
      </c>
      <c r="DR29" s="43">
        <v>0.56799999999999995</v>
      </c>
      <c r="DS29" s="43">
        <v>87.58</v>
      </c>
      <c r="DT29" s="5">
        <v>0.65</v>
      </c>
      <c r="DU29" s="5">
        <v>33</v>
      </c>
      <c r="DV29" s="5" t="s">
        <v>115</v>
      </c>
    </row>
    <row r="30" spans="1:126" ht="14">
      <c r="A30" s="1">
        <v>320</v>
      </c>
      <c r="B30" s="24" t="s">
        <v>139</v>
      </c>
      <c r="C30" s="24">
        <v>34464</v>
      </c>
      <c r="D30" s="38">
        <f t="shared" si="17"/>
        <v>30</v>
      </c>
      <c r="E30" s="1">
        <f>IF(('[1]フォームの回答 1'!C30="そうだ"),1,(IF(('[1]フォームの回答 1'!C30="まぁそうだ"),2,(IF(('[1]フォームの回答 1'!C30="ややちがう"),3,(IF(('[1]フォームの回答 1'!C30="ちがう"),4,"")))))))</f>
        <v>2</v>
      </c>
      <c r="F30" s="1">
        <f>IF(('[1]フォームの回答 1'!D30="そうだ"),1,(IF(('[1]フォームの回答 1'!D30="まぁそうだ"),2,(IF(('[1]フォームの回答 1'!D30="ややちがう"),3,(IF(('[1]フォームの回答 1'!D30="ちがう"),4,"")))))))</f>
        <v>1</v>
      </c>
      <c r="G30" s="1">
        <f>IF(('[1]フォームの回答 1'!E30="そうだ"),1,(IF(('[1]フォームの回答 1'!E30="まぁそうだ"),2,(IF(('[1]フォームの回答 1'!E30="ややちがう"),3,(IF(('[1]フォームの回答 1'!E30="ちがう"),4,"")))))))</f>
        <v>2</v>
      </c>
      <c r="H30" s="1">
        <f>IF(('[1]フォームの回答 1'!F30="そうだ"),1,(IF(('[1]フォームの回答 1'!F30="まぁそうだ"),2,(IF(('[1]フォームの回答 1'!F30="ややちがう"),3,(IF(('[1]フォームの回答 1'!F30="ちがう"),4,"")))))))</f>
        <v>1</v>
      </c>
      <c r="I30" s="1">
        <f>IF(('[1]フォームの回答 1'!G30="そうだ"),1,(IF(('[1]フォームの回答 1'!G30="まぁそうだ"),2,(IF(('[1]フォームの回答 1'!G30="ややちがう"),3,(IF(('[1]フォームの回答 1'!G30="ちがう"),4,"")))))))</f>
        <v>1</v>
      </c>
      <c r="J30" s="1">
        <f>IF(('[1]フォームの回答 1'!H30="そうだ"),1,(IF(('[1]フォームの回答 1'!H30="まぁそうだ"),2,(IF(('[1]フォームの回答 1'!H30="ややちがう"),3,(IF(('[1]フォームの回答 1'!H30="ちがう"),4,"")))))))</f>
        <v>1</v>
      </c>
      <c r="K30" s="1">
        <f>IF(('[1]フォームの回答 1'!I30="そうだ"),1,(IF(('[1]フォームの回答 1'!I30="まぁそうだ"),2,(IF(('[1]フォームの回答 1'!I30="ややちがう"),3,(IF(('[1]フォームの回答 1'!I30="ちがう"),4,"")))))))</f>
        <v>4</v>
      </c>
      <c r="L30" s="1">
        <f>IF(('[1]フォームの回答 1'!J30="そうだ"),1,(IF(('[1]フォームの回答 1'!J30="まぁそうだ"),2,(IF(('[1]フォームの回答 1'!J30="ややちがう"),3,(IF(('[1]フォームの回答 1'!J30="ちがう"),4,"")))))))</f>
        <v>3</v>
      </c>
      <c r="M30" s="1">
        <f>IF(('[1]フォームの回答 1'!K30="そうだ"),1,(IF(('[1]フォームの回答 1'!K30="まぁそうだ"),2,(IF(('[1]フォームの回答 1'!K30="ややちがう"),3,(IF(('[1]フォームの回答 1'!K30="ちがう"),4,"")))))))</f>
        <v>2</v>
      </c>
      <c r="N30" s="1">
        <f>IF(('[1]フォームの回答 1'!L30="そうだ"),1,(IF(('[1]フォームの回答 1'!L30="まぁそうだ"),2,(IF(('[1]フォームの回答 1'!L30="ややちがう"),3,(IF(('[1]フォームの回答 1'!L30="ちがう"),4,"")))))))</f>
        <v>4</v>
      </c>
      <c r="O30" s="1">
        <f>IF(('[1]フォームの回答 1'!M30="そうだ"),1,(IF(('[1]フォームの回答 1'!M30="まぁそうだ"),2,(IF(('[1]フォームの回答 1'!M30="ややちがう"),3,(IF(('[1]フォームの回答 1'!M30="ちがう"),4,"")))))))</f>
        <v>2</v>
      </c>
      <c r="P30" s="1">
        <f>IF(('[1]フォームの回答 1'!N30="そうだ"),1,(IF(('[1]フォームの回答 1'!N30="まぁそうだ"),2,(IF(('[1]フォームの回答 1'!N30="ややちがう"),3,(IF(('[1]フォームの回答 1'!N30="ちがう"),4,"")))))))</f>
        <v>1</v>
      </c>
      <c r="Q30" s="1">
        <f>IF(('[1]フォームの回答 1'!O30="そうだ"),1,(IF(('[1]フォームの回答 1'!O30="まぁそうだ"),2,(IF(('[1]フォームの回答 1'!O30="ややちがう"),3,(IF(('[1]フォームの回答 1'!O30="ちがう"),4,"")))))))</f>
        <v>2</v>
      </c>
      <c r="R30" s="1">
        <f>IF(('[1]フォームの回答 1'!P30="そうだ"),1,(IF(('[1]フォームの回答 1'!P30="まぁそうだ"),2,(IF(('[1]フォームの回答 1'!P30="ややちがう"),3,(IF(('[1]フォームの回答 1'!P30="ちがう"),4,"")))))))</f>
        <v>4</v>
      </c>
      <c r="S30" s="1">
        <f>IF(('[1]フォームの回答 1'!Q30="そうだ"),1,(IF(('[1]フォームの回答 1'!Q30="まぁそうだ"),2,(IF(('[1]フォームの回答 1'!Q30="ややちがう"),3,(IF(('[1]フォームの回答 1'!Q30="ちがう"),4,"")))))))</f>
        <v>1</v>
      </c>
      <c r="T30" s="1">
        <f>IF(('[1]フォームの回答 1'!R30="そうだ"),1,(IF(('[1]フォームの回答 1'!R30="まぁそうだ"),2,(IF(('[1]フォームの回答 1'!R30="ややちがう"),3,(IF(('[1]フォームの回答 1'!R30="ちがう"),4,"")))))))</f>
        <v>4</v>
      </c>
      <c r="U30" s="1">
        <f>IF(('[1]フォームの回答 1'!S30="そうだ"),1,(IF(('[1]フォームの回答 1'!S30="まぁそうだ"),2,(IF(('[1]フォームの回答 1'!S30="ややちがう"),3,(IF(('[1]フォームの回答 1'!S30="ちがう"),4,"")))))))</f>
        <v>4</v>
      </c>
      <c r="V30" s="1">
        <f t="shared" si="18"/>
        <v>10</v>
      </c>
      <c r="W30" s="1">
        <f t="shared" si="0"/>
        <v>4</v>
      </c>
      <c r="X30" s="1">
        <f t="shared" si="19"/>
        <v>12</v>
      </c>
      <c r="Y30" s="1">
        <f t="shared" si="1"/>
        <v>5</v>
      </c>
      <c r="Z30" s="1">
        <f t="shared" si="20"/>
        <v>1</v>
      </c>
      <c r="AA30" s="1">
        <f t="shared" si="21"/>
        <v>2</v>
      </c>
      <c r="AB30" s="1">
        <f t="shared" si="22"/>
        <v>11</v>
      </c>
      <c r="AC30" s="1">
        <f t="shared" si="23"/>
        <v>5</v>
      </c>
      <c r="AD30" s="1">
        <f t="shared" si="24"/>
        <v>4</v>
      </c>
      <c r="AE30" s="1">
        <f t="shared" si="2"/>
        <v>5</v>
      </c>
      <c r="AF30" s="1">
        <f t="shared" si="25"/>
        <v>6</v>
      </c>
      <c r="AG30" s="1">
        <f t="shared" si="3"/>
        <v>4</v>
      </c>
      <c r="AH30" s="1">
        <f t="shared" si="26"/>
        <v>2</v>
      </c>
      <c r="AI30" s="1">
        <f t="shared" si="27"/>
        <v>4</v>
      </c>
      <c r="AJ30" s="1">
        <f t="shared" si="28"/>
        <v>1</v>
      </c>
      <c r="AK30" s="1">
        <f t="shared" si="29"/>
        <v>5</v>
      </c>
      <c r="AL30" s="1">
        <f t="shared" si="30"/>
        <v>1</v>
      </c>
      <c r="AM30" s="1">
        <f t="shared" si="31"/>
        <v>5</v>
      </c>
      <c r="AN30" s="1">
        <f>IF(('[1]フォームの回答 1'!T30="ほとんどなかった"),1,(IF(('[1]フォームの回答 1'!T30="ときどきあった"),2,(IF(('[1]フォームの回答 1'!T30="しばしばあった"),3,(IF(('[1]フォームの回答 1'!T30="ほとんどいつもあった"),4,"")))))))</f>
        <v>1</v>
      </c>
      <c r="AO30" s="1">
        <f>IF(('[1]フォームの回答 1'!U30="ほとんどなかった"),1,(IF(('[1]フォームの回答 1'!U30="ときどきあった"),2,(IF(('[1]フォームの回答 1'!U30="しばしばあった"),3,(IF(('[1]フォームの回答 1'!U30="ほとんどいつもあった"),4,"")))))))</f>
        <v>1</v>
      </c>
      <c r="AP30" s="1">
        <f>IF(('[1]フォームの回答 1'!V30="ほとんどなかった"),1,(IF(('[1]フォームの回答 1'!V30="ときどきあった"),2,(IF(('[1]フォームの回答 1'!V30="しばしばあった"),3,(IF(('[1]フォームの回答 1'!V30="ほとんどいつもあった"),4,"")))))))</f>
        <v>1</v>
      </c>
      <c r="AQ30" s="1">
        <f>IF(('[1]フォームの回答 1'!W30="ほとんどなかった"),1,(IF(('[1]フォームの回答 1'!W30="ときどきあった"),2,(IF(('[1]フォームの回答 1'!W30="しばしばあった"),3,(IF(('[1]フォームの回答 1'!W30="ほとんどいつもあった"),4,"")))))))</f>
        <v>4</v>
      </c>
      <c r="AR30" s="1">
        <f>IF(('[1]フォームの回答 1'!X30="ほとんどなかった"),1,(IF(('[1]フォームの回答 1'!X30="ときどきあった"),2,(IF(('[1]フォームの回答 1'!X30="しばしばあった"),3,(IF(('[1]フォームの回答 1'!X30="ほとんどいつもあった"),4,"")))))))</f>
        <v>4</v>
      </c>
      <c r="AS30" s="1">
        <f>IF(('[1]フォームの回答 1'!Y30="ほとんどなかった"),1,(IF(('[1]フォームの回答 1'!Y30="ときどきあった"),2,(IF(('[1]フォームの回答 1'!Y30="しばしばあった"),3,(IF(('[1]フォームの回答 1'!Y30="ほとんどいつもあった"),4,"")))))))</f>
        <v>4</v>
      </c>
      <c r="AT30" s="1">
        <f>IF(('[1]フォームの回答 1'!Z30="ほとんどなかった"),1,(IF(('[1]フォームの回答 1'!Z30="ときどきあった"),2,(IF(('[1]フォームの回答 1'!Z30="しばしばあった"),3,(IF(('[1]フォームの回答 1'!Z30="ほとんどいつもあった"),4,"")))))))</f>
        <v>2</v>
      </c>
      <c r="AU30" s="1">
        <f>IF(('[1]フォームの回答 1'!AA30="ほとんどなかった"),1,(IF(('[1]フォームの回答 1'!AA30="ときどきあった"),2,(IF(('[1]フォームの回答 1'!AA30="しばしばあった"),3,(IF(('[1]フォームの回答 1'!AA30="ほとんどいつもあった"),4,"")))))))</f>
        <v>2</v>
      </c>
      <c r="AV30" s="1">
        <f>IF(('[1]フォームの回答 1'!AB30="ほとんどなかった"),1,(IF(('[1]フォームの回答 1'!AB30="ときどきばあった"),2,(IF(('[1]フォームの回答 1'!AB30="しばしばあった"),3,(IF(('[1]フォームの回答 1'!AB30="ほとんどいつもあった"),4,"")))))))</f>
        <v>2</v>
      </c>
      <c r="AW30" s="1">
        <f>IF(('[1]フォームの回答 1'!AC30="ほとんどなかった"),1,(IF(('[1]フォームの回答 1'!AC30="ときどきあった"),2,(IF(('[1]フォームの回答 1'!AC30="しばしばあった"),3,(IF(('[1]フォームの回答 1'!AC30="ほとんどいつもあった"),4,"")))))))</f>
        <v>3</v>
      </c>
      <c r="AX30" s="1">
        <f>IF(('[1]フォームの回答 1'!AD30="ほとんどなかった"),1,(IF(('[1]フォームの回答 1'!AD30="ときどきあった"),2,(IF(('[1]フォームの回答 1'!AD30="しばしばあった"),3,(IF(('[1]フォームの回答 1'!AD30="ほとんどいつもあった"),4,"")))))))</f>
        <v>4</v>
      </c>
      <c r="AY30" s="1">
        <f>IF(('[1]フォームの回答 1'!AE30="ほとんどなかった"),1,(IF(('[1]フォームの回答 1'!AE30="ときどきあった"),2,(IF(('[1]フォームの回答 1'!AE30="しばしばあった"),3,(IF(('[1]フォームの回答 1'!AE30="ほとんどいつもあった"),4,"")))))))</f>
        <v>4</v>
      </c>
      <c r="AZ30" s="1">
        <f>IF(('[1]フォームの回答 1'!AF30="ほとんどなかった"),1,(IF(('[1]フォームの回答 1'!AF30="ときどきあった"),2,(IF(('[1]フォームの回答 1'!AF30="しばしばあった"),3,(IF(('[1]フォームの回答 1'!AF30="ほとんどいつもあった"),4,"")))))))</f>
        <v>4</v>
      </c>
      <c r="BA30" s="1">
        <f>IF(('[1]フォームの回答 1'!AG30="ほとんどなかった"),1,(IF(('[1]フォームの回答 1'!AG30="ときどきあった"),2,(IF(('[1]フォームの回答 1'!AG30="しばしばあった"),3,(IF(('[1]フォームの回答 1'!AG30="ほとんどいつもあった"),4,"")))))))</f>
        <v>4</v>
      </c>
      <c r="BB30" s="1">
        <f>IF(('[1]フォームの回答 1'!AH30="ほとんどなかった"),1,(IF(('[1]フォームの回答 1'!AH30="ときどきあった"),2,(IF(('[1]フォームの回答 1'!AH30="しばしばあった"),3,(IF(('[1]フォームの回答 1'!AH30="ほとんどいつもあった"),4,"")))))))</f>
        <v>4</v>
      </c>
      <c r="BC30" s="1">
        <f>IF(('[1]フォームの回答 1'!AI30="ほとんどなかった"),1,(IF(('[1]フォームの回答 1'!AI30="ときどきあった"),2,(IF(('[1]フォームの回答 1'!AI30="しばしばあった"),3,(IF(('[1]フォームの回答 1'!AI30="ほとんどいつもあった"),4,"")))))))</f>
        <v>4</v>
      </c>
      <c r="BD30" s="1">
        <f>IF(('[1]フォームの回答 1'!AJ30="ほとんどなかった"),1,(IF(('[1]フォームの回答 1'!AJ30="ときどきあった"),2,(IF(('[1]フォームの回答 1'!AJ30="しばしばあった"),3,(IF(('[1]フォームの回答 1'!AJ30="ほとんどいつもあった"),4,"")))))))</f>
        <v>2</v>
      </c>
      <c r="BE30" s="1">
        <f>IF(('[1]フォームの回答 1'!AK30="ほとんどなかった"),1,(IF(('[1]フォームの回答 1'!AK30="ときどきあった"),2,(IF(('[1]フォームの回答 1'!AK30="しばしばあった"),3,(IF(('[1]フォームの回答 1'!AK30="ほとんどいつもあった"),4,"")))))))</f>
        <v>4</v>
      </c>
      <c r="BF30" s="1">
        <f>IF(('[1]フォームの回答 1'!AL30="ほとんどなかった"),1,(IF(('[1]フォームの回答 1'!AL30="ときどきあった"),2,(IF(('[1]フォームの回答 1'!AL30="しばしばあった"),3,(IF(('[1]フォームの回答 1'!AL30="ほとんどいつもあった"),4,"")))))))</f>
        <v>1</v>
      </c>
      <c r="BG30" s="1">
        <f>IF(('[1]フォームの回答 1'!AM30="ほとんどなかった"),1,(IF(('[1]フォームの回答 1'!AM30="ときどきあった"),2,(IF(('[1]フォームの回答 1'!AM30="しばしばあった"),3,(IF(('[1]フォームの回答 1'!AM30="ほとんどいつもあった"),4,"")))))))</f>
        <v>2</v>
      </c>
      <c r="BH30" s="1">
        <f>IF(('[1]フォームの回答 1'!AN30="ほとんどなかった"),1,(IF(('[1]フォームの回答 1'!AN30="ときどきあった"),2,(IF(('[1]フォームの回答 1'!AN30="しばしばあった"),3,(IF(('[1]フォームの回答 1'!AN30="ほとんどいつもあった"),4,"")))))))</f>
        <v>1</v>
      </c>
      <c r="BI30" s="1">
        <f>IF(('[1]フォームの回答 1'!AO30="ほとんどなかった"),1,(IF(('[1]フォームの回答 1'!AO30="ときどきあった"),2,(IF(('[1]フォームの回答 1'!AO30="しばしばあった"),3,(IF(('[1]フォームの回答 1'!AO30="ほとんどいつもあった"),4,"")))))))</f>
        <v>3</v>
      </c>
      <c r="BJ30" s="1">
        <f>IF(('[1]フォームの回答 1'!AP30="ほとんどなかった"),1,(IF(('[1]フォームの回答 1'!AP30="ときどきあった"),2,(IF(('[1]フォームの回答 1'!AP30="しばしばあった"),3,(IF(('[1]フォームの回答 1'!AP30="ほとんどいつもあった"),4,"")))))))</f>
        <v>1</v>
      </c>
      <c r="BK30" s="1">
        <f>IF(('[1]フォームの回答 1'!AQ30="ほとんどなかった"),1,(IF(('[1]フォームの回答 1'!AQ30="ときどきあった"),2,(IF(('[1]フォームの回答 1'!AQ30="しばしばあった"),3,(IF(('[1]フォームの回答 1'!AQ30="ほとんどいつもあった"),4,"")))))))</f>
        <v>1</v>
      </c>
      <c r="BL30" s="1">
        <f>IF(('[1]フォームの回答 1'!AR30="ほとんどなかった"),1,(IF(('[1]フォームの回答 1'!AR30="ときどきあった"),2,(IF(('[1]フォームの回答 1'!AR30="しばしばあった"),3,(IF(('[1]フォームの回答 1'!AR30="ほとんどいつもあった"),4,"")))))))</f>
        <v>2</v>
      </c>
      <c r="BM30" s="1">
        <f>IF(('[1]フォームの回答 1'!AS30="ほとんどなかった"),1,(IF(('[1]フォームの回答 1'!AS30="ときどきあった"),2,(IF(('[1]フォームの回答 1'!AS30="しばしばあった"),3,(IF(('[1]フォームの回答 1'!AS30="ほとんどいつもあった"),4,"")))))))</f>
        <v>3</v>
      </c>
      <c r="BN30" s="1">
        <f>IF(('[1]フォームの回答 1'!AT30="ほとんどなかった"),1,(IF(('[1]フォームの回答 1'!AT30="ときどきあった"),2,(IF(('[1]フォームの回答 1'!AT30="しばしばあった"),3,(IF(('[1]フォームの回答 1'!AT30="ほとんどいつもあった"),4,"")))))))</f>
        <v>2</v>
      </c>
      <c r="BO30" s="1">
        <f>IF(('[1]フォームの回答 1'!AU30="ほとんどなかった"),1,(IF(('[1]フォームの回答 1'!AU30="ときどきあった"),2,(IF(('[1]フォームの回答 1'!AU30="しばしばあった"),3,(IF(('[1]フォームの回答 1'!AU30="ほとんどいつもあった"),4,"")))))))</f>
        <v>3</v>
      </c>
      <c r="BP30" s="1">
        <f>IF(('[1]フォームの回答 1'!AV30="ほとんどなかった"),1,(IF(('[1]フォームの回答 1'!AV30="ときどきあった"),2,(IF(('[1]フォームの回答 1'!AV30="しばしばあった"),3,(IF(('[1]フォームの回答 1'!AV30="ほとんどいつもあった"),4,"")))))))</f>
        <v>3</v>
      </c>
      <c r="BQ30" s="1">
        <f t="shared" si="32"/>
        <v>3</v>
      </c>
      <c r="BR30" s="1">
        <f t="shared" si="33"/>
        <v>5</v>
      </c>
      <c r="BS30" s="1">
        <f t="shared" si="34"/>
        <v>12</v>
      </c>
      <c r="BT30" s="1">
        <f t="shared" si="4"/>
        <v>5</v>
      </c>
      <c r="BU30" s="1">
        <f t="shared" si="5"/>
        <v>6</v>
      </c>
      <c r="BV30" s="1">
        <f t="shared" si="6"/>
        <v>3</v>
      </c>
      <c r="BW30" s="1">
        <f t="shared" si="35"/>
        <v>11</v>
      </c>
      <c r="BX30" s="1">
        <f t="shared" si="7"/>
        <v>5</v>
      </c>
      <c r="BY30" s="1">
        <f t="shared" si="36"/>
        <v>22</v>
      </c>
      <c r="BZ30" s="1">
        <f t="shared" si="8"/>
        <v>5</v>
      </c>
      <c r="CA30" s="1">
        <f t="shared" si="37"/>
        <v>22</v>
      </c>
      <c r="CB30" s="1">
        <f t="shared" si="9"/>
        <v>4</v>
      </c>
      <c r="CC30" s="1">
        <f>IF(('[1]フォームの回答 1'!AW30="非常に"),1,(IF(('[1]フォームの回答 1'!AW30="かなり"),2,(IF(('[1]フォームの回答 1'!AW30="多少"),3,(IF(('[1]フォームの回答 1'!AW30="全くない"),4,"")))))))</f>
        <v>4</v>
      </c>
      <c r="CD30" s="1">
        <f>IF(('[1]フォームの回答 1'!AX30="非常に"),1,(IF(('[1]フォームの回答 1'!AX30="かなり"),2,(IF(('[1]フォームの回答 1'!AX30="多少"),3,(IF(('[1]フォームの回答 1'!AX30="全くない"),4,"")))))))</f>
        <v>4</v>
      </c>
      <c r="CE30" s="1">
        <f>IF(('[1]フォームの回答 1'!AY30="非常に"),1,(IF(('[1]フォームの回答 1'!AY30="かなり"),2,(IF(('[1]フォームの回答 1'!AY30="多少"),3,(IF(('[1]フォームの回答 1'!AY30="全くない"),4,"")))))))</f>
        <v>4</v>
      </c>
      <c r="CF30" s="1">
        <f>IF(('[1]フォームの回答 1'!AZ30="非常に"),1,(IF(('[1]フォームの回答 1'!AZ30="かなり"),2,(IF(('[1]フォームの回答 1'!AZ30="多少"),3,(IF(('[1]フォームの回答 1'!AZ30="全くない"),4,"")))))))</f>
        <v>4</v>
      </c>
      <c r="CG30" s="1">
        <f>IF(('[1]フォームの回答 1'!BA30="非常に"),1,(IF(('[1]フォームの回答 1'!BA30="かなり"),2,(IF(('[1]フォームの回答 1'!BA30="多少"),3,(IF(('[1]フォームの回答 1'!BA30="全くない"),4,"")))))))</f>
        <v>4</v>
      </c>
      <c r="CH30" s="1">
        <f>IF(('[1]フォームの回答 1'!BB30="非常に"),1,(IF(('[1]フォームの回答 1'!BB30="かなり"),2,(IF(('[1]フォームの回答 1'!BB30="多少"),3,(IF(('[1]フォームの回答 1'!BB30="全くない"),4,"")))))))</f>
        <v>4</v>
      </c>
      <c r="CI30" s="1">
        <f>IF(('[1]フォームの回答 1'!BC30="非常に"),1,(IF(('[1]フォームの回答 1'!BC30="かなり"),2,(IF(('[1]フォームの回答 1'!BC30="多少"),3,(IF(('[1]フォームの回答 1'!BC30="全くない"),4,"")))))))</f>
        <v>4</v>
      </c>
      <c r="CJ30" s="1">
        <f>IF(('[1]フォームの回答 1'!BD30="非常に"),1,(IF(('[1]フォームの回答 1'!BD30="かなり"),2,(IF(('[1]フォームの回答 1'!BD30="多少"),3,(IF(('[1]フォームの回答 1'!BD30="全くない"),4,"")))))))</f>
        <v>4</v>
      </c>
      <c r="CK30" s="1">
        <f>IF(('[1]フォームの回答 1'!BE30="非常に"),1,(IF(('[1]フォームの回答 1'!BE30="かなり"),2,(IF(('[1]フォームの回答 1'!BE30="多少"),3,(IF(('[1]フォームの回答 1'!BE30="全くない"),4,"")))))))</f>
        <v>4</v>
      </c>
      <c r="CL30" s="1">
        <f>IF(('[1]フォームの回答 1'!BF30="満足"),1,(IF(('[1]フォームの回答 1'!BF30="まぁ満足"),2,(IF(('[1]フォームの回答 1'!BF30="やや満足"),3,(IF(('[1]フォームの回答 1'!BF30="不満足"),4,"")))))))</f>
        <v>4</v>
      </c>
      <c r="CM30" s="1">
        <f>IF(('[1]フォームの回答 1'!BG30="満足"),1,(IF(('[1]フォームの回答 1'!BG30="まぁ満足"),2,(IF(('[1]フォームの回答 1'!BG30="やや満足"),3,(IF(('[1]フォームの回答 1'!BG30="不満足"),4,"")))))))</f>
        <v>2</v>
      </c>
      <c r="CN30" s="1">
        <f t="shared" si="38"/>
        <v>3</v>
      </c>
      <c r="CO30" s="1">
        <f t="shared" si="10"/>
        <v>5</v>
      </c>
      <c r="CP30" s="1">
        <f t="shared" si="39"/>
        <v>3</v>
      </c>
      <c r="CQ30" s="1">
        <f t="shared" si="11"/>
        <v>5</v>
      </c>
      <c r="CR30" s="1">
        <f t="shared" si="40"/>
        <v>3</v>
      </c>
      <c r="CS30" s="1">
        <f t="shared" si="41"/>
        <v>5</v>
      </c>
      <c r="CT30" s="1">
        <f t="shared" si="42"/>
        <v>4</v>
      </c>
      <c r="CU30" s="1">
        <f t="shared" si="12"/>
        <v>4</v>
      </c>
      <c r="CV30" s="1">
        <f t="shared" si="13"/>
        <v>27</v>
      </c>
      <c r="CW30" s="1">
        <f t="shared" si="14"/>
        <v>39</v>
      </c>
      <c r="CX30" s="1">
        <f t="shared" si="15"/>
        <v>15</v>
      </c>
      <c r="CY30" s="29" t="str">
        <f t="shared" si="43"/>
        <v>高</v>
      </c>
      <c r="CZ30" s="1">
        <v>0.4</v>
      </c>
      <c r="DA30" s="2">
        <f t="shared" si="16"/>
        <v>0.6</v>
      </c>
      <c r="DB30" s="1">
        <f>IF(('[1]フォームの回答 1'!BI30="いつもより寝つきは良い"),0,(IF(('[1]フォームの回答 1'!BI30="いつもより少し時間がかかった"),1,(IF(('[1]フォームの回答 1'!BI30="いつもよりかなり時間がかかった"),2,(IF(('[1]フォームの回答 1'!BI30="いつもより非常に時間がかかった、あるいは全く眠れなかった"),3,"")))))))</f>
        <v>1</v>
      </c>
      <c r="DC30" s="1">
        <f>IF(('[1]フォームの回答 1'!BJ30="問題になるほどのことはなかった"),0,(IF(('[1]フォームの回答 1'!BJ30="少し困ることがある"),1,(IF(('[1]フォームの回答 1'!BJ30="かなり困っている"),2,(IF(('[1]フォームの回答 1'!BJ30="深刻な状態、あるいは全く眠れなかった"),3,"")))))))</f>
        <v>0</v>
      </c>
      <c r="DD30" s="1">
        <f>IF(('[1]フォームの回答 1'!BK30="そのようなことはなかった"),0,(IF(('[1]フォームの回答 1'!BK30="少し早かった"),1,(IF(('[1]フォームの回答 1'!BK30="かなり早かった"),2,(IF(('[1]フォームの回答 1'!BK30="非常に早かった、あるいは全く眠れなかった"),3,"")))))))</f>
        <v>0</v>
      </c>
      <c r="DE30" s="1">
        <f>IF(('[1]フォームの回答 1'!BL30="十分である"),0,(IF(('[1]フォームの回答 1'!BL30="少し足りない"),1,(IF(('[1]フォームの回答 1'!BL30="かなり足りない"),2,(IF(('[1]フォームの回答 1'!BL30="全く足りない、あるいは全く眠れなかった"),3,"")))))))</f>
        <v>3</v>
      </c>
      <c r="DF30" s="1">
        <f>IF(('[1]フォームの回答 1'!BM30="満足している"),0,(IF(('[1]フォームの回答 1'!BM30="少し不満である"),1,(IF(('[1]フォームの回答 1'!BM30="かなり不満である"),2,(IF(('[1]フォームの回答 1'!BM30="非常に不満である、あるいは全く眠れなかった"),3,"")))))))</f>
        <v>3</v>
      </c>
      <c r="DG30" s="1">
        <f>IF(('[1]フォームの回答 1'!BN30="いつもどおり"),0,(IF(('[1]フォームの回答 1'!BN30="少し滅入った"),1,(IF(('[1]フォームの回答 1'!BN30="かなり滅入った"),2,(IF(('[1]フォームの回答 1'!BN30="非常に滅入った"),3,"")))))))</f>
        <v>2</v>
      </c>
      <c r="DH30" s="1">
        <f>IF(('[1]フォームの回答 1'!BO30="いつもどおり"),0,(IF(('[1]フォームの回答 1'!BO30="少し低下した"),1,(IF(('[1]フォームの回答 1'!BO30="かなり低下した"),2,(IF(('[1]フォームの回答 1'!BO30="非常に低下した"),3,"")))))))</f>
        <v>3</v>
      </c>
      <c r="DI30" s="1">
        <f>IF(('[1]フォームの回答 1'!BP30="全くなかった"),0,(IF(('[1]フォームの回答 1'!BP30="少しあった"),1,(IF(('[1]フォームの回答 1'!BP30="かなりあった"),2,(IF(('[1]フォームの回答 1'!BP30="激しかった"),3,"")))))))</f>
        <v>2</v>
      </c>
      <c r="DJ30">
        <f t="shared" si="44"/>
        <v>14</v>
      </c>
      <c r="DK30" s="4" t="str">
        <f t="shared" si="45"/>
        <v>高</v>
      </c>
      <c r="DL30" s="5">
        <v>7.6</v>
      </c>
      <c r="DM30" s="5">
        <v>10.4</v>
      </c>
      <c r="DN30" s="5">
        <v>9.9</v>
      </c>
      <c r="DO30" s="5">
        <v>27.9</v>
      </c>
      <c r="DP30" s="5" t="s">
        <v>200</v>
      </c>
      <c r="DQ30" s="5"/>
      <c r="DR30" s="43">
        <v>2.7160000000000002</v>
      </c>
      <c r="DS30" s="43">
        <v>213.17</v>
      </c>
      <c r="DT30" s="5">
        <v>1.27</v>
      </c>
      <c r="DU30" s="5">
        <v>64</v>
      </c>
      <c r="DV30" s="5" t="s">
        <v>115</v>
      </c>
    </row>
    <row r="31" spans="1:126" ht="14">
      <c r="A31" s="1">
        <v>322</v>
      </c>
      <c r="B31" s="24" t="s">
        <v>139</v>
      </c>
      <c r="C31" s="24">
        <v>29883</v>
      </c>
      <c r="D31" s="38">
        <f t="shared" si="17"/>
        <v>42</v>
      </c>
      <c r="E31" s="1">
        <f>IF(('[1]フォームの回答 1'!C31="そうだ"),1,(IF(('[1]フォームの回答 1'!C31="まぁそうだ"),2,(IF(('[1]フォームの回答 1'!C31="ややちがう"),3,(IF(('[1]フォームの回答 1'!C31="ちがう"),4,"")))))))</f>
        <v>3</v>
      </c>
      <c r="F31" s="1">
        <f>IF(('[1]フォームの回答 1'!D31="そうだ"),1,(IF(('[1]フォームの回答 1'!D31="まぁそうだ"),2,(IF(('[1]フォームの回答 1'!D31="ややちがう"),3,(IF(('[1]フォームの回答 1'!D31="ちがう"),4,"")))))))</f>
        <v>2</v>
      </c>
      <c r="G31" s="1">
        <f>IF(('[1]フォームの回答 1'!E31="そうだ"),1,(IF(('[1]フォームの回答 1'!E31="まぁそうだ"),2,(IF(('[1]フォームの回答 1'!E31="ややちがう"),3,(IF(('[1]フォームの回答 1'!E31="ちがう"),4,"")))))))</f>
        <v>2</v>
      </c>
      <c r="H31" s="1">
        <f>IF(('[1]フォームの回答 1'!F31="そうだ"),1,(IF(('[1]フォームの回答 1'!F31="まぁそうだ"),2,(IF(('[1]フォームの回答 1'!F31="ややちがう"),3,(IF(('[1]フォームの回答 1'!F31="ちがう"),4,"")))))))</f>
        <v>2</v>
      </c>
      <c r="I31" s="1">
        <f>IF(('[1]フォームの回答 1'!G31="そうだ"),1,(IF(('[1]フォームの回答 1'!G31="まぁそうだ"),2,(IF(('[1]フォームの回答 1'!G31="ややちがう"),3,(IF(('[1]フォームの回答 1'!G31="ちがう"),4,"")))))))</f>
        <v>1</v>
      </c>
      <c r="J31" s="1">
        <f>IF(('[1]フォームの回答 1'!H31="そうだ"),1,(IF(('[1]フォームの回答 1'!H31="まぁそうだ"),2,(IF(('[1]フォームの回答 1'!H31="ややちがう"),3,(IF(('[1]フォームの回答 1'!H31="ちがう"),4,"")))))))</f>
        <v>1</v>
      </c>
      <c r="K31" s="1">
        <f>IF(('[1]フォームの回答 1'!I31="そうだ"),1,(IF(('[1]フォームの回答 1'!I31="まぁそうだ"),2,(IF(('[1]フォームの回答 1'!I31="ややちがう"),3,(IF(('[1]フォームの回答 1'!I31="ちがう"),4,"")))))))</f>
        <v>4</v>
      </c>
      <c r="L31" s="1">
        <f>IF(('[1]フォームの回答 1'!J31="そうだ"),1,(IF(('[1]フォームの回答 1'!J31="まぁそうだ"),2,(IF(('[1]フォームの回答 1'!J31="ややちがう"),3,(IF(('[1]フォームの回答 1'!J31="ちがう"),4,"")))))))</f>
        <v>2</v>
      </c>
      <c r="M31" s="1">
        <f>IF(('[1]フォームの回答 1'!K31="そうだ"),1,(IF(('[1]フォームの回答 1'!K31="まぁそうだ"),2,(IF(('[1]フォームの回答 1'!K31="ややちがう"),3,(IF(('[1]フォームの回答 1'!K31="ちがう"),4,"")))))))</f>
        <v>2</v>
      </c>
      <c r="N31" s="1">
        <f>IF(('[1]フォームの回答 1'!L31="そうだ"),1,(IF(('[1]フォームの回答 1'!L31="まぁそうだ"),2,(IF(('[1]フォームの回答 1'!L31="ややちがう"),3,(IF(('[1]フォームの回答 1'!L31="ちがう"),4,"")))))))</f>
        <v>2</v>
      </c>
      <c r="O31" s="1">
        <f>IF(('[1]フォームの回答 1'!M31="そうだ"),1,(IF(('[1]フォームの回答 1'!M31="まぁそうだ"),2,(IF(('[1]フォームの回答 1'!M31="ややちがう"),3,(IF(('[1]フォームの回答 1'!M31="ちがう"),4,"")))))))</f>
        <v>2</v>
      </c>
      <c r="P31" s="1">
        <f>IF(('[1]フォームの回答 1'!N31="そうだ"),1,(IF(('[1]フォームの回答 1'!N31="まぁそうだ"),2,(IF(('[1]フォームの回答 1'!N31="ややちがう"),3,(IF(('[1]フォームの回答 1'!N31="ちがう"),4,"")))))))</f>
        <v>3</v>
      </c>
      <c r="Q31" s="1">
        <f>IF(('[1]フォームの回答 1'!O31="そうだ"),1,(IF(('[1]フォームの回答 1'!O31="まぁそうだ"),2,(IF(('[1]フォームの回答 1'!O31="ややちがう"),3,(IF(('[1]フォームの回答 1'!O31="ちがう"),4,"")))))))</f>
        <v>4</v>
      </c>
      <c r="R31" s="1">
        <f>IF(('[1]フォームの回答 1'!P31="そうだ"),1,(IF(('[1]フォームの回答 1'!P31="まぁそうだ"),2,(IF(('[1]フォームの回答 1'!P31="ややちがう"),3,(IF(('[1]フォームの回答 1'!P31="ちがう"),4,"")))))))</f>
        <v>1</v>
      </c>
      <c r="S31" s="1">
        <f>IF(('[1]フォームの回答 1'!Q31="そうだ"),1,(IF(('[1]フォームの回答 1'!Q31="まぁそうだ"),2,(IF(('[1]フォームの回答 1'!Q31="ややちがう"),3,(IF(('[1]フォームの回答 1'!Q31="ちがう"),4,"")))))))</f>
        <v>3</v>
      </c>
      <c r="T31" s="1">
        <f>IF(('[1]フォームの回答 1'!R31="そうだ"),1,(IF(('[1]フォームの回答 1'!R31="まぁそうだ"),2,(IF(('[1]フォームの回答 1'!R31="ややちがう"),3,(IF(('[1]フォームの回答 1'!R31="ちがう"),4,"")))))))</f>
        <v>4</v>
      </c>
      <c r="U31" s="1">
        <f>IF(('[1]フォームの回答 1'!S31="そうだ"),1,(IF(('[1]フォームの回答 1'!S31="まぁそうだ"),2,(IF(('[1]フォームの回答 1'!S31="ややちがう"),3,(IF(('[1]フォームの回答 1'!S31="ちがう"),4,"")))))))</f>
        <v>3</v>
      </c>
      <c r="V31" s="1">
        <f t="shared" si="18"/>
        <v>8</v>
      </c>
      <c r="W31" s="1">
        <f t="shared" si="0"/>
        <v>3</v>
      </c>
      <c r="X31" s="1">
        <f t="shared" si="19"/>
        <v>11</v>
      </c>
      <c r="Y31" s="1">
        <f t="shared" si="1"/>
        <v>4</v>
      </c>
      <c r="Z31" s="1">
        <f t="shared" si="20"/>
        <v>1</v>
      </c>
      <c r="AA31" s="1">
        <f t="shared" si="21"/>
        <v>2</v>
      </c>
      <c r="AB31" s="1">
        <f t="shared" si="22"/>
        <v>4</v>
      </c>
      <c r="AC31" s="1">
        <f t="shared" si="23"/>
        <v>2</v>
      </c>
      <c r="AD31" s="1">
        <f t="shared" si="24"/>
        <v>2</v>
      </c>
      <c r="AE31" s="1">
        <f t="shared" si="2"/>
        <v>3</v>
      </c>
      <c r="AF31" s="1">
        <f t="shared" si="25"/>
        <v>9</v>
      </c>
      <c r="AG31" s="1">
        <f t="shared" si="3"/>
        <v>2</v>
      </c>
      <c r="AH31" s="1">
        <f t="shared" si="26"/>
        <v>2</v>
      </c>
      <c r="AI31" s="1">
        <f t="shared" si="27"/>
        <v>4</v>
      </c>
      <c r="AJ31" s="1">
        <f t="shared" si="28"/>
        <v>1</v>
      </c>
      <c r="AK31" s="1">
        <f t="shared" si="29"/>
        <v>5</v>
      </c>
      <c r="AL31" s="1">
        <f t="shared" si="30"/>
        <v>2</v>
      </c>
      <c r="AM31" s="1">
        <f t="shared" si="31"/>
        <v>4</v>
      </c>
      <c r="AN31" s="1">
        <f>IF(('[1]フォームの回答 1'!T31="ほとんどなかった"),1,(IF(('[1]フォームの回答 1'!T31="ときどきあった"),2,(IF(('[1]フォームの回答 1'!T31="しばしばあった"),3,(IF(('[1]フォームの回答 1'!T31="ほとんどいつもあった"),4,"")))))))</f>
        <v>1</v>
      </c>
      <c r="AO31" s="1">
        <f>IF(('[1]フォームの回答 1'!U31="ほとんどなかった"),1,(IF(('[1]フォームの回答 1'!U31="ときどきあった"),2,(IF(('[1]フォームの回答 1'!U31="しばしばあった"),3,(IF(('[1]フォームの回答 1'!U31="ほとんどいつもあった"),4,"")))))))</f>
        <v>1</v>
      </c>
      <c r="AP31" s="1">
        <f>IF(('[1]フォームの回答 1'!V31="ほとんどなかった"),1,(IF(('[1]フォームの回答 1'!V31="ときどきあった"),2,(IF(('[1]フォームの回答 1'!V31="しばしばあった"),3,(IF(('[1]フォームの回答 1'!V31="ほとんどいつもあった"),4,"")))))))</f>
        <v>1</v>
      </c>
      <c r="AQ31" s="1">
        <f>IF(('[1]フォームの回答 1'!W31="ほとんどなかった"),1,(IF(('[1]フォームの回答 1'!W31="ときどきあった"),2,(IF(('[1]フォームの回答 1'!W31="しばしばあった"),3,(IF(('[1]フォームの回答 1'!W31="ほとんどいつもあった"),4,"")))))))</f>
        <v>2</v>
      </c>
      <c r="AR31" s="1">
        <f>IF(('[1]フォームの回答 1'!X31="ほとんどなかった"),1,(IF(('[1]フォームの回答 1'!X31="ときどきあった"),2,(IF(('[1]フォームの回答 1'!X31="しばしばあった"),3,(IF(('[1]フォームの回答 1'!X31="ほとんどいつもあった"),4,"")))))))</f>
        <v>2</v>
      </c>
      <c r="AS31" s="1">
        <f>IF(('[1]フォームの回答 1'!Y31="ほとんどなかった"),1,(IF(('[1]フォームの回答 1'!Y31="ときどきあった"),2,(IF(('[1]フォームの回答 1'!Y31="しばしばあった"),3,(IF(('[1]フォームの回答 1'!Y31="ほとんどいつもあった"),4,"")))))))</f>
        <v>2</v>
      </c>
      <c r="AT31" s="1">
        <f>IF(('[1]フォームの回答 1'!Z31="ほとんどなかった"),1,(IF(('[1]フォームの回答 1'!Z31="ときどきあった"),2,(IF(('[1]フォームの回答 1'!Z31="しばしばあった"),3,(IF(('[1]フォームの回答 1'!Z31="ほとんどいつもあった"),4,"")))))))</f>
        <v>3</v>
      </c>
      <c r="AU31" s="1">
        <f>IF(('[1]フォームの回答 1'!AA31="ほとんどなかった"),1,(IF(('[1]フォームの回答 1'!AA31="ときどきあった"),2,(IF(('[1]フォームの回答 1'!AA31="しばしばあった"),3,(IF(('[1]フォームの回答 1'!AA31="ほとんどいつもあった"),4,"")))))))</f>
        <v>3</v>
      </c>
      <c r="AV31" s="1">
        <f>IF(('[1]フォームの回答 1'!AB31="ほとんどなかった"),1,(IF(('[1]フォームの回答 1'!AB31="ときどきばあった"),2,(IF(('[1]フォームの回答 1'!AB31="しばしばあった"),3,(IF(('[1]フォームの回答 1'!AB31="ほとんどいつもあった"),4,"")))))))</f>
        <v>3</v>
      </c>
      <c r="AW31" s="1">
        <f>IF(('[1]フォームの回答 1'!AC31="ほとんどなかった"),1,(IF(('[1]フォームの回答 1'!AC31="ときどきあった"),2,(IF(('[1]フォームの回答 1'!AC31="しばしばあった"),3,(IF(('[1]フォームの回答 1'!AC31="ほとんどいつもあった"),4,"")))))))</f>
        <v>2</v>
      </c>
      <c r="AX31" s="1">
        <f>IF(('[1]フォームの回答 1'!AD31="ほとんどなかった"),1,(IF(('[1]フォームの回答 1'!AD31="ときどきあった"),2,(IF(('[1]フォームの回答 1'!AD31="しばしばあった"),3,(IF(('[1]フォームの回答 1'!AD31="ほとんどいつもあった"),4,"")))))))</f>
        <v>4</v>
      </c>
      <c r="AY31" s="1">
        <f>IF(('[1]フォームの回答 1'!AE31="ほとんどなかった"),1,(IF(('[1]フォームの回答 1'!AE31="ときどきあった"),2,(IF(('[1]フォームの回答 1'!AE31="しばしばあった"),3,(IF(('[1]フォームの回答 1'!AE31="ほとんどいつもあった"),4,"")))))))</f>
        <v>3</v>
      </c>
      <c r="AZ31" s="1">
        <f>IF(('[1]フォームの回答 1'!AF31="ほとんどなかった"),1,(IF(('[1]フォームの回答 1'!AF31="ときどきあった"),2,(IF(('[1]フォームの回答 1'!AF31="しばしばあった"),3,(IF(('[1]フォームの回答 1'!AF31="ほとんどいつもあった"),4,"")))))))</f>
        <v>4</v>
      </c>
      <c r="BA31" s="1">
        <f>IF(('[1]フォームの回答 1'!AG31="ほとんどなかった"),1,(IF(('[1]フォームの回答 1'!AG31="ときどきあった"),2,(IF(('[1]フォームの回答 1'!AG31="しばしばあった"),3,(IF(('[1]フォームの回答 1'!AG31="ほとんどいつもあった"),4,"")))))))</f>
        <v>3</v>
      </c>
      <c r="BB31" s="1">
        <f>IF(('[1]フォームの回答 1'!AH31="ほとんどなかった"),1,(IF(('[1]フォームの回答 1'!AH31="ときどきあった"),2,(IF(('[1]フォームの回答 1'!AH31="しばしばあった"),3,(IF(('[1]フォームの回答 1'!AH31="ほとんどいつもあった"),4,"")))))))</f>
        <v>2</v>
      </c>
      <c r="BC31" s="1">
        <f>IF(('[1]フォームの回答 1'!AI31="ほとんどなかった"),1,(IF(('[1]フォームの回答 1'!AI31="ときどきあった"),2,(IF(('[1]フォームの回答 1'!AI31="しばしばあった"),3,(IF(('[1]フォームの回答 1'!AI31="ほとんどいつもあった"),4,"")))))))</f>
        <v>3</v>
      </c>
      <c r="BD31" s="1">
        <f>IF(('[1]フォームの回答 1'!AJ31="ほとんどなかった"),1,(IF(('[1]フォームの回答 1'!AJ31="ときどきあった"),2,(IF(('[1]フォームの回答 1'!AJ31="しばしばあった"),3,(IF(('[1]フォームの回答 1'!AJ31="ほとんどいつもあった"),4,"")))))))</f>
        <v>3</v>
      </c>
      <c r="BE31" s="1">
        <f>IF(('[1]フォームの回答 1'!AK31="ほとんどなかった"),1,(IF(('[1]フォームの回答 1'!AK31="ときどきあった"),2,(IF(('[1]フォームの回答 1'!AK31="しばしばあった"),3,(IF(('[1]フォームの回答 1'!AK31="ほとんどいつもあった"),4,"")))))))</f>
        <v>3</v>
      </c>
      <c r="BF31" s="1">
        <f>IF(('[1]フォームの回答 1'!AL31="ほとんどなかった"),1,(IF(('[1]フォームの回答 1'!AL31="ときどきあった"),2,(IF(('[1]フォームの回答 1'!AL31="しばしばあった"),3,(IF(('[1]フォームの回答 1'!AL31="ほとんどいつもあった"),4,"")))))))</f>
        <v>1</v>
      </c>
      <c r="BG31" s="1">
        <f>IF(('[1]フォームの回答 1'!AM31="ほとんどなかった"),1,(IF(('[1]フォームの回答 1'!AM31="ときどきあった"),2,(IF(('[1]フォームの回答 1'!AM31="しばしばあった"),3,(IF(('[1]フォームの回答 1'!AM31="ほとんどいつもあった"),4,"")))))))</f>
        <v>1</v>
      </c>
      <c r="BH31" s="1">
        <f>IF(('[1]フォームの回答 1'!AN31="ほとんどなかった"),1,(IF(('[1]フォームの回答 1'!AN31="ときどきあった"),2,(IF(('[1]フォームの回答 1'!AN31="しばしばあった"),3,(IF(('[1]フォームの回答 1'!AN31="ほとんどいつもあった"),4,"")))))))</f>
        <v>2</v>
      </c>
      <c r="BI31" s="1">
        <f>IF(('[1]フォームの回答 1'!AO31="ほとんどなかった"),1,(IF(('[1]フォームの回答 1'!AO31="ときどきあった"),2,(IF(('[1]フォームの回答 1'!AO31="しばしばあった"),3,(IF(('[1]フォームの回答 1'!AO31="ほとんどいつもあった"),4,"")))))))</f>
        <v>3</v>
      </c>
      <c r="BJ31" s="1">
        <f>IF(('[1]フォームの回答 1'!AP31="ほとんどなかった"),1,(IF(('[1]フォームの回答 1'!AP31="ときどきあった"),2,(IF(('[1]フォームの回答 1'!AP31="しばしばあった"),3,(IF(('[1]フォームの回答 1'!AP31="ほとんどいつもあった"),4,"")))))))</f>
        <v>1</v>
      </c>
      <c r="BK31" s="1">
        <f>IF(('[1]フォームの回答 1'!AQ31="ほとんどなかった"),1,(IF(('[1]フォームの回答 1'!AQ31="ときどきあった"),2,(IF(('[1]フォームの回答 1'!AQ31="しばしばあった"),3,(IF(('[1]フォームの回答 1'!AQ31="ほとんどいつもあった"),4,"")))))))</f>
        <v>3</v>
      </c>
      <c r="BL31" s="1">
        <f>IF(('[1]フォームの回答 1'!AR31="ほとんどなかった"),1,(IF(('[1]フォームの回答 1'!AR31="ときどきあった"),2,(IF(('[1]フォームの回答 1'!AR31="しばしばあった"),3,(IF(('[1]フォームの回答 1'!AR31="ほとんどいつもあった"),4,"")))))))</f>
        <v>1</v>
      </c>
      <c r="BM31" s="1">
        <f>IF(('[1]フォームの回答 1'!AS31="ほとんどなかった"),1,(IF(('[1]フォームの回答 1'!AS31="ときどきあった"),2,(IF(('[1]フォームの回答 1'!AS31="しばしばあった"),3,(IF(('[1]フォームの回答 1'!AS31="ほとんどいつもあった"),4,"")))))))</f>
        <v>1</v>
      </c>
      <c r="BN31" s="1">
        <f>IF(('[1]フォームの回答 1'!AT31="ほとんどなかった"),1,(IF(('[1]フォームの回答 1'!AT31="ときどきあった"),2,(IF(('[1]フォームの回答 1'!AT31="しばしばあった"),3,(IF(('[1]フォームの回答 1'!AT31="ほとんどいつもあった"),4,"")))))))</f>
        <v>3</v>
      </c>
      <c r="BO31" s="1">
        <f>IF(('[1]フォームの回答 1'!AU31="ほとんどなかった"),1,(IF(('[1]フォームの回答 1'!AU31="ときどきあった"),2,(IF(('[1]フォームの回答 1'!AU31="しばしばあった"),3,(IF(('[1]フォームの回答 1'!AU31="ほとんどいつもあった"),4,"")))))))</f>
        <v>1</v>
      </c>
      <c r="BP31" s="1">
        <f>IF(('[1]フォームの回答 1'!AV31="ほとんどなかった"),1,(IF(('[1]フォームの回答 1'!AV31="ときどきあった"),2,(IF(('[1]フォームの回答 1'!AV31="しばしばあった"),3,(IF(('[1]フォームの回答 1'!AV31="ほとんどいつもあった"),4,"")))))))</f>
        <v>2</v>
      </c>
      <c r="BQ31" s="1">
        <f t="shared" si="32"/>
        <v>3</v>
      </c>
      <c r="BR31" s="1">
        <f t="shared" si="33"/>
        <v>5</v>
      </c>
      <c r="BS31" s="1">
        <f t="shared" si="34"/>
        <v>6</v>
      </c>
      <c r="BT31" s="1">
        <f t="shared" si="4"/>
        <v>3</v>
      </c>
      <c r="BU31" s="1">
        <f t="shared" si="5"/>
        <v>9</v>
      </c>
      <c r="BV31" s="1">
        <f t="shared" si="6"/>
        <v>4</v>
      </c>
      <c r="BW31" s="1">
        <f t="shared" si="35"/>
        <v>9</v>
      </c>
      <c r="BX31" s="1">
        <f t="shared" si="7"/>
        <v>4</v>
      </c>
      <c r="BY31" s="1">
        <f t="shared" si="36"/>
        <v>18</v>
      </c>
      <c r="BZ31" s="1">
        <f t="shared" si="8"/>
        <v>5</v>
      </c>
      <c r="CA31" s="1">
        <f t="shared" si="37"/>
        <v>19</v>
      </c>
      <c r="CB31" s="1">
        <f t="shared" si="9"/>
        <v>3</v>
      </c>
      <c r="CC31" s="1">
        <f>IF(('[1]フォームの回答 1'!AW31="非常に"),1,(IF(('[1]フォームの回答 1'!AW31="かなり"),2,(IF(('[1]フォームの回答 1'!AW31="多少"),3,(IF(('[1]フォームの回答 1'!AW31="全くない"),4,"")))))))</f>
        <v>2</v>
      </c>
      <c r="CD31" s="1">
        <f>IF(('[1]フォームの回答 1'!AX31="非常に"),1,(IF(('[1]フォームの回答 1'!AX31="かなり"),2,(IF(('[1]フォームの回答 1'!AX31="多少"),3,(IF(('[1]フォームの回答 1'!AX31="全くない"),4,"")))))))</f>
        <v>3</v>
      </c>
      <c r="CE31" s="1">
        <f>IF(('[1]フォームの回答 1'!AY31="非常に"),1,(IF(('[1]フォームの回答 1'!AY31="かなり"),2,(IF(('[1]フォームの回答 1'!AY31="多少"),3,(IF(('[1]フォームの回答 1'!AY31="全くない"),4,"")))))))</f>
        <v>2</v>
      </c>
      <c r="CF31" s="1">
        <f>IF(('[1]フォームの回答 1'!AZ31="非常に"),1,(IF(('[1]フォームの回答 1'!AZ31="かなり"),2,(IF(('[1]フォームの回答 1'!AZ31="多少"),3,(IF(('[1]フォームの回答 1'!AZ31="全くない"),4,"")))))))</f>
        <v>2</v>
      </c>
      <c r="CG31" s="1">
        <f>IF(('[1]フォームの回答 1'!BA31="非常に"),1,(IF(('[1]フォームの回答 1'!BA31="かなり"),2,(IF(('[1]フォームの回答 1'!BA31="多少"),3,(IF(('[1]フォームの回答 1'!BA31="全くない"),4,"")))))))</f>
        <v>3</v>
      </c>
      <c r="CH31" s="1">
        <f>IF(('[1]フォームの回答 1'!BB31="非常に"),1,(IF(('[1]フォームの回答 1'!BB31="かなり"),2,(IF(('[1]フォームの回答 1'!BB31="多少"),3,(IF(('[1]フォームの回答 1'!BB31="全くない"),4,"")))))))</f>
        <v>2</v>
      </c>
      <c r="CI31" s="1">
        <f>IF(('[1]フォームの回答 1'!BC31="非常に"),1,(IF(('[1]フォームの回答 1'!BC31="かなり"),2,(IF(('[1]フォームの回答 1'!BC31="多少"),3,(IF(('[1]フォームの回答 1'!BC31="全くない"),4,"")))))))</f>
        <v>2</v>
      </c>
      <c r="CJ31" s="1">
        <f>IF(('[1]フォームの回答 1'!BD31="非常に"),1,(IF(('[1]フォームの回答 1'!BD31="かなり"),2,(IF(('[1]フォームの回答 1'!BD31="多少"),3,(IF(('[1]フォームの回答 1'!BD31="全くない"),4,"")))))))</f>
        <v>3</v>
      </c>
      <c r="CK31" s="1">
        <f>IF(('[1]フォームの回答 1'!BE31="非常に"),1,(IF(('[1]フォームの回答 1'!BE31="かなり"),2,(IF(('[1]フォームの回答 1'!BE31="多少"),3,(IF(('[1]フォームの回答 1'!BE31="全くない"),4,"")))))))</f>
        <v>3</v>
      </c>
      <c r="CL31" s="1">
        <f>IF(('[1]フォームの回答 1'!BF31="満足"),1,(IF(('[1]フォームの回答 1'!BF31="まぁ満足"),2,(IF(('[1]フォームの回答 1'!BF31="やや満足"),3,(IF(('[1]フォームの回答 1'!BF31="不満足"),4,"")))))))</f>
        <v>3</v>
      </c>
      <c r="CM31" s="1">
        <f>IF(('[1]フォームの回答 1'!BG31="満足"),1,(IF(('[1]フォームの回答 1'!BG31="まぁ満足"),2,(IF(('[1]フォームの回答 1'!BG31="やや満足"),3,(IF(('[1]フォームの回答 1'!BG31="不満足"),4,"")))))))</f>
        <v>3</v>
      </c>
      <c r="CN31" s="1">
        <f t="shared" si="38"/>
        <v>9</v>
      </c>
      <c r="CO31" s="1">
        <f t="shared" si="10"/>
        <v>2</v>
      </c>
      <c r="CP31" s="1">
        <f t="shared" si="39"/>
        <v>6</v>
      </c>
      <c r="CQ31" s="1">
        <f t="shared" si="11"/>
        <v>4</v>
      </c>
      <c r="CR31" s="1">
        <f t="shared" si="40"/>
        <v>8</v>
      </c>
      <c r="CS31" s="1">
        <f t="shared" si="41"/>
        <v>4</v>
      </c>
      <c r="CT31" s="1">
        <f t="shared" si="42"/>
        <v>4</v>
      </c>
      <c r="CU31" s="1">
        <f t="shared" si="12"/>
        <v>4</v>
      </c>
      <c r="CV31" s="1">
        <f t="shared" si="13"/>
        <v>24</v>
      </c>
      <c r="CW31" s="1">
        <f t="shared" si="14"/>
        <v>29</v>
      </c>
      <c r="CX31" s="1">
        <f t="shared" si="15"/>
        <v>10</v>
      </c>
      <c r="CY31" s="29" t="str">
        <f t="shared" si="43"/>
        <v>高</v>
      </c>
      <c r="CZ31" s="1">
        <v>0.6</v>
      </c>
      <c r="DA31" s="2">
        <f t="shared" si="16"/>
        <v>0.4</v>
      </c>
      <c r="DB31" s="1">
        <f>IF(('[1]フォームの回答 1'!BI31="いつもより寝つきは良い"),0,(IF(('[1]フォームの回答 1'!BI31="いつもより少し時間がかかった"),1,(IF(('[1]フォームの回答 1'!BI31="いつもよりかなり時間がかかった"),2,(IF(('[1]フォームの回答 1'!BI31="いつもより非常に時間がかかった、あるいは全く眠れなかった"),3,"")))))))</f>
        <v>1</v>
      </c>
      <c r="DC31" s="1">
        <f>IF(('[1]フォームの回答 1'!BJ31="問題になるほどのことはなかった"),0,(IF(('[1]フォームの回答 1'!BJ31="少し困ることがある"),1,(IF(('[1]フォームの回答 1'!BJ31="かなり困っている"),2,(IF(('[1]フォームの回答 1'!BJ31="深刻な状態、あるいは全く眠れなかった"),3,"")))))))</f>
        <v>1</v>
      </c>
      <c r="DD31" s="1">
        <f>IF(('[1]フォームの回答 1'!BK31="そのようなことはなかった"),0,(IF(('[1]フォームの回答 1'!BK31="少し早かった"),1,(IF(('[1]フォームの回答 1'!BK31="かなり早かった"),2,(IF(('[1]フォームの回答 1'!BK31="非常に早かった、あるいは全く眠れなかった"),3,"")))))))</f>
        <v>0</v>
      </c>
      <c r="DE31" s="1">
        <f>IF(('[1]フォームの回答 1'!BL31="十分である"),0,(IF(('[1]フォームの回答 1'!BL31="少し足りない"),1,(IF(('[1]フォームの回答 1'!BL31="かなり足りない"),2,(IF(('[1]フォームの回答 1'!BL31="全く足りない、あるいは全く眠れなかった"),3,"")))))))</f>
        <v>1</v>
      </c>
      <c r="DF31" s="1">
        <f>IF(('[1]フォームの回答 1'!BM31="満足している"),0,(IF(('[1]フォームの回答 1'!BM31="少し不満である"),1,(IF(('[1]フォームの回答 1'!BM31="かなり不満である"),2,(IF(('[1]フォームの回答 1'!BM31="非常に不満である、あるいは全く眠れなかった"),3,"")))))))</f>
        <v>1</v>
      </c>
      <c r="DG31" s="1">
        <f>IF(('[1]フォームの回答 1'!BN31="いつもどおり"),0,(IF(('[1]フォームの回答 1'!BN31="少し滅入った"),1,(IF(('[1]フォームの回答 1'!BN31="かなり滅入った"),2,(IF(('[1]フォームの回答 1'!BN31="非常に滅入った"),3,"")))))))</f>
        <v>2</v>
      </c>
      <c r="DH31" s="1">
        <f>IF(('[1]フォームの回答 1'!BO31="いつもどおり"),0,(IF(('[1]フォームの回答 1'!BO31="少し低下した"),1,(IF(('[1]フォームの回答 1'!BO31="かなり低下した"),2,(IF(('[1]フォームの回答 1'!BO31="非常に低下した"),3,"")))))))</f>
        <v>1</v>
      </c>
      <c r="DI31" s="1">
        <f>IF(('[1]フォームの回答 1'!BP31="全くなかった"),0,(IF(('[1]フォームの回答 1'!BP31="少しあった"),1,(IF(('[1]フォームの回答 1'!BP31="かなりあった"),2,(IF(('[1]フォームの回答 1'!BP31="激しかった"),3,"")))))))</f>
        <v>1</v>
      </c>
      <c r="DJ31">
        <f t="shared" si="44"/>
        <v>8</v>
      </c>
      <c r="DK31" s="4" t="str">
        <f t="shared" si="45"/>
        <v>高</v>
      </c>
      <c r="DL31" s="5">
        <v>20.8</v>
      </c>
      <c r="DM31" s="5">
        <v>15.8</v>
      </c>
      <c r="DN31" s="5">
        <v>10.9</v>
      </c>
      <c r="DO31" s="5">
        <v>47.5</v>
      </c>
      <c r="DP31" s="5"/>
      <c r="DQ31" s="5"/>
      <c r="DR31" s="43">
        <v>0.63200000000000001</v>
      </c>
      <c r="DS31" s="43">
        <v>71.75</v>
      </c>
      <c r="DT31" s="5">
        <v>0.88</v>
      </c>
      <c r="DU31" s="5">
        <v>44</v>
      </c>
      <c r="DV31" s="5" t="s">
        <v>115</v>
      </c>
    </row>
    <row r="32" spans="1:126">
      <c r="D32" s="33" t="s">
        <v>244</v>
      </c>
    </row>
    <row r="33" spans="4:4">
      <c r="D33" s="37">
        <v>45481</v>
      </c>
    </row>
  </sheetData>
  <autoFilter ref="A1:DV33" xr:uid="{53873CD8-E9E0-41C5-B29C-4B514CEADCCE}">
    <filterColumn colId="124">
      <filters blank="1">
        <filter val="26"/>
        <filter val="27"/>
        <filter val="30"/>
        <filter val="31"/>
        <filter val="32"/>
        <filter val="33"/>
        <filter val="34"/>
        <filter val="35"/>
        <filter val="36"/>
        <filter val="44"/>
        <filter val="46"/>
        <filter val="47"/>
        <filter val="48"/>
        <filter val="50"/>
        <filter val="62"/>
        <filter val="64"/>
      </filters>
    </filterColumn>
  </autoFilter>
  <phoneticPr fontId="8"/>
  <conditionalFormatting sqref="B2:B31">
    <cfRule type="containsText" dxfId="4" priority="2" operator="containsText" text="female">
      <formula>NOT(ISERROR(SEARCH("female",B2)))</formula>
    </cfRule>
  </conditionalFormatting>
  <conditionalFormatting sqref="CY2:CY31">
    <cfRule type="containsText" dxfId="3" priority="1" operator="containsText" text="高">
      <formula>NOT(ISERROR(SEARCH("高",CY2)))</formula>
    </cfRule>
  </conditionalFormatting>
  <conditionalFormatting sqref="DK2:DK31">
    <cfRule type="containsText" dxfId="2" priority="3" operator="containsText" text="中">
      <formula>NOT(ISERROR(SEARCH("中",DK2)))</formula>
    </cfRule>
    <cfRule type="containsText" dxfId="1" priority="4" operator="containsText" text="高">
      <formula>NOT(ISERROR(SEARCH("高",DK2)))</formula>
    </cfRule>
    <cfRule type="containsText" dxfId="0" priority="5" operator="containsText" text="低">
      <formula>NOT(ISERROR(SEARCH("低",DK2)))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3979-FF56-46DC-AF0D-D8A9319A8D5D}">
  <sheetPr filterMode="1"/>
  <dimension ref="A1:K40"/>
  <sheetViews>
    <sheetView zoomScale="120" zoomScaleNormal="120" workbookViewId="0">
      <selection activeCell="K37" sqref="K37"/>
    </sheetView>
  </sheetViews>
  <sheetFormatPr baseColWidth="10" defaultColWidth="8.83203125" defaultRowHeight="13"/>
  <sheetData>
    <row r="1" spans="1:11">
      <c r="A1" s="99" t="s">
        <v>187</v>
      </c>
      <c r="B1" s="98" t="s">
        <v>188</v>
      </c>
      <c r="C1" s="99" t="s">
        <v>189</v>
      </c>
      <c r="D1" s="99"/>
      <c r="E1" s="99"/>
      <c r="F1" s="41"/>
      <c r="G1" s="99" t="s">
        <v>190</v>
      </c>
      <c r="H1" s="98" t="s">
        <v>191</v>
      </c>
      <c r="I1" s="99" t="s">
        <v>192</v>
      </c>
      <c r="J1" s="98" t="s">
        <v>193</v>
      </c>
      <c r="K1" s="99" t="s">
        <v>194</v>
      </c>
    </row>
    <row r="2" spans="1:11">
      <c r="A2" s="99"/>
      <c r="B2" s="98"/>
      <c r="C2" s="42" t="s">
        <v>195</v>
      </c>
      <c r="D2" s="42" t="s">
        <v>196</v>
      </c>
      <c r="E2" s="42" t="s">
        <v>197</v>
      </c>
      <c r="F2" s="45" t="s">
        <v>204</v>
      </c>
      <c r="G2" s="99"/>
      <c r="H2" s="98"/>
      <c r="I2" s="99"/>
      <c r="J2" s="98"/>
      <c r="K2" s="99"/>
    </row>
    <row r="3" spans="1:11">
      <c r="A3" s="43">
        <v>291</v>
      </c>
      <c r="B3" s="43">
        <v>34</v>
      </c>
      <c r="C3" s="43">
        <v>2.1</v>
      </c>
      <c r="D3" s="43">
        <v>2.6</v>
      </c>
      <c r="E3" s="43">
        <v>2.1</v>
      </c>
      <c r="F3" s="43">
        <f t="shared" ref="F3:F32" si="0">SUM(C3:E3)</f>
        <v>6.8000000000000007</v>
      </c>
      <c r="G3" s="43"/>
      <c r="H3" s="43"/>
      <c r="I3" s="43"/>
      <c r="J3" s="43"/>
      <c r="K3" s="43" t="s">
        <v>198</v>
      </c>
    </row>
    <row r="4" spans="1:11">
      <c r="A4" s="43">
        <v>292</v>
      </c>
      <c r="B4" s="43">
        <v>26</v>
      </c>
      <c r="C4" s="43">
        <v>0</v>
      </c>
      <c r="D4" s="43">
        <v>0</v>
      </c>
      <c r="E4" s="43">
        <v>4.9000000000000004</v>
      </c>
      <c r="F4" s="43">
        <f t="shared" si="0"/>
        <v>4.9000000000000004</v>
      </c>
      <c r="G4" s="43"/>
      <c r="H4" s="43"/>
      <c r="I4" s="43"/>
      <c r="J4" s="43"/>
      <c r="K4" s="43" t="s">
        <v>198</v>
      </c>
    </row>
    <row r="5" spans="1:11">
      <c r="A5" s="43">
        <v>293</v>
      </c>
      <c r="B5" s="43">
        <v>44</v>
      </c>
      <c r="C5" s="43">
        <v>6.3</v>
      </c>
      <c r="D5" s="43">
        <v>7.2</v>
      </c>
      <c r="E5" s="43">
        <v>13.1</v>
      </c>
      <c r="F5" s="43">
        <f t="shared" si="0"/>
        <v>26.6</v>
      </c>
      <c r="G5" s="43"/>
      <c r="H5" s="43"/>
      <c r="I5" s="43"/>
      <c r="J5" s="43"/>
      <c r="K5" s="43" t="s">
        <v>199</v>
      </c>
    </row>
    <row r="6" spans="1:11">
      <c r="A6" s="43">
        <v>294</v>
      </c>
      <c r="B6" s="43">
        <v>10</v>
      </c>
      <c r="C6" s="43">
        <v>0</v>
      </c>
      <c r="D6" s="43">
        <v>5.4</v>
      </c>
      <c r="E6" s="43">
        <v>3.6</v>
      </c>
      <c r="F6" s="43">
        <f t="shared" si="0"/>
        <v>9</v>
      </c>
      <c r="G6" s="43"/>
      <c r="H6" s="43"/>
      <c r="I6" s="43"/>
      <c r="J6" s="43" t="s">
        <v>200</v>
      </c>
      <c r="K6" s="43"/>
    </row>
    <row r="7" spans="1:11">
      <c r="A7" s="43">
        <v>295</v>
      </c>
      <c r="B7" s="43">
        <v>27</v>
      </c>
      <c r="C7" s="43">
        <v>10.5</v>
      </c>
      <c r="D7" s="43">
        <v>16.899999999999999</v>
      </c>
      <c r="E7" s="43">
        <v>34.9</v>
      </c>
      <c r="F7" s="43">
        <f t="shared" si="0"/>
        <v>62.3</v>
      </c>
      <c r="G7" s="43"/>
      <c r="H7" s="43"/>
      <c r="I7" s="43"/>
      <c r="J7" s="43"/>
      <c r="K7" s="43" t="s">
        <v>199</v>
      </c>
    </row>
    <row r="8" spans="1:11">
      <c r="A8" s="43">
        <v>296</v>
      </c>
      <c r="B8" s="43">
        <v>10</v>
      </c>
      <c r="C8" s="43">
        <v>13.8</v>
      </c>
      <c r="D8" s="43">
        <v>7.9</v>
      </c>
      <c r="E8" s="43">
        <v>5.9</v>
      </c>
      <c r="F8" s="43">
        <f t="shared" si="0"/>
        <v>27.6</v>
      </c>
      <c r="G8" s="43"/>
      <c r="H8" s="43"/>
      <c r="I8" s="43"/>
      <c r="J8" s="43"/>
      <c r="K8" s="43" t="s">
        <v>199</v>
      </c>
    </row>
    <row r="9" spans="1:11">
      <c r="A9" s="43">
        <v>297</v>
      </c>
      <c r="B9" s="43">
        <v>32</v>
      </c>
      <c r="C9" s="43">
        <v>0</v>
      </c>
      <c r="D9" s="43">
        <v>0.1</v>
      </c>
      <c r="E9" s="43">
        <v>0.2</v>
      </c>
      <c r="F9" s="43">
        <f t="shared" si="0"/>
        <v>0.30000000000000004</v>
      </c>
      <c r="G9" s="43"/>
      <c r="H9" s="43"/>
      <c r="I9" s="43"/>
      <c r="J9" s="43"/>
      <c r="K9" s="43" t="s">
        <v>201</v>
      </c>
    </row>
    <row r="10" spans="1:11">
      <c r="A10" s="43">
        <v>298</v>
      </c>
      <c r="B10" s="43">
        <v>48</v>
      </c>
      <c r="C10" s="43">
        <v>7.3</v>
      </c>
      <c r="D10" s="43">
        <v>10.199999999999999</v>
      </c>
      <c r="E10" s="43">
        <v>15</v>
      </c>
      <c r="F10" s="43">
        <f t="shared" si="0"/>
        <v>32.5</v>
      </c>
      <c r="G10" s="43"/>
      <c r="H10" s="43"/>
      <c r="I10" s="43"/>
      <c r="J10" s="43"/>
      <c r="K10" s="43" t="s">
        <v>201</v>
      </c>
    </row>
    <row r="11" spans="1:11">
      <c r="A11" s="43">
        <v>299</v>
      </c>
      <c r="B11" s="43">
        <v>47</v>
      </c>
      <c r="C11" s="43">
        <v>6.6</v>
      </c>
      <c r="D11" s="43">
        <v>13.2</v>
      </c>
      <c r="E11" s="43">
        <v>30.7</v>
      </c>
      <c r="F11" s="43">
        <f t="shared" si="0"/>
        <v>50.5</v>
      </c>
      <c r="G11" s="43"/>
      <c r="H11" s="43"/>
      <c r="I11" s="43"/>
      <c r="J11" s="43" t="s">
        <v>200</v>
      </c>
      <c r="K11" s="43" t="s">
        <v>201</v>
      </c>
    </row>
    <row r="12" spans="1:11">
      <c r="A12" s="43">
        <v>301</v>
      </c>
      <c r="B12" s="43">
        <v>10</v>
      </c>
      <c r="C12" s="43">
        <v>16.7</v>
      </c>
      <c r="D12" s="43">
        <v>22</v>
      </c>
      <c r="E12" s="43">
        <v>43.7</v>
      </c>
      <c r="F12" s="43">
        <f t="shared" si="0"/>
        <v>82.4</v>
      </c>
      <c r="G12" s="43"/>
      <c r="H12" s="43"/>
      <c r="I12" s="43"/>
      <c r="J12" s="43" t="s">
        <v>200</v>
      </c>
      <c r="K12" s="43"/>
    </row>
    <row r="13" spans="1:11">
      <c r="A13" s="43">
        <v>302</v>
      </c>
      <c r="B13" s="43">
        <v>30</v>
      </c>
      <c r="C13" s="43">
        <v>0</v>
      </c>
      <c r="D13" s="43">
        <v>0</v>
      </c>
      <c r="E13" s="43">
        <v>0.7</v>
      </c>
      <c r="F13" s="43">
        <f t="shared" si="0"/>
        <v>0.7</v>
      </c>
      <c r="G13" s="43"/>
      <c r="H13" s="43"/>
      <c r="I13" s="43"/>
      <c r="J13" s="43" t="s">
        <v>200</v>
      </c>
      <c r="K13" s="43" t="s">
        <v>202</v>
      </c>
    </row>
    <row r="14" spans="1:11" hidden="1">
      <c r="A14" s="43">
        <v>317</v>
      </c>
      <c r="B14" s="43">
        <v>10</v>
      </c>
      <c r="C14" s="43">
        <v>13.1</v>
      </c>
      <c r="D14" s="43">
        <v>9.6</v>
      </c>
      <c r="E14" s="43">
        <v>11.5</v>
      </c>
      <c r="F14" s="43">
        <f t="shared" si="0"/>
        <v>34.200000000000003</v>
      </c>
      <c r="G14" s="43"/>
      <c r="H14" s="43" t="s">
        <v>200</v>
      </c>
      <c r="I14" s="43"/>
      <c r="J14" s="43"/>
      <c r="K14" s="43" t="s">
        <v>201</v>
      </c>
    </row>
    <row r="15" spans="1:11">
      <c r="A15" s="43">
        <v>303</v>
      </c>
      <c r="B15" s="43">
        <v>10</v>
      </c>
      <c r="C15" s="43">
        <v>18.7</v>
      </c>
      <c r="D15" s="43">
        <v>18</v>
      </c>
      <c r="E15" s="43">
        <v>18.8</v>
      </c>
      <c r="F15" s="43">
        <f t="shared" si="0"/>
        <v>55.5</v>
      </c>
      <c r="G15" s="43"/>
      <c r="H15" s="43"/>
      <c r="I15" s="43"/>
      <c r="J15" s="43"/>
      <c r="K15" s="43" t="s">
        <v>199</v>
      </c>
    </row>
    <row r="16" spans="1:11">
      <c r="A16" s="43">
        <v>304</v>
      </c>
      <c r="B16" s="43">
        <v>36</v>
      </c>
      <c r="C16" s="43">
        <v>0.1</v>
      </c>
      <c r="D16" s="43">
        <v>0.9</v>
      </c>
      <c r="E16" s="43">
        <v>1.2</v>
      </c>
      <c r="F16" s="43">
        <f t="shared" si="0"/>
        <v>2.2000000000000002</v>
      </c>
      <c r="G16" s="43"/>
      <c r="H16" s="43"/>
      <c r="I16" s="43"/>
      <c r="J16" s="43"/>
      <c r="K16" s="43" t="s">
        <v>201</v>
      </c>
    </row>
    <row r="17" spans="1:11" hidden="1">
      <c r="A17" s="43">
        <v>320</v>
      </c>
      <c r="B17" s="43">
        <v>64</v>
      </c>
      <c r="C17" s="43">
        <v>7.6</v>
      </c>
      <c r="D17" s="43">
        <v>10.4</v>
      </c>
      <c r="E17" s="43">
        <v>9.9</v>
      </c>
      <c r="F17" s="43">
        <f t="shared" si="0"/>
        <v>27.9</v>
      </c>
      <c r="G17" s="43"/>
      <c r="H17" s="43" t="s">
        <v>200</v>
      </c>
      <c r="I17" s="43"/>
      <c r="J17" s="43"/>
      <c r="K17" s="43" t="s">
        <v>199</v>
      </c>
    </row>
    <row r="18" spans="1:11">
      <c r="A18" s="43">
        <v>305</v>
      </c>
      <c r="B18" s="43">
        <v>62</v>
      </c>
      <c r="C18" s="43">
        <v>5.4</v>
      </c>
      <c r="D18" s="43">
        <v>24.8</v>
      </c>
      <c r="E18" s="43">
        <v>32.5</v>
      </c>
      <c r="F18" s="43">
        <f t="shared" si="0"/>
        <v>62.7</v>
      </c>
      <c r="G18" s="43"/>
      <c r="H18" s="43"/>
      <c r="I18" s="43"/>
      <c r="J18" s="43"/>
      <c r="K18" s="43" t="s">
        <v>198</v>
      </c>
    </row>
    <row r="19" spans="1:11">
      <c r="A19" s="43">
        <v>307</v>
      </c>
      <c r="B19" s="43">
        <v>46</v>
      </c>
      <c r="C19" s="43">
        <v>3.1</v>
      </c>
      <c r="D19" s="43">
        <v>1.1000000000000001</v>
      </c>
      <c r="E19" s="43">
        <v>10</v>
      </c>
      <c r="F19" s="43">
        <f t="shared" si="0"/>
        <v>14.2</v>
      </c>
      <c r="G19" s="43"/>
      <c r="H19" s="43"/>
      <c r="I19" s="43"/>
      <c r="J19" s="43"/>
      <c r="K19" s="43"/>
    </row>
    <row r="20" spans="1:11">
      <c r="A20" s="43">
        <v>308</v>
      </c>
      <c r="B20" s="43">
        <v>10</v>
      </c>
      <c r="C20" s="43">
        <v>74.2</v>
      </c>
      <c r="D20" s="43">
        <v>32.200000000000003</v>
      </c>
      <c r="E20" s="43">
        <v>31.5</v>
      </c>
      <c r="F20" s="43">
        <f t="shared" si="0"/>
        <v>137.9</v>
      </c>
      <c r="G20" s="43"/>
      <c r="H20" s="43"/>
      <c r="I20" s="43"/>
      <c r="J20" s="43"/>
      <c r="K20" s="43"/>
    </row>
    <row r="21" spans="1:11">
      <c r="A21" s="43">
        <v>309</v>
      </c>
      <c r="B21" s="43">
        <v>32</v>
      </c>
      <c r="C21" s="43">
        <v>0</v>
      </c>
      <c r="D21" s="43">
        <v>0</v>
      </c>
      <c r="E21" s="43">
        <v>0</v>
      </c>
      <c r="F21" s="43">
        <f t="shared" si="0"/>
        <v>0</v>
      </c>
      <c r="G21" s="43"/>
      <c r="H21" s="43"/>
      <c r="I21" s="43"/>
      <c r="J21" s="43"/>
      <c r="K21" s="43"/>
    </row>
    <row r="22" spans="1:11">
      <c r="A22" s="43">
        <v>310</v>
      </c>
      <c r="B22" s="43">
        <v>10</v>
      </c>
      <c r="C22" s="43">
        <v>15.7</v>
      </c>
      <c r="D22" s="43">
        <v>0</v>
      </c>
      <c r="E22" s="43">
        <v>2.6</v>
      </c>
      <c r="F22" s="43">
        <f t="shared" si="0"/>
        <v>18.3</v>
      </c>
      <c r="G22" s="43"/>
      <c r="H22" s="43"/>
      <c r="I22" s="43"/>
      <c r="J22" s="43" t="s">
        <v>200</v>
      </c>
      <c r="K22" s="43" t="s">
        <v>201</v>
      </c>
    </row>
    <row r="23" spans="1:11" hidden="1">
      <c r="A23" s="43">
        <v>306</v>
      </c>
      <c r="B23" s="43">
        <v>32</v>
      </c>
      <c r="C23" s="43">
        <v>2</v>
      </c>
      <c r="D23" s="43">
        <v>3.7</v>
      </c>
      <c r="E23" s="43">
        <v>3.7</v>
      </c>
      <c r="F23" s="43">
        <f t="shared" si="0"/>
        <v>9.4</v>
      </c>
      <c r="G23" s="43"/>
      <c r="H23" s="43" t="s">
        <v>203</v>
      </c>
      <c r="I23" s="43"/>
      <c r="J23" s="43"/>
      <c r="K23" s="43"/>
    </row>
    <row r="24" spans="1:11">
      <c r="A24" s="43">
        <v>311</v>
      </c>
      <c r="B24" s="43">
        <v>10</v>
      </c>
      <c r="C24" s="43">
        <v>39.200000000000003</v>
      </c>
      <c r="D24" s="43">
        <v>30</v>
      </c>
      <c r="E24" s="43">
        <v>40.5</v>
      </c>
      <c r="F24" s="43">
        <f t="shared" si="0"/>
        <v>109.7</v>
      </c>
      <c r="G24" s="43"/>
      <c r="H24" s="43"/>
      <c r="I24" s="43"/>
      <c r="J24" s="43"/>
      <c r="K24" s="43" t="s">
        <v>201</v>
      </c>
    </row>
    <row r="25" spans="1:11">
      <c r="A25" s="43">
        <v>312</v>
      </c>
      <c r="B25" s="43">
        <v>10</v>
      </c>
      <c r="C25" s="43">
        <v>8.6</v>
      </c>
      <c r="D25" s="43">
        <v>12.8</v>
      </c>
      <c r="E25" s="43">
        <v>39.9</v>
      </c>
      <c r="F25" s="43">
        <f t="shared" si="0"/>
        <v>61.3</v>
      </c>
      <c r="G25" s="43"/>
      <c r="H25" s="43"/>
      <c r="I25" s="43"/>
      <c r="J25" s="43"/>
      <c r="K25" s="43"/>
    </row>
    <row r="26" spans="1:11">
      <c r="A26" s="43">
        <v>313</v>
      </c>
      <c r="B26" s="43">
        <v>50</v>
      </c>
      <c r="C26" s="43">
        <v>7.7</v>
      </c>
      <c r="D26" s="43">
        <v>16</v>
      </c>
      <c r="E26" s="43">
        <v>4.4000000000000004</v>
      </c>
      <c r="F26" s="43">
        <f t="shared" si="0"/>
        <v>28.1</v>
      </c>
      <c r="G26" s="43"/>
      <c r="H26" s="43"/>
      <c r="I26" s="43"/>
      <c r="J26" s="43"/>
      <c r="K26" s="43" t="s">
        <v>201</v>
      </c>
    </row>
    <row r="27" spans="1:11">
      <c r="A27" s="43">
        <v>314</v>
      </c>
      <c r="B27" s="43">
        <v>31</v>
      </c>
      <c r="C27" s="43">
        <v>63</v>
      </c>
      <c r="D27" s="43">
        <v>28.4</v>
      </c>
      <c r="E27" s="43">
        <v>20.100000000000001</v>
      </c>
      <c r="F27" s="43">
        <f t="shared" si="0"/>
        <v>111.5</v>
      </c>
      <c r="G27" s="43"/>
      <c r="H27" s="43"/>
      <c r="I27" s="43"/>
      <c r="J27" s="43"/>
      <c r="K27" s="43" t="s">
        <v>199</v>
      </c>
    </row>
    <row r="28" spans="1:11">
      <c r="A28" s="43">
        <v>315</v>
      </c>
      <c r="B28" s="43">
        <v>26</v>
      </c>
      <c r="C28" s="43">
        <v>9.4</v>
      </c>
      <c r="D28" s="43">
        <v>3.9</v>
      </c>
      <c r="E28" s="43">
        <v>1.6</v>
      </c>
      <c r="F28" s="43">
        <f t="shared" si="0"/>
        <v>14.9</v>
      </c>
      <c r="G28" s="43"/>
      <c r="H28" s="43"/>
      <c r="I28" s="43"/>
      <c r="J28" s="43"/>
      <c r="K28" s="43"/>
    </row>
    <row r="29" spans="1:11">
      <c r="A29" s="43">
        <v>316</v>
      </c>
      <c r="B29" s="43">
        <v>35</v>
      </c>
      <c r="C29" s="43">
        <v>53.1</v>
      </c>
      <c r="D29" s="43">
        <v>26.4</v>
      </c>
      <c r="E29" s="43">
        <v>58.3</v>
      </c>
      <c r="F29" s="43">
        <f t="shared" si="0"/>
        <v>137.80000000000001</v>
      </c>
      <c r="G29" s="43"/>
      <c r="H29" s="43"/>
      <c r="I29" s="43"/>
      <c r="J29" s="43"/>
      <c r="K29" s="43"/>
    </row>
    <row r="30" spans="1:11">
      <c r="A30" s="43">
        <v>318</v>
      </c>
      <c r="B30" s="43">
        <v>35</v>
      </c>
      <c r="C30" s="43">
        <v>2.2000000000000002</v>
      </c>
      <c r="D30" s="43">
        <v>0.6</v>
      </c>
      <c r="E30" s="43">
        <v>2.2999999999999998</v>
      </c>
      <c r="F30" s="43">
        <f t="shared" si="0"/>
        <v>5.0999999999999996</v>
      </c>
      <c r="G30" s="43"/>
      <c r="H30" s="43"/>
      <c r="I30" s="43"/>
      <c r="J30" s="43"/>
      <c r="K30" s="43"/>
    </row>
    <row r="31" spans="1:11">
      <c r="A31" s="43">
        <v>319</v>
      </c>
      <c r="B31" s="43">
        <v>33</v>
      </c>
      <c r="C31" s="43">
        <v>0</v>
      </c>
      <c r="D31" s="43">
        <v>0</v>
      </c>
      <c r="E31" s="43">
        <v>0</v>
      </c>
      <c r="F31" s="43">
        <f t="shared" si="0"/>
        <v>0</v>
      </c>
      <c r="G31" s="43"/>
      <c r="H31" s="43"/>
      <c r="I31" s="43"/>
      <c r="J31" s="43" t="s">
        <v>200</v>
      </c>
      <c r="K31" s="43" t="s">
        <v>201</v>
      </c>
    </row>
    <row r="32" spans="1:11">
      <c r="A32" s="43">
        <v>322</v>
      </c>
      <c r="B32" s="43">
        <v>44</v>
      </c>
      <c r="C32" s="43">
        <v>20.8</v>
      </c>
      <c r="D32" s="43">
        <v>15.8</v>
      </c>
      <c r="E32" s="43">
        <v>10.9</v>
      </c>
      <c r="F32" s="43">
        <f t="shared" si="0"/>
        <v>47.5</v>
      </c>
      <c r="G32" s="43"/>
      <c r="H32" s="43"/>
      <c r="I32" s="43"/>
      <c r="J32" s="43"/>
      <c r="K32" s="43"/>
    </row>
    <row r="35" spans="1:6" ht="14">
      <c r="B35" s="31" t="s">
        <v>209</v>
      </c>
      <c r="C35" s="31"/>
    </row>
    <row r="36" spans="1:6" ht="17">
      <c r="C36" s="31" t="s">
        <v>214</v>
      </c>
      <c r="D36" s="47" t="s">
        <v>215</v>
      </c>
      <c r="E36" s="33" t="s">
        <v>212</v>
      </c>
      <c r="F36" s="31" t="s">
        <v>213</v>
      </c>
    </row>
    <row r="37" spans="1:6">
      <c r="B37" s="33" t="s">
        <v>210</v>
      </c>
      <c r="C37">
        <v>26.9</v>
      </c>
      <c r="E37">
        <v>35.5</v>
      </c>
      <c r="F37">
        <v>23.3</v>
      </c>
    </row>
    <row r="38" spans="1:6">
      <c r="B38" s="33" t="s">
        <v>211</v>
      </c>
      <c r="C38">
        <v>32</v>
      </c>
      <c r="E38">
        <v>29.5</v>
      </c>
      <c r="F38">
        <v>31.8</v>
      </c>
    </row>
    <row r="39" spans="1:6" ht="14">
      <c r="A39" s="31" t="s">
        <v>228</v>
      </c>
      <c r="C39">
        <v>41</v>
      </c>
    </row>
    <row r="40" spans="1:6">
      <c r="C40">
        <v>36</v>
      </c>
    </row>
  </sheetData>
  <autoFilter ref="A2:K32" xr:uid="{735E3979-FF56-46DC-AF0D-D8A9319A8D5D}">
    <filterColumn colId="7">
      <filters blank="1"/>
    </filterColumn>
    <sortState xmlns:xlrd2="http://schemas.microsoft.com/office/spreadsheetml/2017/richdata2" ref="A4:K32">
      <sortCondition ref="A2:A32"/>
    </sortState>
  </autoFilter>
  <mergeCells count="8">
    <mergeCell ref="J1:J2"/>
    <mergeCell ref="K1:K2"/>
    <mergeCell ref="A1:A2"/>
    <mergeCell ref="B1:B2"/>
    <mergeCell ref="C1:E1"/>
    <mergeCell ref="G1:G2"/>
    <mergeCell ref="H1:H2"/>
    <mergeCell ref="I1:I2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758-B504-4FD7-BDB6-CADBF6555622}">
  <dimension ref="A1:Z30"/>
  <sheetViews>
    <sheetView topLeftCell="J1" zoomScale="133" workbookViewId="0">
      <selection activeCell="Y3" sqref="Y3"/>
    </sheetView>
  </sheetViews>
  <sheetFormatPr baseColWidth="10" defaultColWidth="8.83203125" defaultRowHeight="13"/>
  <sheetData>
    <row r="1" spans="1:26" ht="14">
      <c r="A1" s="75" t="s">
        <v>263</v>
      </c>
      <c r="Y1" s="31" t="s">
        <v>330</v>
      </c>
    </row>
    <row r="2" spans="1:26" ht="14">
      <c r="A2" s="31"/>
      <c r="Y2" s="31" t="s">
        <v>331</v>
      </c>
    </row>
    <row r="3" spans="1:26" ht="17">
      <c r="A3" s="33" t="s">
        <v>264</v>
      </c>
      <c r="B3" s="33" t="s">
        <v>266</v>
      </c>
      <c r="D3" s="31" t="s">
        <v>143</v>
      </c>
      <c r="E3" s="33" t="s">
        <v>266</v>
      </c>
      <c r="G3" s="73" t="s">
        <v>268</v>
      </c>
      <c r="H3" t="s">
        <v>265</v>
      </c>
      <c r="J3" s="33" t="s">
        <v>116</v>
      </c>
      <c r="M3" s="31" t="s">
        <v>269</v>
      </c>
      <c r="P3" s="33" t="s">
        <v>270</v>
      </c>
      <c r="S3" s="33" t="s">
        <v>271</v>
      </c>
      <c r="V3" s="31" t="s">
        <v>273</v>
      </c>
      <c r="Y3" s="31" t="s">
        <v>329</v>
      </c>
    </row>
    <row r="4" spans="1:26">
      <c r="A4">
        <v>21</v>
      </c>
      <c r="B4">
        <v>1.61</v>
      </c>
      <c r="D4">
        <v>28</v>
      </c>
      <c r="E4">
        <v>1.61</v>
      </c>
      <c r="G4">
        <v>10</v>
      </c>
      <c r="H4">
        <v>1.61</v>
      </c>
      <c r="J4" s="44">
        <v>0.30000000000000004</v>
      </c>
      <c r="K4">
        <v>1.61</v>
      </c>
      <c r="M4">
        <v>8</v>
      </c>
      <c r="N4">
        <v>1.61</v>
      </c>
      <c r="P4">
        <v>70.5</v>
      </c>
      <c r="Q4">
        <v>1.61</v>
      </c>
      <c r="S4">
        <v>31.7</v>
      </c>
      <c r="T4">
        <v>1.61</v>
      </c>
      <c r="V4" s="72">
        <v>0.2986111111111111</v>
      </c>
      <c r="W4">
        <v>1.61</v>
      </c>
      <c r="Y4">
        <v>0.68</v>
      </c>
      <c r="Z4" s="44">
        <v>9.9999999999999978E-2</v>
      </c>
    </row>
    <row r="5" spans="1:26">
      <c r="A5">
        <v>20</v>
      </c>
      <c r="B5">
        <v>0.59</v>
      </c>
      <c r="D5">
        <v>28</v>
      </c>
      <c r="E5">
        <v>0.59</v>
      </c>
      <c r="G5">
        <v>8</v>
      </c>
      <c r="H5">
        <v>0.59</v>
      </c>
      <c r="J5" s="44">
        <v>0.30000000000000004</v>
      </c>
      <c r="K5">
        <v>0.59</v>
      </c>
      <c r="M5">
        <v>11</v>
      </c>
      <c r="N5">
        <v>0.59</v>
      </c>
      <c r="P5">
        <v>41.199999999999996</v>
      </c>
      <c r="Q5">
        <v>0.59</v>
      </c>
      <c r="S5">
        <v>19.399999999999999</v>
      </c>
      <c r="T5">
        <v>0.59</v>
      </c>
      <c r="V5" s="72">
        <v>0.29166666666666669</v>
      </c>
      <c r="W5">
        <v>0.59</v>
      </c>
      <c r="Y5">
        <v>0.52</v>
      </c>
      <c r="Z5" s="44">
        <v>0.30000000000000004</v>
      </c>
    </row>
    <row r="6" spans="1:26">
      <c r="A6">
        <v>23</v>
      </c>
      <c r="B6">
        <v>0.53</v>
      </c>
      <c r="D6">
        <v>28</v>
      </c>
      <c r="E6">
        <v>0.53</v>
      </c>
      <c r="G6">
        <v>6</v>
      </c>
      <c r="H6">
        <v>0.53</v>
      </c>
      <c r="J6" s="44">
        <v>0.30000000000000004</v>
      </c>
      <c r="K6">
        <v>0.53</v>
      </c>
      <c r="M6">
        <v>13</v>
      </c>
      <c r="N6">
        <v>0.53</v>
      </c>
      <c r="P6">
        <v>2.1</v>
      </c>
      <c r="Q6">
        <v>0.53</v>
      </c>
      <c r="S6">
        <v>1.5</v>
      </c>
      <c r="T6">
        <v>0.53</v>
      </c>
      <c r="V6" s="72">
        <v>0.36944444444444446</v>
      </c>
      <c r="W6">
        <v>0.53</v>
      </c>
      <c r="Y6">
        <v>0.87</v>
      </c>
      <c r="Z6" s="44">
        <v>0.4</v>
      </c>
    </row>
    <row r="7" spans="1:26">
      <c r="A7">
        <v>14</v>
      </c>
      <c r="B7">
        <v>0.99</v>
      </c>
      <c r="D7">
        <v>19</v>
      </c>
      <c r="E7">
        <v>0.99</v>
      </c>
      <c r="G7">
        <v>8</v>
      </c>
      <c r="H7">
        <v>0.99</v>
      </c>
      <c r="J7" s="44">
        <v>9.9999999999999978E-2</v>
      </c>
      <c r="K7">
        <v>0.99</v>
      </c>
      <c r="M7">
        <v>5</v>
      </c>
      <c r="N7">
        <v>0.99</v>
      </c>
      <c r="P7">
        <v>28.299999999999997</v>
      </c>
      <c r="Q7">
        <v>0.99</v>
      </c>
      <c r="S7">
        <v>9.6</v>
      </c>
      <c r="T7">
        <v>0.99</v>
      </c>
      <c r="V7" s="72">
        <v>0.27083333333333331</v>
      </c>
      <c r="W7">
        <v>1.22</v>
      </c>
      <c r="Y7">
        <v>0.54</v>
      </c>
      <c r="Z7" s="44">
        <v>0.19999999999999996</v>
      </c>
    </row>
    <row r="8" spans="1:26">
      <c r="A8">
        <v>15</v>
      </c>
      <c r="B8">
        <v>1.03</v>
      </c>
      <c r="D8">
        <v>22</v>
      </c>
      <c r="E8">
        <v>1.03</v>
      </c>
      <c r="G8">
        <v>5</v>
      </c>
      <c r="H8">
        <v>1.03</v>
      </c>
      <c r="J8" s="44">
        <v>0.4</v>
      </c>
      <c r="K8">
        <v>1.03</v>
      </c>
      <c r="M8">
        <v>5</v>
      </c>
      <c r="N8">
        <v>1.03</v>
      </c>
      <c r="P8">
        <v>60.800000000000004</v>
      </c>
      <c r="Q8">
        <v>1.03</v>
      </c>
      <c r="S8">
        <v>40.200000000000003</v>
      </c>
      <c r="T8">
        <v>1.03</v>
      </c>
      <c r="V8" s="72">
        <v>0.19097222222222221</v>
      </c>
      <c r="W8">
        <v>0.68</v>
      </c>
      <c r="Y8">
        <v>0.64</v>
      </c>
      <c r="Z8" s="44">
        <v>9.9999999999999978E-2</v>
      </c>
    </row>
    <row r="9" spans="1:26">
      <c r="A9">
        <v>22</v>
      </c>
      <c r="B9">
        <v>1.22</v>
      </c>
      <c r="D9">
        <v>25</v>
      </c>
      <c r="E9">
        <v>1.22</v>
      </c>
      <c r="G9">
        <v>13</v>
      </c>
      <c r="H9">
        <v>1.22</v>
      </c>
      <c r="J9" s="44">
        <v>0.19999999999999996</v>
      </c>
      <c r="K9">
        <v>1.22</v>
      </c>
      <c r="M9">
        <v>7</v>
      </c>
      <c r="N9">
        <v>1.22</v>
      </c>
      <c r="P9">
        <v>11.700000000000001</v>
      </c>
      <c r="Q9">
        <v>1.22</v>
      </c>
      <c r="S9">
        <v>4.9000000000000004</v>
      </c>
      <c r="T9">
        <v>1.22</v>
      </c>
      <c r="V9" s="72">
        <v>0.27083333333333331</v>
      </c>
      <c r="W9">
        <v>1.74</v>
      </c>
      <c r="Y9">
        <v>0.96</v>
      </c>
      <c r="Z9" s="44">
        <v>0.15000000000000002</v>
      </c>
    </row>
    <row r="10" spans="1:26">
      <c r="A10">
        <v>27</v>
      </c>
      <c r="B10">
        <v>0.68</v>
      </c>
      <c r="D10">
        <v>37</v>
      </c>
      <c r="E10">
        <v>0.68</v>
      </c>
      <c r="G10">
        <v>11</v>
      </c>
      <c r="H10">
        <v>0.68</v>
      </c>
      <c r="J10" s="44">
        <v>0.4</v>
      </c>
      <c r="K10">
        <v>0.68</v>
      </c>
      <c r="M10">
        <v>12</v>
      </c>
      <c r="N10">
        <v>0.68</v>
      </c>
      <c r="P10">
        <v>38</v>
      </c>
      <c r="Q10">
        <v>0.68</v>
      </c>
      <c r="S10">
        <v>15.6</v>
      </c>
      <c r="T10">
        <v>0.68</v>
      </c>
      <c r="V10" s="72">
        <v>0.3527777777777778</v>
      </c>
      <c r="W10">
        <v>0.85</v>
      </c>
      <c r="Y10">
        <v>0.94</v>
      </c>
      <c r="Z10" s="44">
        <v>0</v>
      </c>
    </row>
    <row r="11" spans="1:26">
      <c r="A11">
        <v>18</v>
      </c>
      <c r="B11">
        <v>1.74</v>
      </c>
      <c r="D11">
        <v>23</v>
      </c>
      <c r="E11">
        <v>1.74</v>
      </c>
      <c r="G11">
        <v>11</v>
      </c>
      <c r="H11">
        <v>1.74</v>
      </c>
      <c r="J11" s="44">
        <v>0.25</v>
      </c>
      <c r="K11">
        <v>1.74</v>
      </c>
      <c r="M11">
        <v>5</v>
      </c>
      <c r="N11">
        <v>1.74</v>
      </c>
      <c r="P11">
        <v>0.2</v>
      </c>
      <c r="Q11">
        <v>1.74</v>
      </c>
      <c r="S11">
        <v>0.1</v>
      </c>
      <c r="T11">
        <v>1.74</v>
      </c>
      <c r="V11" s="72">
        <v>0.31666666666666665</v>
      </c>
      <c r="W11">
        <v>0.88</v>
      </c>
      <c r="Y11">
        <v>0.59</v>
      </c>
      <c r="Z11" s="44">
        <v>0.7</v>
      </c>
    </row>
    <row r="12" spans="1:26">
      <c r="A12">
        <v>18</v>
      </c>
      <c r="B12">
        <v>0.85</v>
      </c>
      <c r="D12">
        <v>17</v>
      </c>
      <c r="E12">
        <v>0.85</v>
      </c>
      <c r="G12">
        <v>7</v>
      </c>
      <c r="H12">
        <v>0.85</v>
      </c>
      <c r="J12" s="44">
        <v>0.30000000000000004</v>
      </c>
      <c r="K12">
        <v>0.85</v>
      </c>
      <c r="M12">
        <v>2</v>
      </c>
      <c r="N12">
        <v>0.85</v>
      </c>
      <c r="P12">
        <v>5.9</v>
      </c>
      <c r="Q12">
        <v>0.85</v>
      </c>
      <c r="S12">
        <v>1.4</v>
      </c>
      <c r="T12">
        <v>0.85</v>
      </c>
      <c r="V12" s="72">
        <v>0.36458333333333331</v>
      </c>
      <c r="W12">
        <v>1.0900000000000001</v>
      </c>
      <c r="Y12">
        <v>0.71</v>
      </c>
      <c r="Z12" s="44">
        <v>0.4</v>
      </c>
    </row>
    <row r="13" spans="1:26">
      <c r="A13">
        <v>15</v>
      </c>
      <c r="B13">
        <v>0.88</v>
      </c>
      <c r="D13">
        <v>25</v>
      </c>
      <c r="E13">
        <v>0.88</v>
      </c>
      <c r="G13">
        <v>8</v>
      </c>
      <c r="H13">
        <v>0.88</v>
      </c>
      <c r="J13" s="44">
        <v>0</v>
      </c>
      <c r="K13">
        <v>0.88</v>
      </c>
      <c r="M13">
        <v>4</v>
      </c>
      <c r="N13">
        <v>0.88</v>
      </c>
      <c r="P13">
        <v>95.6</v>
      </c>
      <c r="Q13">
        <v>0.88</v>
      </c>
      <c r="S13">
        <v>35.4</v>
      </c>
      <c r="T13">
        <v>0.88</v>
      </c>
      <c r="V13" s="72">
        <v>0.3125</v>
      </c>
      <c r="W13">
        <v>0.75</v>
      </c>
      <c r="Y13">
        <v>1.24</v>
      </c>
      <c r="Z13" s="44">
        <v>0.19999999999999996</v>
      </c>
    </row>
    <row r="14" spans="1:26">
      <c r="A14">
        <v>23</v>
      </c>
      <c r="B14">
        <v>1.0900000000000001</v>
      </c>
      <c r="D14">
        <v>28</v>
      </c>
      <c r="E14">
        <v>1.0900000000000001</v>
      </c>
      <c r="G14">
        <v>10</v>
      </c>
      <c r="H14">
        <v>1.0900000000000001</v>
      </c>
      <c r="J14" s="44">
        <v>0.30000000000000004</v>
      </c>
      <c r="K14">
        <v>1.0900000000000001</v>
      </c>
      <c r="M14">
        <v>6</v>
      </c>
      <c r="N14">
        <v>1.0900000000000001</v>
      </c>
      <c r="P14">
        <v>36.700000000000003</v>
      </c>
      <c r="Q14">
        <v>1.0900000000000001</v>
      </c>
      <c r="S14">
        <v>9.3000000000000007</v>
      </c>
      <c r="T14">
        <v>1.0900000000000001</v>
      </c>
      <c r="V14" s="72">
        <v>0.30138888888888887</v>
      </c>
      <c r="W14">
        <v>2.0699999999999998</v>
      </c>
      <c r="Y14">
        <v>0.63</v>
      </c>
      <c r="Z14" s="44">
        <v>0.19999999999999996</v>
      </c>
    </row>
    <row r="15" spans="1:26">
      <c r="A15">
        <v>12</v>
      </c>
      <c r="B15">
        <v>0.75</v>
      </c>
      <c r="D15">
        <v>14</v>
      </c>
      <c r="E15">
        <v>0.75</v>
      </c>
      <c r="G15">
        <v>3</v>
      </c>
      <c r="H15">
        <v>0.75</v>
      </c>
      <c r="J15" s="44">
        <v>0.25</v>
      </c>
      <c r="K15">
        <v>0.75</v>
      </c>
      <c r="M15">
        <v>6</v>
      </c>
      <c r="N15">
        <v>0.75</v>
      </c>
      <c r="P15">
        <v>0.1</v>
      </c>
      <c r="Q15">
        <v>0.75</v>
      </c>
      <c r="S15">
        <v>0</v>
      </c>
      <c r="T15">
        <v>0.75</v>
      </c>
      <c r="V15" s="72">
        <v>0.20833333333333334</v>
      </c>
      <c r="W15">
        <v>0.8</v>
      </c>
      <c r="Y15">
        <v>0.91</v>
      </c>
      <c r="Z15" s="44">
        <v>0.25</v>
      </c>
    </row>
    <row r="16" spans="1:26">
      <c r="A16">
        <v>24</v>
      </c>
      <c r="B16">
        <v>0.83</v>
      </c>
      <c r="D16">
        <v>27</v>
      </c>
      <c r="E16">
        <v>0.83</v>
      </c>
      <c r="G16">
        <v>7</v>
      </c>
      <c r="H16">
        <v>0.83</v>
      </c>
      <c r="J16" s="44">
        <v>0.30000000000000004</v>
      </c>
      <c r="K16">
        <v>0.83</v>
      </c>
      <c r="M16">
        <v>12</v>
      </c>
      <c r="N16">
        <v>0.83</v>
      </c>
      <c r="P16">
        <v>14</v>
      </c>
      <c r="Q16">
        <v>0.83</v>
      </c>
      <c r="S16">
        <v>4</v>
      </c>
      <c r="T16">
        <v>0.83</v>
      </c>
      <c r="V16" s="72">
        <v>0.34583333333333333</v>
      </c>
      <c r="W16">
        <v>1.1299999999999999</v>
      </c>
      <c r="Y16">
        <v>0.63</v>
      </c>
      <c r="Z16" s="44">
        <v>0.19999999999999996</v>
      </c>
    </row>
    <row r="17" spans="1:26">
      <c r="A17">
        <v>18</v>
      </c>
      <c r="B17">
        <v>2.0699999999999998</v>
      </c>
      <c r="D17">
        <v>27</v>
      </c>
      <c r="E17">
        <v>2.0699999999999998</v>
      </c>
      <c r="G17">
        <v>6</v>
      </c>
      <c r="H17">
        <v>2.0699999999999998</v>
      </c>
      <c r="J17" s="44">
        <v>0.5</v>
      </c>
      <c r="K17">
        <v>2.0699999999999998</v>
      </c>
      <c r="M17">
        <v>10</v>
      </c>
      <c r="N17">
        <v>2.0699999999999998</v>
      </c>
      <c r="P17">
        <v>25.5</v>
      </c>
      <c r="Q17">
        <v>2.0699999999999998</v>
      </c>
      <c r="S17">
        <v>3</v>
      </c>
      <c r="T17">
        <v>2.0699999999999998</v>
      </c>
      <c r="V17" s="72">
        <v>0.3125</v>
      </c>
      <c r="W17">
        <v>0.76</v>
      </c>
      <c r="Y17">
        <v>0.99</v>
      </c>
      <c r="Z17" s="44">
        <v>0.30000000000000004</v>
      </c>
    </row>
    <row r="18" spans="1:26">
      <c r="A18">
        <v>8</v>
      </c>
      <c r="B18">
        <v>0.8</v>
      </c>
      <c r="D18">
        <v>28</v>
      </c>
      <c r="E18">
        <v>0.8</v>
      </c>
      <c r="G18">
        <v>5</v>
      </c>
      <c r="H18">
        <v>0.8</v>
      </c>
      <c r="J18" s="44">
        <v>9.9999999999999978E-2</v>
      </c>
      <c r="K18">
        <v>0.8</v>
      </c>
      <c r="M18">
        <v>3</v>
      </c>
      <c r="N18">
        <v>0.8</v>
      </c>
      <c r="P18">
        <v>51.9</v>
      </c>
      <c r="Q18">
        <v>0.8</v>
      </c>
      <c r="S18">
        <v>24.4</v>
      </c>
      <c r="T18">
        <v>0.8</v>
      </c>
      <c r="V18" s="72">
        <v>0.40138888888888891</v>
      </c>
      <c r="W18">
        <v>0.94</v>
      </c>
      <c r="Y18">
        <v>0.62</v>
      </c>
      <c r="Z18" s="44">
        <v>0.4</v>
      </c>
    </row>
    <row r="19" spans="1:26">
      <c r="A19">
        <v>19</v>
      </c>
      <c r="B19">
        <v>1.07</v>
      </c>
      <c r="D19">
        <v>24</v>
      </c>
      <c r="E19">
        <v>1.07</v>
      </c>
      <c r="G19">
        <v>9</v>
      </c>
      <c r="H19">
        <v>1.07</v>
      </c>
      <c r="J19" s="44">
        <v>0.4</v>
      </c>
      <c r="K19">
        <v>1.07</v>
      </c>
      <c r="M19">
        <v>6</v>
      </c>
      <c r="N19">
        <v>1.07</v>
      </c>
      <c r="P19">
        <v>18.600000000000001</v>
      </c>
      <c r="Q19">
        <v>1.07</v>
      </c>
      <c r="S19">
        <v>0</v>
      </c>
      <c r="T19">
        <v>1.07</v>
      </c>
      <c r="V19" s="72">
        <v>0.29166666666666669</v>
      </c>
      <c r="W19">
        <v>1.3</v>
      </c>
      <c r="Y19">
        <v>0.52</v>
      </c>
      <c r="Z19" s="44">
        <v>0.5</v>
      </c>
    </row>
    <row r="20" spans="1:26">
      <c r="A20">
        <v>19</v>
      </c>
      <c r="B20">
        <v>1.1299999999999999</v>
      </c>
      <c r="D20">
        <v>24</v>
      </c>
      <c r="E20">
        <v>1.1299999999999999</v>
      </c>
      <c r="G20">
        <v>13</v>
      </c>
      <c r="H20">
        <v>1.1299999999999999</v>
      </c>
      <c r="J20" s="44">
        <v>9.9999999999999978E-2</v>
      </c>
      <c r="K20">
        <v>1.1299999999999999</v>
      </c>
      <c r="M20">
        <v>5</v>
      </c>
      <c r="N20">
        <v>1.1299999999999999</v>
      </c>
      <c r="P20">
        <v>40.200000000000003</v>
      </c>
      <c r="Q20">
        <v>1.1299999999999999</v>
      </c>
      <c r="S20">
        <v>15</v>
      </c>
      <c r="T20">
        <v>1.1299999999999999</v>
      </c>
      <c r="V20" s="72">
        <v>0.28958333333333336</v>
      </c>
      <c r="W20">
        <v>0.97</v>
      </c>
      <c r="Y20">
        <v>0.69</v>
      </c>
      <c r="Z20" s="44">
        <v>0</v>
      </c>
    </row>
    <row r="21" spans="1:26">
      <c r="A21">
        <v>27</v>
      </c>
      <c r="B21">
        <v>1.01</v>
      </c>
      <c r="D21">
        <v>33</v>
      </c>
      <c r="E21">
        <v>1.01</v>
      </c>
      <c r="G21">
        <v>15</v>
      </c>
      <c r="H21">
        <v>1.01</v>
      </c>
      <c r="J21" s="44">
        <v>0.6</v>
      </c>
      <c r="K21">
        <v>1.01</v>
      </c>
      <c r="M21">
        <v>11</v>
      </c>
      <c r="N21">
        <v>1.01</v>
      </c>
      <c r="P21">
        <v>26.2</v>
      </c>
      <c r="Q21">
        <v>1.01</v>
      </c>
      <c r="S21">
        <v>8.3000000000000007</v>
      </c>
      <c r="T21">
        <v>1.01</v>
      </c>
      <c r="V21" s="72">
        <v>0.29166666666666669</v>
      </c>
      <c r="W21">
        <v>1.04</v>
      </c>
      <c r="Y21">
        <v>0.69</v>
      </c>
      <c r="Z21" s="44">
        <v>0.30000000000000004</v>
      </c>
    </row>
    <row r="22" spans="1:26">
      <c r="A22">
        <v>15</v>
      </c>
      <c r="B22">
        <v>0.76</v>
      </c>
      <c r="D22">
        <v>21</v>
      </c>
      <c r="E22">
        <v>0.76</v>
      </c>
      <c r="G22">
        <v>5</v>
      </c>
      <c r="H22">
        <v>0.76</v>
      </c>
      <c r="J22" s="44">
        <v>9.9999999999999978E-2</v>
      </c>
      <c r="K22">
        <v>0.76</v>
      </c>
      <c r="M22">
        <v>5</v>
      </c>
      <c r="N22">
        <v>0.76</v>
      </c>
      <c r="P22">
        <v>51</v>
      </c>
      <c r="Q22">
        <v>0.76</v>
      </c>
      <c r="S22">
        <v>22.3</v>
      </c>
      <c r="T22">
        <v>0.76</v>
      </c>
      <c r="Y22">
        <v>0.65</v>
      </c>
      <c r="Z22" s="44">
        <v>0.4</v>
      </c>
    </row>
    <row r="23" spans="1:26">
      <c r="A23">
        <v>19</v>
      </c>
      <c r="B23">
        <v>0.94</v>
      </c>
      <c r="D23">
        <v>27</v>
      </c>
      <c r="E23">
        <v>0.94</v>
      </c>
      <c r="G23">
        <v>9</v>
      </c>
      <c r="H23">
        <v>0.94</v>
      </c>
      <c r="J23" s="44">
        <v>0.19999999999999996</v>
      </c>
      <c r="K23">
        <v>0.94</v>
      </c>
      <c r="M23">
        <v>3</v>
      </c>
      <c r="N23">
        <v>0.94</v>
      </c>
      <c r="P23">
        <v>11.4</v>
      </c>
      <c r="Q23">
        <v>0.94</v>
      </c>
      <c r="S23">
        <v>6.2</v>
      </c>
      <c r="T23">
        <v>0.94</v>
      </c>
      <c r="V23" s="33" t="s">
        <v>267</v>
      </c>
      <c r="W23">
        <f>CORREL(V4:V21,W4:W21)</f>
        <v>-5.6042090586006184E-2</v>
      </c>
      <c r="Y23">
        <v>1.27</v>
      </c>
      <c r="Z23" s="44">
        <v>0.6</v>
      </c>
    </row>
    <row r="24" spans="1:26">
      <c r="A24">
        <v>19</v>
      </c>
      <c r="B24">
        <v>1.35</v>
      </c>
      <c r="D24">
        <v>26</v>
      </c>
      <c r="E24">
        <v>1.35</v>
      </c>
      <c r="G24">
        <v>13</v>
      </c>
      <c r="H24">
        <v>1.35</v>
      </c>
      <c r="J24" s="44">
        <v>9.9999999999999978E-2</v>
      </c>
      <c r="K24">
        <v>1.35</v>
      </c>
      <c r="M24">
        <v>6</v>
      </c>
      <c r="N24">
        <v>1.35</v>
      </c>
      <c r="P24">
        <v>1</v>
      </c>
      <c r="Q24">
        <v>1.35</v>
      </c>
      <c r="S24">
        <v>0.3</v>
      </c>
      <c r="T24">
        <v>1.35</v>
      </c>
      <c r="Y24">
        <v>0.88</v>
      </c>
      <c r="Z24" s="44">
        <v>0.4</v>
      </c>
    </row>
    <row r="25" spans="1:26">
      <c r="A25">
        <v>13</v>
      </c>
      <c r="B25">
        <v>1.08</v>
      </c>
      <c r="D25">
        <v>21</v>
      </c>
      <c r="E25">
        <v>1.08</v>
      </c>
      <c r="G25">
        <v>6</v>
      </c>
      <c r="H25">
        <v>1.08</v>
      </c>
      <c r="J25" s="44">
        <v>0.30000000000000004</v>
      </c>
      <c r="K25">
        <v>1.08</v>
      </c>
      <c r="M25">
        <v>2</v>
      </c>
      <c r="N25">
        <v>1.08</v>
      </c>
      <c r="P25">
        <v>11.6</v>
      </c>
      <c r="Q25">
        <v>1.08</v>
      </c>
      <c r="S25">
        <v>11.6</v>
      </c>
      <c r="T25">
        <v>1.08</v>
      </c>
    </row>
    <row r="26" spans="1:26">
      <c r="A26">
        <v>21</v>
      </c>
      <c r="B26">
        <v>1.3</v>
      </c>
      <c r="D26">
        <v>25</v>
      </c>
      <c r="E26">
        <v>1.3</v>
      </c>
      <c r="G26">
        <v>10</v>
      </c>
      <c r="H26">
        <v>1.3</v>
      </c>
      <c r="J26" s="44">
        <v>0.19999999999999996</v>
      </c>
      <c r="K26">
        <v>1.3</v>
      </c>
      <c r="M26">
        <v>8</v>
      </c>
      <c r="N26">
        <v>1.3</v>
      </c>
      <c r="P26">
        <v>8.3000000000000007</v>
      </c>
      <c r="Q26">
        <v>1.3</v>
      </c>
      <c r="S26">
        <v>3.5</v>
      </c>
      <c r="T26">
        <v>1.3</v>
      </c>
    </row>
    <row r="27" spans="1:26">
      <c r="A27" s="33">
        <v>24</v>
      </c>
      <c r="B27">
        <v>0.97</v>
      </c>
      <c r="D27" s="33">
        <v>30</v>
      </c>
      <c r="E27">
        <v>0.97</v>
      </c>
      <c r="G27" s="33">
        <v>9</v>
      </c>
      <c r="H27">
        <v>0.97</v>
      </c>
      <c r="J27" s="44">
        <v>0.4</v>
      </c>
      <c r="K27">
        <v>0.97</v>
      </c>
      <c r="M27">
        <v>10</v>
      </c>
      <c r="N27">
        <v>0.97</v>
      </c>
      <c r="P27">
        <v>48.2</v>
      </c>
      <c r="Q27">
        <v>0.97</v>
      </c>
      <c r="S27">
        <v>12.1</v>
      </c>
      <c r="T27">
        <v>0.97</v>
      </c>
    </row>
    <row r="28" spans="1:26">
      <c r="A28">
        <v>28</v>
      </c>
      <c r="B28">
        <v>1.04</v>
      </c>
      <c r="D28">
        <v>34</v>
      </c>
      <c r="E28">
        <v>1.04</v>
      </c>
      <c r="G28">
        <v>12</v>
      </c>
      <c r="H28">
        <v>1.04</v>
      </c>
      <c r="J28" s="44">
        <v>0.4</v>
      </c>
      <c r="K28">
        <v>1.04</v>
      </c>
      <c r="M28">
        <v>13</v>
      </c>
      <c r="N28">
        <v>1.04</v>
      </c>
      <c r="P28">
        <v>76.3</v>
      </c>
      <c r="Q28">
        <v>1.04</v>
      </c>
      <c r="S28">
        <v>27.1</v>
      </c>
      <c r="T28">
        <v>1.04</v>
      </c>
    </row>
    <row r="30" spans="1:26">
      <c r="A30" s="33" t="s">
        <v>267</v>
      </c>
      <c r="B30">
        <f>CORREL(A4:A28,B4:B28)</f>
        <v>5.7684125308039083E-3</v>
      </c>
      <c r="D30" s="33" t="s">
        <v>267</v>
      </c>
      <c r="E30">
        <f>CORREL(D4:D28,E4:E28)</f>
        <v>-1.4185579416044843E-2</v>
      </c>
      <c r="G30" s="33" t="s">
        <v>267</v>
      </c>
      <c r="H30" s="74">
        <f>CORREL(G4:G28,H4:H28)</f>
        <v>0.28482292821541388</v>
      </c>
      <c r="J30" s="33" t="s">
        <v>267</v>
      </c>
      <c r="K30">
        <f>CORREL(J4:J28,K4:K28)</f>
        <v>0.15879010569326221</v>
      </c>
      <c r="M30" s="33" t="s">
        <v>267</v>
      </c>
      <c r="N30">
        <f>CORREL(M4:M28,N4:N28)</f>
        <v>-8.6985443261246395E-2</v>
      </c>
      <c r="P30" s="33" t="s">
        <v>267</v>
      </c>
      <c r="Q30">
        <f>CORREL(P4:P28,Q4:Q28)</f>
        <v>-8.386051756742248E-2</v>
      </c>
      <c r="S30" s="33" t="s">
        <v>267</v>
      </c>
      <c r="T30">
        <f>CORREL(S4:S28,T4:T28)</f>
        <v>-0.14776731607107693</v>
      </c>
    </row>
  </sheetData>
  <phoneticPr fontId="8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4221-FAF5-4154-B1EF-61036F7CEFC9}">
  <dimension ref="A1:Q92"/>
  <sheetViews>
    <sheetView zoomScale="103" workbookViewId="0">
      <selection activeCell="G67" sqref="G67:G89"/>
    </sheetView>
  </sheetViews>
  <sheetFormatPr baseColWidth="10" defaultColWidth="8.83203125" defaultRowHeight="13"/>
  <cols>
    <col min="1" max="1" width="22.1640625" customWidth="1"/>
  </cols>
  <sheetData>
    <row r="1" spans="2:11" ht="17">
      <c r="B1" s="31" t="s">
        <v>146</v>
      </c>
      <c r="F1" s="32" t="s">
        <v>147</v>
      </c>
      <c r="J1" s="33" t="s">
        <v>148</v>
      </c>
    </row>
    <row r="2" spans="2:11">
      <c r="B2" t="s">
        <v>142</v>
      </c>
      <c r="C2" t="s">
        <v>113</v>
      </c>
      <c r="F2" t="s">
        <v>142</v>
      </c>
      <c r="G2" t="s">
        <v>113</v>
      </c>
    </row>
    <row r="3" spans="2:11">
      <c r="B3">
        <v>16</v>
      </c>
      <c r="C3">
        <v>34</v>
      </c>
      <c r="F3">
        <v>26</v>
      </c>
      <c r="G3">
        <v>44</v>
      </c>
      <c r="J3">
        <v>16</v>
      </c>
      <c r="K3">
        <v>34</v>
      </c>
    </row>
    <row r="4" spans="2:11">
      <c r="B4">
        <v>15</v>
      </c>
      <c r="C4">
        <v>26</v>
      </c>
      <c r="F4">
        <v>24</v>
      </c>
      <c r="G4">
        <v>27</v>
      </c>
      <c r="J4">
        <v>15</v>
      </c>
      <c r="K4">
        <v>26</v>
      </c>
    </row>
    <row r="5" spans="2:11">
      <c r="B5">
        <v>21</v>
      </c>
      <c r="C5">
        <v>10</v>
      </c>
      <c r="F5">
        <v>25</v>
      </c>
      <c r="G5">
        <v>48</v>
      </c>
      <c r="J5">
        <v>21</v>
      </c>
      <c r="K5">
        <v>10</v>
      </c>
    </row>
    <row r="6" spans="2:11">
      <c r="B6">
        <v>23</v>
      </c>
      <c r="C6">
        <v>10</v>
      </c>
      <c r="F6">
        <v>24</v>
      </c>
      <c r="G6">
        <v>36</v>
      </c>
      <c r="J6">
        <v>23</v>
      </c>
      <c r="K6">
        <v>10</v>
      </c>
    </row>
    <row r="7" spans="2:11">
      <c r="B7">
        <v>17</v>
      </c>
      <c r="C7">
        <v>32</v>
      </c>
      <c r="F7">
        <v>25</v>
      </c>
      <c r="G7">
        <v>10</v>
      </c>
      <c r="J7">
        <v>17</v>
      </c>
      <c r="K7">
        <v>32</v>
      </c>
    </row>
    <row r="8" spans="2:11">
      <c r="B8">
        <v>14</v>
      </c>
      <c r="C8">
        <v>47</v>
      </c>
      <c r="F8">
        <v>26</v>
      </c>
      <c r="G8">
        <v>26</v>
      </c>
      <c r="J8">
        <v>14</v>
      </c>
      <c r="K8">
        <v>47</v>
      </c>
    </row>
    <row r="9" spans="2:11">
      <c r="B9">
        <v>20</v>
      </c>
      <c r="C9">
        <v>10</v>
      </c>
      <c r="F9">
        <v>24</v>
      </c>
      <c r="G9">
        <v>10</v>
      </c>
      <c r="J9">
        <v>20</v>
      </c>
      <c r="K9">
        <v>10</v>
      </c>
    </row>
    <row r="10" spans="2:11">
      <c r="B10">
        <v>16</v>
      </c>
      <c r="C10">
        <v>30</v>
      </c>
      <c r="F10">
        <v>24</v>
      </c>
      <c r="G10">
        <v>33</v>
      </c>
      <c r="J10">
        <v>16</v>
      </c>
      <c r="K10">
        <v>30</v>
      </c>
    </row>
    <row r="11" spans="2:11">
      <c r="B11">
        <v>16</v>
      </c>
      <c r="C11">
        <v>10</v>
      </c>
      <c r="F11">
        <v>27</v>
      </c>
      <c r="G11">
        <v>64</v>
      </c>
      <c r="J11">
        <v>16</v>
      </c>
      <c r="K11">
        <v>10</v>
      </c>
    </row>
    <row r="12" spans="2:11">
      <c r="B12">
        <v>14</v>
      </c>
      <c r="C12">
        <v>62</v>
      </c>
      <c r="F12">
        <v>24</v>
      </c>
      <c r="G12">
        <v>44</v>
      </c>
      <c r="J12">
        <v>14</v>
      </c>
      <c r="K12">
        <v>62</v>
      </c>
    </row>
    <row r="13" spans="2:11">
      <c r="B13">
        <v>17</v>
      </c>
      <c r="C13">
        <v>32</v>
      </c>
      <c r="J13">
        <v>17</v>
      </c>
      <c r="K13">
        <v>32</v>
      </c>
    </row>
    <row r="14" spans="2:11" ht="14">
      <c r="B14">
        <v>14</v>
      </c>
      <c r="C14">
        <v>46</v>
      </c>
      <c r="E14" s="31" t="s">
        <v>149</v>
      </c>
      <c r="F14">
        <f>AVERAGE(F3:F12)</f>
        <v>24.9</v>
      </c>
      <c r="G14">
        <f>AVERAGE(G3:G12)</f>
        <v>34.200000000000003</v>
      </c>
      <c r="J14">
        <v>14</v>
      </c>
      <c r="K14">
        <v>46</v>
      </c>
    </row>
    <row r="15" spans="2:11">
      <c r="B15">
        <v>14</v>
      </c>
      <c r="C15">
        <v>32</v>
      </c>
      <c r="J15">
        <v>14</v>
      </c>
      <c r="K15">
        <v>32</v>
      </c>
    </row>
    <row r="16" spans="2:11">
      <c r="B16">
        <v>18</v>
      </c>
      <c r="C16">
        <v>10</v>
      </c>
      <c r="J16">
        <v>18</v>
      </c>
      <c r="K16">
        <v>10</v>
      </c>
    </row>
    <row r="17" spans="1:11">
      <c r="B17">
        <v>22</v>
      </c>
      <c r="C17">
        <v>10</v>
      </c>
      <c r="J17">
        <v>22</v>
      </c>
      <c r="K17">
        <v>10</v>
      </c>
    </row>
    <row r="18" spans="1:11">
      <c r="B18">
        <v>17</v>
      </c>
      <c r="C18">
        <v>10</v>
      </c>
      <c r="J18">
        <v>17</v>
      </c>
      <c r="K18">
        <v>10</v>
      </c>
    </row>
    <row r="19" spans="1:11">
      <c r="B19">
        <v>18</v>
      </c>
      <c r="C19">
        <v>50</v>
      </c>
      <c r="J19">
        <v>18</v>
      </c>
      <c r="K19">
        <v>50</v>
      </c>
    </row>
    <row r="20" spans="1:11">
      <c r="B20">
        <v>14</v>
      </c>
      <c r="C20">
        <v>31</v>
      </c>
      <c r="J20">
        <v>14</v>
      </c>
      <c r="K20">
        <v>31</v>
      </c>
    </row>
    <row r="21" spans="1:11">
      <c r="B21">
        <v>23</v>
      </c>
      <c r="C21">
        <v>35</v>
      </c>
      <c r="J21">
        <v>23</v>
      </c>
      <c r="K21">
        <v>35</v>
      </c>
    </row>
    <row r="22" spans="1:11">
      <c r="B22">
        <v>18</v>
      </c>
      <c r="C22">
        <v>35</v>
      </c>
      <c r="J22">
        <v>18</v>
      </c>
      <c r="K22">
        <v>35</v>
      </c>
    </row>
    <row r="23" spans="1:11">
      <c r="J23">
        <v>26</v>
      </c>
      <c r="K23">
        <v>44</v>
      </c>
    </row>
    <row r="24" spans="1:11">
      <c r="A24" s="33" t="s">
        <v>149</v>
      </c>
      <c r="B24">
        <f>AVERAGE(B3:B22)</f>
        <v>17.350000000000001</v>
      </c>
      <c r="C24">
        <f>AVERAGE(C3:C22)</f>
        <v>28.1</v>
      </c>
      <c r="J24">
        <v>24</v>
      </c>
      <c r="K24">
        <v>27</v>
      </c>
    </row>
    <row r="25" spans="1:11">
      <c r="J25">
        <v>25</v>
      </c>
      <c r="K25">
        <v>48</v>
      </c>
    </row>
    <row r="26" spans="1:11">
      <c r="J26">
        <v>24</v>
      </c>
      <c r="K26">
        <v>36</v>
      </c>
    </row>
    <row r="27" spans="1:11">
      <c r="J27">
        <v>25</v>
      </c>
      <c r="K27">
        <v>10</v>
      </c>
    </row>
    <row r="28" spans="1:11">
      <c r="J28">
        <v>26</v>
      </c>
      <c r="K28">
        <v>26</v>
      </c>
    </row>
    <row r="29" spans="1:11">
      <c r="J29">
        <v>24</v>
      </c>
      <c r="K29">
        <v>10</v>
      </c>
    </row>
    <row r="30" spans="1:11">
      <c r="J30">
        <v>24</v>
      </c>
      <c r="K30">
        <v>33</v>
      </c>
    </row>
    <row r="31" spans="1:11">
      <c r="J31">
        <v>27</v>
      </c>
      <c r="K31">
        <v>64</v>
      </c>
    </row>
    <row r="32" spans="1:11">
      <c r="J32">
        <v>24</v>
      </c>
      <c r="K32">
        <v>44</v>
      </c>
    </row>
    <row r="34" spans="1:17">
      <c r="J34" s="33" t="s">
        <v>150</v>
      </c>
      <c r="K34">
        <f>CORREL(J3:J32,K3:K32)</f>
        <v>-4.9410149767875132E-2</v>
      </c>
    </row>
    <row r="35" spans="1:17">
      <c r="G35" s="33" t="s">
        <v>252</v>
      </c>
    </row>
    <row r="36" spans="1:17">
      <c r="G36" s="33" t="s">
        <v>169</v>
      </c>
      <c r="H36" s="33" t="s">
        <v>170</v>
      </c>
      <c r="I36" s="33"/>
    </row>
    <row r="37" spans="1:17">
      <c r="A37" t="s">
        <v>151</v>
      </c>
      <c r="G37">
        <v>34</v>
      </c>
      <c r="H37">
        <v>44</v>
      </c>
    </row>
    <row r="38" spans="1:17" ht="14" thickBot="1">
      <c r="G38">
        <v>26</v>
      </c>
      <c r="H38">
        <v>27</v>
      </c>
    </row>
    <row r="39" spans="1:17">
      <c r="A39" s="35"/>
      <c r="B39" s="35" t="s">
        <v>152</v>
      </c>
      <c r="C39" s="35" t="s">
        <v>153</v>
      </c>
      <c r="G39">
        <v>10</v>
      </c>
      <c r="H39">
        <v>48</v>
      </c>
    </row>
    <row r="40" spans="1:17">
      <c r="A40" s="33" t="s">
        <v>154</v>
      </c>
      <c r="B40">
        <v>28.1</v>
      </c>
      <c r="C40">
        <v>34.200000000000003</v>
      </c>
      <c r="G40">
        <v>10</v>
      </c>
      <c r="H40">
        <v>36</v>
      </c>
    </row>
    <row r="41" spans="1:17">
      <c r="A41" s="33" t="s">
        <v>155</v>
      </c>
      <c r="B41">
        <v>252.19999999999996</v>
      </c>
      <c r="C41">
        <v>285.06666666666672</v>
      </c>
      <c r="G41">
        <v>32</v>
      </c>
      <c r="H41">
        <v>10</v>
      </c>
    </row>
    <row r="42" spans="1:17">
      <c r="A42" s="33" t="s">
        <v>156</v>
      </c>
      <c r="B42">
        <v>20</v>
      </c>
      <c r="C42">
        <v>10</v>
      </c>
      <c r="G42">
        <v>47</v>
      </c>
      <c r="H42">
        <v>26</v>
      </c>
      <c r="O42" t="s">
        <v>151</v>
      </c>
    </row>
    <row r="43" spans="1:17" ht="14" thickBot="1">
      <c r="A43" s="33" t="s">
        <v>157</v>
      </c>
      <c r="B43">
        <v>19</v>
      </c>
      <c r="C43">
        <v>9</v>
      </c>
      <c r="G43">
        <v>10</v>
      </c>
      <c r="H43">
        <v>10</v>
      </c>
    </row>
    <row r="44" spans="1:17">
      <c r="A44" s="33" t="s">
        <v>158</v>
      </c>
      <c r="B44">
        <v>0.88470533208606139</v>
      </c>
      <c r="G44">
        <v>30</v>
      </c>
      <c r="H44">
        <v>33</v>
      </c>
      <c r="O44" s="35"/>
      <c r="P44" s="35" t="s">
        <v>152</v>
      </c>
      <c r="Q44" s="35" t="s">
        <v>153</v>
      </c>
    </row>
    <row r="45" spans="1:17">
      <c r="A45" t="s">
        <v>159</v>
      </c>
      <c r="B45">
        <v>0.38960170005199901</v>
      </c>
      <c r="G45">
        <v>10</v>
      </c>
      <c r="H45">
        <v>64</v>
      </c>
      <c r="O45" s="33" t="s">
        <v>154</v>
      </c>
      <c r="P45">
        <v>28.1</v>
      </c>
      <c r="Q45">
        <v>34.200000000000003</v>
      </c>
    </row>
    <row r="46" spans="1:17" ht="14" thickBot="1">
      <c r="A46" s="34" t="s">
        <v>160</v>
      </c>
      <c r="B46" s="34">
        <v>0.41276280130255011</v>
      </c>
      <c r="C46" s="34"/>
      <c r="G46">
        <v>62</v>
      </c>
      <c r="H46">
        <v>44</v>
      </c>
      <c r="O46" s="33" t="s">
        <v>155</v>
      </c>
      <c r="P46">
        <v>252.19999999999996</v>
      </c>
      <c r="Q46">
        <v>285.06666666666672</v>
      </c>
    </row>
    <row r="47" spans="1:17">
      <c r="G47">
        <v>32</v>
      </c>
      <c r="O47" s="33" t="s">
        <v>156</v>
      </c>
      <c r="P47">
        <v>20</v>
      </c>
      <c r="Q47">
        <v>10</v>
      </c>
    </row>
    <row r="48" spans="1:17" ht="14">
      <c r="G48">
        <v>46</v>
      </c>
      <c r="I48" s="31"/>
      <c r="O48" s="33" t="s">
        <v>157</v>
      </c>
      <c r="P48">
        <v>19</v>
      </c>
      <c r="Q48">
        <v>9</v>
      </c>
    </row>
    <row r="49" spans="1:17">
      <c r="A49" t="s">
        <v>161</v>
      </c>
      <c r="G49">
        <v>32</v>
      </c>
      <c r="O49" s="33" t="s">
        <v>158</v>
      </c>
      <c r="P49">
        <v>0.88470533208606139</v>
      </c>
    </row>
    <row r="50" spans="1:17" ht="14" thickBot="1">
      <c r="G50">
        <v>10</v>
      </c>
      <c r="O50" t="s">
        <v>159</v>
      </c>
      <c r="P50">
        <v>0.38960170005199901</v>
      </c>
    </row>
    <row r="51" spans="1:17" ht="14" thickBot="1">
      <c r="A51" s="35"/>
      <c r="B51" s="35" t="s">
        <v>152</v>
      </c>
      <c r="C51" s="35" t="s">
        <v>153</v>
      </c>
      <c r="G51">
        <v>10</v>
      </c>
      <c r="O51" s="34" t="s">
        <v>160</v>
      </c>
      <c r="P51" s="34">
        <v>0.41276280130255011</v>
      </c>
      <c r="Q51" s="34"/>
    </row>
    <row r="52" spans="1:17">
      <c r="A52" s="33" t="s">
        <v>154</v>
      </c>
      <c r="B52">
        <v>28.1</v>
      </c>
      <c r="C52">
        <v>34.200000000000003</v>
      </c>
      <c r="G52">
        <v>10</v>
      </c>
    </row>
    <row r="53" spans="1:17">
      <c r="A53" s="33" t="s">
        <v>155</v>
      </c>
      <c r="B53">
        <v>252.19999999999996</v>
      </c>
      <c r="C53">
        <v>285.06666666666672</v>
      </c>
      <c r="G53">
        <v>50</v>
      </c>
    </row>
    <row r="54" spans="1:17">
      <c r="A54" s="33" t="s">
        <v>156</v>
      </c>
      <c r="B54">
        <v>20</v>
      </c>
      <c r="C54">
        <v>10</v>
      </c>
      <c r="G54">
        <v>31</v>
      </c>
    </row>
    <row r="55" spans="1:17">
      <c r="A55" s="33" t="s">
        <v>162</v>
      </c>
      <c r="B55">
        <v>262.76428571428568</v>
      </c>
      <c r="G55">
        <v>35</v>
      </c>
    </row>
    <row r="56" spans="1:17">
      <c r="A56" s="33" t="s">
        <v>163</v>
      </c>
      <c r="B56">
        <v>0</v>
      </c>
      <c r="G56">
        <v>35</v>
      </c>
    </row>
    <row r="57" spans="1:17">
      <c r="A57" s="33" t="s">
        <v>157</v>
      </c>
      <c r="B57">
        <v>28</v>
      </c>
    </row>
    <row r="58" spans="1:17">
      <c r="A58" t="s">
        <v>164</v>
      </c>
      <c r="B58">
        <v>-0.97163027197435037</v>
      </c>
    </row>
    <row r="59" spans="1:17">
      <c r="A59" t="s">
        <v>165</v>
      </c>
      <c r="B59">
        <v>0.16977692953675222</v>
      </c>
    </row>
    <row r="60" spans="1:17">
      <c r="A60" t="s">
        <v>166</v>
      </c>
      <c r="B60">
        <v>1.7011309342659326</v>
      </c>
    </row>
    <row r="61" spans="1:17">
      <c r="A61" t="s">
        <v>167</v>
      </c>
      <c r="B61">
        <v>0.33955385907350399</v>
      </c>
    </row>
    <row r="62" spans="1:17" ht="14" thickBot="1">
      <c r="A62" s="34" t="s">
        <v>168</v>
      </c>
      <c r="B62" s="34">
        <v>2.0484071417952445</v>
      </c>
      <c r="C62" s="34"/>
    </row>
    <row r="65" spans="1:12" ht="14">
      <c r="G65" s="31" t="s">
        <v>251</v>
      </c>
    </row>
    <row r="66" spans="1:12" ht="14">
      <c r="G66" s="31" t="s">
        <v>250</v>
      </c>
      <c r="H66" s="31" t="s">
        <v>249</v>
      </c>
    </row>
    <row r="67" spans="1:12">
      <c r="G67">
        <v>77</v>
      </c>
      <c r="H67">
        <v>34</v>
      </c>
      <c r="J67" t="s">
        <v>151</v>
      </c>
    </row>
    <row r="68" spans="1:12" ht="14" thickBot="1">
      <c r="G68">
        <v>30</v>
      </c>
      <c r="H68">
        <v>42</v>
      </c>
    </row>
    <row r="69" spans="1:12">
      <c r="A69" t="s">
        <v>171</v>
      </c>
      <c r="G69">
        <v>27</v>
      </c>
      <c r="H69">
        <v>51</v>
      </c>
      <c r="J69" s="35"/>
      <c r="K69" s="35" t="s">
        <v>152</v>
      </c>
      <c r="L69" s="35" t="s">
        <v>153</v>
      </c>
    </row>
    <row r="70" spans="1:12" ht="14" thickBot="1">
      <c r="G70">
        <v>50</v>
      </c>
      <c r="H70">
        <v>49</v>
      </c>
      <c r="J70" s="33" t="s">
        <v>154</v>
      </c>
      <c r="K70">
        <v>47.347826086956523</v>
      </c>
      <c r="L70">
        <v>45.6</v>
      </c>
    </row>
    <row r="71" spans="1:12">
      <c r="A71" s="35"/>
      <c r="B71" s="35" t="s">
        <v>152</v>
      </c>
      <c r="C71" s="35" t="s">
        <v>153</v>
      </c>
      <c r="G71">
        <v>52</v>
      </c>
      <c r="H71">
        <v>52</v>
      </c>
      <c r="J71" s="33" t="s">
        <v>155</v>
      </c>
      <c r="K71">
        <v>422.87351778656108</v>
      </c>
      <c r="L71">
        <v>57.300000000000182</v>
      </c>
    </row>
    <row r="72" spans="1:12">
      <c r="A72" s="33" t="s">
        <v>154</v>
      </c>
      <c r="B72">
        <v>27.1</v>
      </c>
      <c r="C72">
        <v>34.200000000000003</v>
      </c>
      <c r="G72">
        <v>10</v>
      </c>
      <c r="J72" s="33" t="s">
        <v>156</v>
      </c>
      <c r="K72">
        <v>23</v>
      </c>
      <c r="L72">
        <v>5</v>
      </c>
    </row>
    <row r="73" spans="1:12">
      <c r="A73" s="33" t="s">
        <v>155</v>
      </c>
      <c r="B73">
        <v>318.32222222222219</v>
      </c>
      <c r="C73">
        <v>285.06666666666672</v>
      </c>
      <c r="G73">
        <v>61</v>
      </c>
      <c r="J73" s="33" t="s">
        <v>157</v>
      </c>
      <c r="K73">
        <v>22</v>
      </c>
      <c r="L73">
        <v>4</v>
      </c>
    </row>
    <row r="74" spans="1:12">
      <c r="A74" s="33" t="s">
        <v>156</v>
      </c>
      <c r="B74">
        <v>10</v>
      </c>
      <c r="C74">
        <v>10</v>
      </c>
      <c r="G74">
        <v>78</v>
      </c>
      <c r="J74" s="33" t="s">
        <v>158</v>
      </c>
      <c r="K74">
        <v>7.3799915844076747</v>
      </c>
    </row>
    <row r="75" spans="1:12">
      <c r="A75" s="33" t="s">
        <v>172</v>
      </c>
      <c r="B75">
        <v>-8.4909466495700275E-2</v>
      </c>
      <c r="G75">
        <v>43</v>
      </c>
      <c r="J75" t="s">
        <v>159</v>
      </c>
      <c r="K75">
        <v>3.2511835199261263E-2</v>
      </c>
    </row>
    <row r="76" spans="1:12" ht="14" thickBot="1">
      <c r="A76" s="33" t="s">
        <v>163</v>
      </c>
      <c r="B76">
        <v>0</v>
      </c>
      <c r="G76">
        <v>44</v>
      </c>
      <c r="J76" s="34" t="s">
        <v>160</v>
      </c>
      <c r="K76" s="34">
        <v>5.7872295197868686</v>
      </c>
      <c r="L76" s="34"/>
    </row>
    <row r="77" spans="1:12">
      <c r="A77" s="33" t="s">
        <v>157</v>
      </c>
      <c r="B77">
        <v>9</v>
      </c>
      <c r="G77">
        <v>10</v>
      </c>
    </row>
    <row r="78" spans="1:12">
      <c r="A78" t="s">
        <v>164</v>
      </c>
      <c r="B78">
        <v>-0.87758416478819012</v>
      </c>
      <c r="G78">
        <v>55</v>
      </c>
    </row>
    <row r="79" spans="1:12">
      <c r="A79" t="s">
        <v>165</v>
      </c>
      <c r="B79">
        <v>0.20149396281648729</v>
      </c>
      <c r="G79">
        <v>38</v>
      </c>
      <c r="J79" t="s">
        <v>161</v>
      </c>
    </row>
    <row r="80" spans="1:12" ht="14" thickBot="1">
      <c r="A80" t="s">
        <v>166</v>
      </c>
      <c r="B80">
        <v>1.8331129326562374</v>
      </c>
      <c r="G80">
        <v>81</v>
      </c>
    </row>
    <row r="81" spans="1:12">
      <c r="A81" t="s">
        <v>167</v>
      </c>
      <c r="B81">
        <v>0.40298792563297459</v>
      </c>
      <c r="G81">
        <v>40</v>
      </c>
      <c r="J81" s="35"/>
      <c r="K81" s="35" t="s">
        <v>152</v>
      </c>
      <c r="L81" s="35" t="s">
        <v>153</v>
      </c>
    </row>
    <row r="82" spans="1:12" ht="14" thickBot="1">
      <c r="A82" s="34" t="s">
        <v>168</v>
      </c>
      <c r="B82" s="34">
        <v>2.2621571627982053</v>
      </c>
      <c r="C82" s="34"/>
      <c r="G82">
        <v>54</v>
      </c>
      <c r="J82" s="33" t="s">
        <v>154</v>
      </c>
      <c r="K82">
        <v>47.347826086956523</v>
      </c>
      <c r="L82">
        <v>45.6</v>
      </c>
    </row>
    <row r="83" spans="1:12">
      <c r="G83">
        <v>57</v>
      </c>
      <c r="J83" s="33" t="s">
        <v>155</v>
      </c>
      <c r="K83">
        <v>422.87351778656108</v>
      </c>
      <c r="L83">
        <v>57.300000000000182</v>
      </c>
    </row>
    <row r="84" spans="1:12">
      <c r="G84">
        <v>38</v>
      </c>
      <c r="J84" s="33" t="s">
        <v>156</v>
      </c>
      <c r="K84">
        <v>23</v>
      </c>
      <c r="L84">
        <v>5</v>
      </c>
    </row>
    <row r="85" spans="1:12">
      <c r="G85">
        <v>47</v>
      </c>
      <c r="J85" s="33" t="s">
        <v>162</v>
      </c>
      <c r="K85">
        <v>366.63143812709018</v>
      </c>
    </row>
    <row r="86" spans="1:12">
      <c r="G86">
        <v>68</v>
      </c>
      <c r="J86" s="33" t="s">
        <v>163</v>
      </c>
      <c r="K86">
        <v>0</v>
      </c>
    </row>
    <row r="87" spans="1:12">
      <c r="G87">
        <v>54</v>
      </c>
      <c r="J87" s="33" t="s">
        <v>157</v>
      </c>
      <c r="K87">
        <v>26</v>
      </c>
    </row>
    <row r="88" spans="1:12">
      <c r="G88">
        <v>65</v>
      </c>
      <c r="J88" t="s">
        <v>164</v>
      </c>
      <c r="K88">
        <v>0.18499213745618004</v>
      </c>
    </row>
    <row r="89" spans="1:12">
      <c r="G89">
        <v>10</v>
      </c>
      <c r="J89" t="s">
        <v>165</v>
      </c>
      <c r="K89">
        <v>0.42733534740521784</v>
      </c>
    </row>
    <row r="90" spans="1:12">
      <c r="J90" t="s">
        <v>166</v>
      </c>
      <c r="K90">
        <v>1.7056179197592738</v>
      </c>
    </row>
    <row r="91" spans="1:12">
      <c r="J91" t="s">
        <v>167</v>
      </c>
      <c r="K91" s="68">
        <v>0.85467069481043567</v>
      </c>
    </row>
    <row r="92" spans="1:12" ht="14" thickBot="1">
      <c r="J92" s="34" t="s">
        <v>168</v>
      </c>
      <c r="K92" s="34">
        <v>2.0555294386428731</v>
      </c>
      <c r="L92" s="34"/>
    </row>
  </sheetData>
  <phoneticPr fontId="8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A126-94D2-4354-9A9D-7C9860CCE8BE}">
  <dimension ref="A1:S193"/>
  <sheetViews>
    <sheetView topLeftCell="C6" workbookViewId="0">
      <selection activeCell="AE45" sqref="AE19:AE45"/>
    </sheetView>
  </sheetViews>
  <sheetFormatPr baseColWidth="10" defaultColWidth="8.83203125" defaultRowHeight="13"/>
  <sheetData>
    <row r="1" spans="1:19" ht="14">
      <c r="A1" s="31" t="s">
        <v>254</v>
      </c>
      <c r="D1" s="31" t="s">
        <v>254</v>
      </c>
      <c r="H1" s="31" t="s">
        <v>255</v>
      </c>
      <c r="P1" s="31" t="s">
        <v>251</v>
      </c>
    </row>
    <row r="2" spans="1:19" ht="14">
      <c r="A2" s="31" t="s">
        <v>218</v>
      </c>
      <c r="B2" s="31" t="s">
        <v>183</v>
      </c>
      <c r="D2" s="31" t="s">
        <v>219</v>
      </c>
      <c r="E2" s="31" t="s">
        <v>210</v>
      </c>
      <c r="H2" t="s">
        <v>219</v>
      </c>
      <c r="I2" t="s">
        <v>210</v>
      </c>
      <c r="L2" s="31" t="s">
        <v>257</v>
      </c>
      <c r="M2" s="31" t="s">
        <v>258</v>
      </c>
      <c r="P2" s="69" t="s">
        <v>262</v>
      </c>
      <c r="S2" s="33" t="s">
        <v>261</v>
      </c>
    </row>
    <row r="3" spans="1:19" ht="14">
      <c r="A3">
        <v>137.9</v>
      </c>
      <c r="B3">
        <v>10</v>
      </c>
      <c r="D3">
        <v>10</v>
      </c>
      <c r="E3">
        <v>10</v>
      </c>
      <c r="H3">
        <v>30</v>
      </c>
      <c r="I3">
        <v>77</v>
      </c>
      <c r="L3">
        <v>30</v>
      </c>
      <c r="M3">
        <v>77</v>
      </c>
      <c r="P3" s="31" t="s">
        <v>216</v>
      </c>
      <c r="Q3" s="31" t="s">
        <v>217</v>
      </c>
    </row>
    <row r="4" spans="1:19">
      <c r="A4">
        <v>137.80000000000001</v>
      </c>
      <c r="B4">
        <v>35</v>
      </c>
      <c r="D4">
        <v>48</v>
      </c>
      <c r="E4">
        <v>35</v>
      </c>
      <c r="H4">
        <v>27</v>
      </c>
      <c r="I4">
        <v>52</v>
      </c>
      <c r="L4">
        <v>27</v>
      </c>
      <c r="M4">
        <v>52</v>
      </c>
      <c r="P4">
        <v>27</v>
      </c>
      <c r="Q4">
        <v>77</v>
      </c>
    </row>
    <row r="5" spans="1:19">
      <c r="A5">
        <v>111.5</v>
      </c>
      <c r="B5">
        <v>31</v>
      </c>
      <c r="D5">
        <v>50</v>
      </c>
      <c r="E5">
        <v>31</v>
      </c>
      <c r="H5">
        <v>50</v>
      </c>
      <c r="I5">
        <v>10</v>
      </c>
      <c r="L5">
        <v>50</v>
      </c>
      <c r="M5">
        <v>44</v>
      </c>
      <c r="P5">
        <v>10</v>
      </c>
      <c r="Q5">
        <v>50</v>
      </c>
    </row>
    <row r="6" spans="1:19">
      <c r="A6">
        <v>109.7</v>
      </c>
      <c r="B6">
        <v>10</v>
      </c>
      <c r="D6">
        <v>64</v>
      </c>
      <c r="E6">
        <v>10</v>
      </c>
      <c r="H6">
        <v>61</v>
      </c>
      <c r="I6">
        <v>44</v>
      </c>
      <c r="L6">
        <v>10</v>
      </c>
      <c r="M6">
        <v>40</v>
      </c>
      <c r="P6">
        <v>34</v>
      </c>
      <c r="Q6">
        <v>52</v>
      </c>
    </row>
    <row r="7" spans="1:19">
      <c r="A7">
        <v>82.4</v>
      </c>
      <c r="B7">
        <v>10</v>
      </c>
      <c r="D7">
        <v>10</v>
      </c>
      <c r="E7">
        <v>10</v>
      </c>
      <c r="H7">
        <v>34</v>
      </c>
      <c r="I7">
        <v>40</v>
      </c>
      <c r="L7">
        <v>61</v>
      </c>
      <c r="M7">
        <v>38</v>
      </c>
      <c r="P7">
        <v>43</v>
      </c>
      <c r="Q7">
        <v>61</v>
      </c>
    </row>
    <row r="8" spans="1:19">
      <c r="A8">
        <v>62.7</v>
      </c>
      <c r="B8">
        <v>62</v>
      </c>
      <c r="D8">
        <v>44</v>
      </c>
      <c r="E8">
        <v>62</v>
      </c>
      <c r="H8">
        <v>78</v>
      </c>
      <c r="I8">
        <v>38</v>
      </c>
      <c r="L8">
        <v>34</v>
      </c>
      <c r="M8">
        <v>52</v>
      </c>
      <c r="P8">
        <v>44</v>
      </c>
      <c r="Q8">
        <v>78</v>
      </c>
    </row>
    <row r="9" spans="1:19">
      <c r="A9">
        <v>62.3</v>
      </c>
      <c r="B9">
        <v>27</v>
      </c>
      <c r="D9">
        <v>10</v>
      </c>
      <c r="E9">
        <v>27</v>
      </c>
      <c r="H9">
        <v>43</v>
      </c>
      <c r="I9">
        <v>49</v>
      </c>
      <c r="L9">
        <v>78</v>
      </c>
      <c r="P9">
        <v>38</v>
      </c>
      <c r="Q9">
        <v>10</v>
      </c>
    </row>
    <row r="10" spans="1:19">
      <c r="A10">
        <v>61.3</v>
      </c>
      <c r="B10">
        <v>10</v>
      </c>
      <c r="D10">
        <v>26</v>
      </c>
      <c r="E10">
        <v>10</v>
      </c>
      <c r="H10">
        <v>10</v>
      </c>
      <c r="I10">
        <v>52</v>
      </c>
      <c r="L10">
        <v>43</v>
      </c>
      <c r="P10">
        <v>42</v>
      </c>
      <c r="Q10">
        <v>55</v>
      </c>
    </row>
    <row r="11" spans="1:19">
      <c r="A11">
        <v>55.5</v>
      </c>
      <c r="B11">
        <v>10</v>
      </c>
      <c r="D11">
        <v>46</v>
      </c>
      <c r="E11">
        <v>10</v>
      </c>
      <c r="H11">
        <v>55</v>
      </c>
      <c r="I11">
        <v>10</v>
      </c>
      <c r="L11">
        <v>10</v>
      </c>
      <c r="P11">
        <v>81</v>
      </c>
      <c r="Q11">
        <v>40</v>
      </c>
    </row>
    <row r="12" spans="1:19">
      <c r="A12">
        <v>50.5</v>
      </c>
      <c r="B12">
        <v>47</v>
      </c>
      <c r="D12">
        <v>32</v>
      </c>
      <c r="E12">
        <v>47</v>
      </c>
      <c r="H12">
        <v>38</v>
      </c>
      <c r="L12">
        <v>55</v>
      </c>
      <c r="P12">
        <v>54</v>
      </c>
      <c r="Q12">
        <v>57</v>
      </c>
    </row>
    <row r="13" spans="1:19">
      <c r="A13">
        <v>47.5</v>
      </c>
      <c r="B13">
        <v>44</v>
      </c>
      <c r="D13">
        <v>10</v>
      </c>
      <c r="E13">
        <v>44</v>
      </c>
      <c r="H13">
        <v>42</v>
      </c>
      <c r="L13">
        <v>38</v>
      </c>
      <c r="P13">
        <v>51</v>
      </c>
      <c r="Q13">
        <v>47</v>
      </c>
    </row>
    <row r="14" spans="1:19">
      <c r="A14">
        <v>34.200000000000003</v>
      </c>
      <c r="B14">
        <v>10</v>
      </c>
      <c r="D14">
        <v>34</v>
      </c>
      <c r="H14">
        <v>81</v>
      </c>
      <c r="L14">
        <v>42</v>
      </c>
      <c r="P14">
        <v>38</v>
      </c>
      <c r="Q14">
        <v>68</v>
      </c>
    </row>
    <row r="15" spans="1:19">
      <c r="A15">
        <v>32.5</v>
      </c>
      <c r="B15">
        <v>48</v>
      </c>
      <c r="D15">
        <v>35</v>
      </c>
      <c r="H15">
        <v>54</v>
      </c>
      <c r="L15">
        <v>81</v>
      </c>
      <c r="P15">
        <v>54</v>
      </c>
      <c r="Q15">
        <v>49</v>
      </c>
    </row>
    <row r="16" spans="1:19">
      <c r="A16">
        <v>28.1</v>
      </c>
      <c r="B16">
        <v>50</v>
      </c>
      <c r="D16">
        <v>26</v>
      </c>
      <c r="H16">
        <v>57</v>
      </c>
      <c r="L16">
        <v>54</v>
      </c>
      <c r="P16">
        <v>65</v>
      </c>
    </row>
    <row r="17" spans="1:18">
      <c r="A17">
        <v>27.9</v>
      </c>
      <c r="B17">
        <v>64</v>
      </c>
      <c r="D17">
        <v>36</v>
      </c>
      <c r="H17">
        <v>51</v>
      </c>
      <c r="L17">
        <v>57</v>
      </c>
      <c r="P17">
        <v>52</v>
      </c>
    </row>
    <row r="18" spans="1:18">
      <c r="A18">
        <v>27.6</v>
      </c>
      <c r="B18">
        <v>10</v>
      </c>
      <c r="D18">
        <v>30</v>
      </c>
      <c r="H18">
        <v>47</v>
      </c>
      <c r="L18">
        <v>51</v>
      </c>
      <c r="P18">
        <v>10</v>
      </c>
    </row>
    <row r="19" spans="1:18">
      <c r="A19">
        <v>26.6</v>
      </c>
      <c r="B19">
        <v>44</v>
      </c>
      <c r="D19">
        <v>32</v>
      </c>
      <c r="H19">
        <v>68</v>
      </c>
      <c r="L19">
        <v>47</v>
      </c>
    </row>
    <row r="20" spans="1:18">
      <c r="A20">
        <v>18.3</v>
      </c>
      <c r="B20">
        <v>10</v>
      </c>
      <c r="D20">
        <v>32</v>
      </c>
      <c r="H20">
        <v>54</v>
      </c>
      <c r="L20">
        <v>68</v>
      </c>
    </row>
    <row r="21" spans="1:18">
      <c r="A21">
        <v>14.9</v>
      </c>
      <c r="B21">
        <v>26</v>
      </c>
      <c r="D21">
        <v>33</v>
      </c>
      <c r="H21">
        <v>65</v>
      </c>
      <c r="L21">
        <v>54</v>
      </c>
      <c r="P21" t="s">
        <v>151</v>
      </c>
    </row>
    <row r="22" spans="1:18" ht="14" thickBot="1">
      <c r="A22">
        <v>14.2</v>
      </c>
      <c r="B22">
        <v>46</v>
      </c>
      <c r="I22" t="s">
        <v>151</v>
      </c>
      <c r="L22">
        <v>65</v>
      </c>
    </row>
    <row r="23" spans="1:18" ht="14" thickBot="1">
      <c r="A23">
        <v>9.4</v>
      </c>
      <c r="B23">
        <v>32</v>
      </c>
      <c r="D23" t="s">
        <v>151</v>
      </c>
      <c r="L23">
        <v>49</v>
      </c>
      <c r="P23" s="35"/>
      <c r="Q23" s="35" t="s">
        <v>152</v>
      </c>
      <c r="R23" s="35" t="s">
        <v>153</v>
      </c>
    </row>
    <row r="24" spans="1:18" ht="14" thickBot="1">
      <c r="A24">
        <v>9</v>
      </c>
      <c r="B24">
        <v>10</v>
      </c>
      <c r="I24" s="35"/>
      <c r="J24" s="35" t="s">
        <v>152</v>
      </c>
      <c r="K24" s="35" t="s">
        <v>153</v>
      </c>
      <c r="L24">
        <v>10</v>
      </c>
      <c r="P24" s="33" t="s">
        <v>154</v>
      </c>
      <c r="Q24">
        <v>42.866666666666667</v>
      </c>
      <c r="R24">
        <v>53.666666666666664</v>
      </c>
    </row>
    <row r="25" spans="1:18">
      <c r="A25">
        <v>6.8000000000000007</v>
      </c>
      <c r="B25">
        <v>34</v>
      </c>
      <c r="D25" s="35"/>
      <c r="E25" s="35" t="s">
        <v>152</v>
      </c>
      <c r="F25" s="35" t="s">
        <v>153</v>
      </c>
      <c r="I25" s="33" t="s">
        <v>154</v>
      </c>
      <c r="J25">
        <v>49.736842105263158</v>
      </c>
      <c r="K25">
        <v>41.333333333333336</v>
      </c>
      <c r="P25" s="33" t="s">
        <v>155</v>
      </c>
      <c r="Q25">
        <v>348.6952380952381</v>
      </c>
      <c r="R25">
        <v>325.87878787878765</v>
      </c>
    </row>
    <row r="26" spans="1:18">
      <c r="A26">
        <v>5.0999999999999996</v>
      </c>
      <c r="B26">
        <v>35</v>
      </c>
      <c r="D26" s="33" t="s">
        <v>154</v>
      </c>
      <c r="E26">
        <v>32</v>
      </c>
      <c r="F26">
        <v>26.90909090909091</v>
      </c>
      <c r="I26" s="33" t="s">
        <v>155</v>
      </c>
      <c r="J26">
        <v>309.53801169590628</v>
      </c>
      <c r="K26">
        <v>442.75</v>
      </c>
      <c r="L26" t="s">
        <v>151</v>
      </c>
      <c r="P26" s="33" t="s">
        <v>156</v>
      </c>
      <c r="Q26">
        <v>15</v>
      </c>
      <c r="R26">
        <v>12</v>
      </c>
    </row>
    <row r="27" spans="1:18" ht="14" thickBot="1">
      <c r="A27">
        <v>4.9000000000000004</v>
      </c>
      <c r="B27">
        <v>26</v>
      </c>
      <c r="D27" s="33" t="s">
        <v>155</v>
      </c>
      <c r="E27">
        <v>221.44444444444446</v>
      </c>
      <c r="F27">
        <v>343.89090909090908</v>
      </c>
      <c r="I27" s="33" t="s">
        <v>156</v>
      </c>
      <c r="J27">
        <v>19</v>
      </c>
      <c r="K27">
        <v>9</v>
      </c>
      <c r="P27" s="33" t="s">
        <v>157</v>
      </c>
      <c r="Q27">
        <v>14</v>
      </c>
      <c r="R27">
        <v>11</v>
      </c>
    </row>
    <row r="28" spans="1:18">
      <c r="A28">
        <v>2.2000000000000002</v>
      </c>
      <c r="B28">
        <v>36</v>
      </c>
      <c r="D28" s="33" t="s">
        <v>156</v>
      </c>
      <c r="E28">
        <v>19</v>
      </c>
      <c r="F28">
        <v>11</v>
      </c>
      <c r="I28" s="33" t="s">
        <v>157</v>
      </c>
      <c r="J28">
        <v>18</v>
      </c>
      <c r="K28">
        <v>8</v>
      </c>
      <c r="L28" s="35"/>
      <c r="M28" s="35" t="s">
        <v>152</v>
      </c>
      <c r="N28" s="35" t="s">
        <v>153</v>
      </c>
      <c r="P28" s="33" t="s">
        <v>158</v>
      </c>
      <c r="Q28">
        <v>1.0700151438667347</v>
      </c>
    </row>
    <row r="29" spans="1:18">
      <c r="A29">
        <v>0.7</v>
      </c>
      <c r="B29">
        <v>30</v>
      </c>
      <c r="D29" s="33" t="s">
        <v>157</v>
      </c>
      <c r="E29">
        <v>18</v>
      </c>
      <c r="F29">
        <v>10</v>
      </c>
      <c r="I29" s="33" t="s">
        <v>158</v>
      </c>
      <c r="J29">
        <v>0.69912594397720218</v>
      </c>
      <c r="L29" s="33" t="s">
        <v>154</v>
      </c>
      <c r="M29">
        <v>46.857142857142854</v>
      </c>
      <c r="N29">
        <v>50.5</v>
      </c>
      <c r="P29" t="s">
        <v>159</v>
      </c>
      <c r="Q29">
        <v>0.46287389280353103</v>
      </c>
    </row>
    <row r="30" spans="1:18" ht="14" thickBot="1">
      <c r="A30">
        <v>0.30000000000000004</v>
      </c>
      <c r="B30">
        <v>32</v>
      </c>
      <c r="D30" s="33" t="s">
        <v>158</v>
      </c>
      <c r="E30">
        <v>0.64393805881592714</v>
      </c>
      <c r="I30" t="s">
        <v>159</v>
      </c>
      <c r="J30">
        <v>0.25029833962267611</v>
      </c>
      <c r="L30" s="33" t="s">
        <v>155</v>
      </c>
      <c r="M30">
        <v>408.32857142857137</v>
      </c>
      <c r="N30">
        <v>203.1</v>
      </c>
      <c r="P30" s="34" t="s">
        <v>160</v>
      </c>
      <c r="Q30" s="34">
        <v>2.7386482144734825</v>
      </c>
      <c r="R30" s="34"/>
    </row>
    <row r="31" spans="1:18" ht="14" thickBot="1">
      <c r="A31">
        <v>0</v>
      </c>
      <c r="B31">
        <v>32</v>
      </c>
      <c r="D31" t="s">
        <v>159</v>
      </c>
      <c r="E31">
        <v>0.19996661430290463</v>
      </c>
      <c r="I31" s="34" t="s">
        <v>160</v>
      </c>
      <c r="J31" s="34">
        <v>0.39838131371699653</v>
      </c>
      <c r="K31" s="34"/>
      <c r="L31" s="33" t="s">
        <v>156</v>
      </c>
      <c r="M31">
        <v>21</v>
      </c>
      <c r="N31">
        <v>6</v>
      </c>
    </row>
    <row r="32" spans="1:18" ht="14" thickBot="1">
      <c r="A32">
        <v>0</v>
      </c>
      <c r="B32">
        <v>33</v>
      </c>
      <c r="D32" s="34" t="s">
        <v>160</v>
      </c>
      <c r="E32" s="34">
        <v>0.4146449202609061</v>
      </c>
      <c r="F32" s="34"/>
      <c r="L32" s="33" t="s">
        <v>157</v>
      </c>
      <c r="M32">
        <v>20</v>
      </c>
      <c r="N32">
        <v>5</v>
      </c>
      <c r="P32" t="s">
        <v>256</v>
      </c>
    </row>
    <row r="33" spans="4:18" ht="14" thickBot="1">
      <c r="L33" s="33" t="s">
        <v>158</v>
      </c>
      <c r="M33">
        <v>2.0104804107758314</v>
      </c>
    </row>
    <row r="34" spans="4:18">
      <c r="D34" t="s">
        <v>161</v>
      </c>
      <c r="L34" t="s">
        <v>159</v>
      </c>
      <c r="M34">
        <v>0.22552216012761458</v>
      </c>
      <c r="P34" s="35"/>
      <c r="Q34" s="35" t="s">
        <v>152</v>
      </c>
      <c r="R34" s="35" t="s">
        <v>153</v>
      </c>
    </row>
    <row r="35" spans="4:18" ht="14" thickBot="1">
      <c r="I35" t="s">
        <v>256</v>
      </c>
      <c r="L35" s="34" t="s">
        <v>160</v>
      </c>
      <c r="M35" s="34">
        <v>4.5581314973965119</v>
      </c>
      <c r="N35" s="34"/>
      <c r="P35" s="33" t="s">
        <v>154</v>
      </c>
      <c r="Q35">
        <v>42.866666666666667</v>
      </c>
      <c r="R35">
        <v>53.666666666666664</v>
      </c>
    </row>
    <row r="36" spans="4:18" ht="14" thickBot="1">
      <c r="D36" s="35"/>
      <c r="E36" s="35" t="s">
        <v>152</v>
      </c>
      <c r="F36" s="35" t="s">
        <v>153</v>
      </c>
      <c r="P36" s="33" t="s">
        <v>155</v>
      </c>
      <c r="Q36">
        <v>348.6952380952381</v>
      </c>
      <c r="R36">
        <v>325.87878787878765</v>
      </c>
    </row>
    <row r="37" spans="4:18">
      <c r="D37" s="33" t="s">
        <v>154</v>
      </c>
      <c r="E37">
        <v>32</v>
      </c>
      <c r="F37">
        <v>26.90909090909091</v>
      </c>
      <c r="I37" s="35"/>
      <c r="J37" s="35" t="s">
        <v>152</v>
      </c>
      <c r="K37" s="35" t="s">
        <v>153</v>
      </c>
      <c r="L37" t="s">
        <v>256</v>
      </c>
      <c r="P37" s="33" t="s">
        <v>156</v>
      </c>
      <c r="Q37">
        <v>15</v>
      </c>
      <c r="R37">
        <v>12</v>
      </c>
    </row>
    <row r="38" spans="4:18" ht="14" thickBot="1">
      <c r="D38" s="33" t="s">
        <v>155</v>
      </c>
      <c r="E38">
        <v>221.44444444444446</v>
      </c>
      <c r="F38">
        <v>343.89090909090908</v>
      </c>
      <c r="I38" s="33" t="s">
        <v>154</v>
      </c>
      <c r="J38">
        <v>49.736842105263158</v>
      </c>
      <c r="K38">
        <v>41.333333333333336</v>
      </c>
      <c r="P38" s="33" t="s">
        <v>163</v>
      </c>
      <c r="Q38">
        <v>0</v>
      </c>
    </row>
    <row r="39" spans="4:18">
      <c r="D39" s="33" t="s">
        <v>156</v>
      </c>
      <c r="E39">
        <v>19</v>
      </c>
      <c r="F39">
        <v>11</v>
      </c>
      <c r="I39" s="33" t="s">
        <v>155</v>
      </c>
      <c r="J39">
        <v>309.53801169590628</v>
      </c>
      <c r="K39">
        <v>442.75</v>
      </c>
      <c r="L39" s="35"/>
      <c r="M39" s="35" t="s">
        <v>152</v>
      </c>
      <c r="N39" s="35" t="s">
        <v>153</v>
      </c>
      <c r="P39" s="33" t="s">
        <v>157</v>
      </c>
      <c r="Q39">
        <v>24</v>
      </c>
    </row>
    <row r="40" spans="4:18">
      <c r="D40" s="33" t="s">
        <v>162</v>
      </c>
      <c r="E40">
        <v>265.1753246753247</v>
      </c>
      <c r="I40" s="33" t="s">
        <v>156</v>
      </c>
      <c r="J40">
        <v>19</v>
      </c>
      <c r="K40">
        <v>9</v>
      </c>
      <c r="L40" s="33" t="s">
        <v>154</v>
      </c>
      <c r="M40">
        <v>46.090909090909093</v>
      </c>
      <c r="N40">
        <v>50.5</v>
      </c>
      <c r="P40" t="s">
        <v>164</v>
      </c>
      <c r="Q40">
        <v>-1.5212336691909263</v>
      </c>
    </row>
    <row r="41" spans="4:18">
      <c r="D41" s="33" t="s">
        <v>163</v>
      </c>
      <c r="E41">
        <v>0</v>
      </c>
      <c r="I41" s="33" t="s">
        <v>163</v>
      </c>
      <c r="J41">
        <v>0</v>
      </c>
      <c r="L41" s="33" t="s">
        <v>155</v>
      </c>
      <c r="M41">
        <v>401.80086580086589</v>
      </c>
      <c r="N41">
        <v>203.1</v>
      </c>
      <c r="P41" t="s">
        <v>165</v>
      </c>
      <c r="Q41">
        <v>7.0634174478307749E-2</v>
      </c>
    </row>
    <row r="42" spans="4:18">
      <c r="D42" s="33" t="s">
        <v>157</v>
      </c>
      <c r="E42">
        <v>28</v>
      </c>
      <c r="I42" s="33" t="s">
        <v>157</v>
      </c>
      <c r="J42">
        <v>14</v>
      </c>
      <c r="L42" s="33" t="s">
        <v>156</v>
      </c>
      <c r="M42">
        <v>22</v>
      </c>
      <c r="N42">
        <v>6</v>
      </c>
      <c r="P42" t="s">
        <v>166</v>
      </c>
      <c r="Q42">
        <v>1.7108820799094284</v>
      </c>
    </row>
    <row r="43" spans="4:18">
      <c r="D43" t="s">
        <v>164</v>
      </c>
      <c r="E43">
        <v>0.82516595789072933</v>
      </c>
      <c r="I43" t="s">
        <v>164</v>
      </c>
      <c r="J43">
        <v>1.0384526413047634</v>
      </c>
      <c r="L43" s="33" t="s">
        <v>163</v>
      </c>
      <c r="M43">
        <v>0</v>
      </c>
      <c r="P43" t="s">
        <v>167</v>
      </c>
      <c r="Q43">
        <v>0.1412683489566155</v>
      </c>
    </row>
    <row r="44" spans="4:18" ht="14" thickBot="1">
      <c r="D44" t="s">
        <v>165</v>
      </c>
      <c r="E44">
        <v>0.20812623114127232</v>
      </c>
      <c r="I44" t="s">
        <v>165</v>
      </c>
      <c r="J44">
        <v>0.15833152261111205</v>
      </c>
      <c r="L44" s="33" t="s">
        <v>157</v>
      </c>
      <c r="M44">
        <v>11</v>
      </c>
      <c r="P44" s="34" t="s">
        <v>168</v>
      </c>
      <c r="Q44" s="34">
        <v>2.0638985616280254</v>
      </c>
      <c r="R44" s="34"/>
    </row>
    <row r="45" spans="4:18">
      <c r="D45" t="s">
        <v>166</v>
      </c>
      <c r="E45">
        <v>1.7011309342659326</v>
      </c>
      <c r="I45" t="s">
        <v>166</v>
      </c>
      <c r="J45">
        <v>1.7613101357748921</v>
      </c>
      <c r="L45" t="s">
        <v>164</v>
      </c>
      <c r="M45">
        <v>-0.61076367602762816</v>
      </c>
    </row>
    <row r="46" spans="4:18">
      <c r="D46" t="s">
        <v>167</v>
      </c>
      <c r="E46">
        <v>0.41625246228254464</v>
      </c>
      <c r="I46" t="s">
        <v>167</v>
      </c>
      <c r="J46" s="68">
        <v>0.3166630452222241</v>
      </c>
      <c r="L46" t="s">
        <v>165</v>
      </c>
      <c r="M46">
        <v>0.27688318615698515</v>
      </c>
    </row>
    <row r="47" spans="4:18" ht="14" thickBot="1">
      <c r="D47" s="34" t="s">
        <v>168</v>
      </c>
      <c r="E47" s="34">
        <v>2.0484071417952445</v>
      </c>
      <c r="F47" s="34"/>
      <c r="I47" s="34" t="s">
        <v>168</v>
      </c>
      <c r="J47" s="34">
        <v>2.1447866879178044</v>
      </c>
      <c r="K47" s="34"/>
      <c r="L47" t="s">
        <v>166</v>
      </c>
      <c r="M47">
        <v>1.7958848187040437</v>
      </c>
    </row>
    <row r="48" spans="4:18">
      <c r="L48" t="s">
        <v>167</v>
      </c>
      <c r="M48" s="68">
        <v>0.5537663723139703</v>
      </c>
    </row>
    <row r="49" spans="1:14" ht="14" thickBot="1">
      <c r="L49" s="34" t="s">
        <v>168</v>
      </c>
      <c r="M49" s="34">
        <v>2.2009851600916384</v>
      </c>
      <c r="N49" s="34"/>
    </row>
    <row r="51" spans="1:14" ht="14">
      <c r="A51" t="s">
        <v>220</v>
      </c>
      <c r="B51" t="s">
        <v>113</v>
      </c>
      <c r="D51" s="31" t="s">
        <v>221</v>
      </c>
      <c r="E51" s="31" t="s">
        <v>222</v>
      </c>
    </row>
    <row r="52" spans="1:14">
      <c r="A52">
        <v>58.3</v>
      </c>
      <c r="B52">
        <v>35</v>
      </c>
      <c r="D52">
        <v>10</v>
      </c>
      <c r="E52">
        <v>35</v>
      </c>
    </row>
    <row r="53" spans="1:14">
      <c r="A53">
        <v>43.7</v>
      </c>
      <c r="B53">
        <v>10</v>
      </c>
      <c r="D53">
        <v>48</v>
      </c>
      <c r="E53">
        <v>10</v>
      </c>
    </row>
    <row r="54" spans="1:14">
      <c r="A54">
        <v>40.5</v>
      </c>
      <c r="B54">
        <v>10</v>
      </c>
      <c r="D54">
        <v>44</v>
      </c>
      <c r="E54">
        <v>10</v>
      </c>
    </row>
    <row r="55" spans="1:14">
      <c r="A55">
        <v>39.9</v>
      </c>
      <c r="B55">
        <v>10</v>
      </c>
      <c r="D55">
        <v>10</v>
      </c>
      <c r="E55">
        <v>10</v>
      </c>
    </row>
    <row r="56" spans="1:14">
      <c r="A56">
        <v>34.9</v>
      </c>
      <c r="B56">
        <v>27</v>
      </c>
      <c r="D56">
        <v>44</v>
      </c>
      <c r="E56">
        <v>27</v>
      </c>
    </row>
    <row r="57" spans="1:14">
      <c r="A57">
        <v>32.5</v>
      </c>
      <c r="B57">
        <v>62</v>
      </c>
      <c r="D57">
        <v>46</v>
      </c>
      <c r="E57">
        <v>62</v>
      </c>
    </row>
    <row r="58" spans="1:14">
      <c r="A58">
        <v>31.5</v>
      </c>
      <c r="B58">
        <v>10</v>
      </c>
      <c r="D58">
        <v>64</v>
      </c>
      <c r="E58">
        <v>10</v>
      </c>
    </row>
    <row r="59" spans="1:14">
      <c r="A59">
        <v>30.7</v>
      </c>
      <c r="B59">
        <v>47</v>
      </c>
      <c r="D59">
        <v>10</v>
      </c>
      <c r="E59">
        <v>47</v>
      </c>
    </row>
    <row r="60" spans="1:14">
      <c r="A60">
        <v>20.100000000000001</v>
      </c>
      <c r="B60">
        <v>31</v>
      </c>
      <c r="D60">
        <v>26</v>
      </c>
      <c r="E60">
        <v>31</v>
      </c>
    </row>
    <row r="61" spans="1:14">
      <c r="A61">
        <v>18.8</v>
      </c>
      <c r="B61">
        <v>10</v>
      </c>
      <c r="D61">
        <v>50</v>
      </c>
    </row>
    <row r="62" spans="1:14">
      <c r="A62">
        <v>15</v>
      </c>
      <c r="B62">
        <v>48</v>
      </c>
      <c r="D62">
        <v>32</v>
      </c>
    </row>
    <row r="63" spans="1:14">
      <c r="A63">
        <v>13.1</v>
      </c>
      <c r="B63">
        <v>44</v>
      </c>
      <c r="D63">
        <v>10</v>
      </c>
    </row>
    <row r="64" spans="1:14">
      <c r="A64">
        <v>11.5</v>
      </c>
      <c r="B64">
        <v>10</v>
      </c>
      <c r="D64">
        <v>10</v>
      </c>
    </row>
    <row r="65" spans="1:10">
      <c r="A65">
        <v>10.9</v>
      </c>
      <c r="B65">
        <v>44</v>
      </c>
      <c r="D65">
        <v>35</v>
      </c>
    </row>
    <row r="66" spans="1:10">
      <c r="A66">
        <v>10</v>
      </c>
      <c r="B66">
        <v>46</v>
      </c>
      <c r="D66">
        <v>34</v>
      </c>
    </row>
    <row r="67" spans="1:10">
      <c r="A67">
        <v>9.9</v>
      </c>
      <c r="B67">
        <v>64</v>
      </c>
      <c r="D67">
        <v>26</v>
      </c>
      <c r="H67" t="s">
        <v>151</v>
      </c>
    </row>
    <row r="68" spans="1:10" ht="14" thickBot="1">
      <c r="A68">
        <v>5.9</v>
      </c>
      <c r="B68">
        <v>10</v>
      </c>
      <c r="D68">
        <v>36</v>
      </c>
    </row>
    <row r="69" spans="1:10">
      <c r="A69">
        <v>4.9000000000000004</v>
      </c>
      <c r="B69">
        <v>26</v>
      </c>
      <c r="D69">
        <v>30</v>
      </c>
      <c r="H69" s="35"/>
      <c r="I69" s="35" t="s">
        <v>152</v>
      </c>
      <c r="J69" s="35" t="s">
        <v>153</v>
      </c>
    </row>
    <row r="70" spans="1:10">
      <c r="A70">
        <v>4.4000000000000004</v>
      </c>
      <c r="B70">
        <v>50</v>
      </c>
      <c r="D70">
        <v>32</v>
      </c>
      <c r="H70" s="33" t="s">
        <v>154</v>
      </c>
      <c r="I70">
        <v>31.523809523809526</v>
      </c>
      <c r="J70">
        <v>26.888888888888889</v>
      </c>
    </row>
    <row r="71" spans="1:10">
      <c r="A71">
        <v>3.7</v>
      </c>
      <c r="B71">
        <v>32</v>
      </c>
      <c r="D71">
        <v>32</v>
      </c>
      <c r="H71" s="33" t="s">
        <v>155</v>
      </c>
      <c r="I71">
        <v>230.46190476190478</v>
      </c>
      <c r="J71">
        <v>357.61111111111109</v>
      </c>
    </row>
    <row r="72" spans="1:10">
      <c r="A72">
        <v>3.6</v>
      </c>
      <c r="B72">
        <v>10</v>
      </c>
      <c r="D72">
        <v>33</v>
      </c>
      <c r="H72" s="33" t="s">
        <v>156</v>
      </c>
      <c r="I72">
        <v>21</v>
      </c>
      <c r="J72">
        <v>9</v>
      </c>
    </row>
    <row r="73" spans="1:10">
      <c r="A73">
        <v>2.6</v>
      </c>
      <c r="B73">
        <v>10</v>
      </c>
      <c r="H73" s="33" t="s">
        <v>157</v>
      </c>
      <c r="I73">
        <v>20</v>
      </c>
      <c r="J73">
        <v>8</v>
      </c>
    </row>
    <row r="74" spans="1:10">
      <c r="A74">
        <v>2.2999999999999998</v>
      </c>
      <c r="B74">
        <v>35</v>
      </c>
      <c r="H74" s="33" t="s">
        <v>158</v>
      </c>
      <c r="I74">
        <v>0.64444838988881248</v>
      </c>
    </row>
    <row r="75" spans="1:10">
      <c r="A75">
        <v>2.1</v>
      </c>
      <c r="B75">
        <v>34</v>
      </c>
      <c r="H75" t="s">
        <v>159</v>
      </c>
      <c r="I75">
        <v>0.20199973530388382</v>
      </c>
    </row>
    <row r="76" spans="1:10" ht="14" thickBot="1">
      <c r="A76">
        <v>1.6</v>
      </c>
      <c r="B76">
        <v>26</v>
      </c>
      <c r="H76" s="34" t="s">
        <v>160</v>
      </c>
      <c r="I76" s="34">
        <v>0.40865302378229895</v>
      </c>
      <c r="J76" s="34"/>
    </row>
    <row r="77" spans="1:10">
      <c r="A77">
        <v>1.2</v>
      </c>
      <c r="B77">
        <v>36</v>
      </c>
    </row>
    <row r="78" spans="1:10">
      <c r="A78">
        <v>0.7</v>
      </c>
      <c r="B78">
        <v>30</v>
      </c>
      <c r="H78" t="s">
        <v>161</v>
      </c>
    </row>
    <row r="79" spans="1:10" ht="14" thickBot="1">
      <c r="A79">
        <v>0.2</v>
      </c>
      <c r="B79">
        <v>32</v>
      </c>
    </row>
    <row r="80" spans="1:10">
      <c r="A80">
        <v>0</v>
      </c>
      <c r="B80">
        <v>32</v>
      </c>
      <c r="H80" s="35"/>
      <c r="I80" s="35" t="s">
        <v>152</v>
      </c>
      <c r="J80" s="35" t="s">
        <v>153</v>
      </c>
    </row>
    <row r="81" spans="1:10">
      <c r="A81">
        <v>0</v>
      </c>
      <c r="B81">
        <v>33</v>
      </c>
      <c r="H81" s="33" t="s">
        <v>154</v>
      </c>
      <c r="I81">
        <v>31.523809523809526</v>
      </c>
      <c r="J81">
        <v>26.888888888888889</v>
      </c>
    </row>
    <row r="82" spans="1:10">
      <c r="H82" s="33" t="s">
        <v>155</v>
      </c>
      <c r="I82">
        <v>230.46190476190478</v>
      </c>
      <c r="J82">
        <v>357.61111111111109</v>
      </c>
    </row>
    <row r="83" spans="1:10">
      <c r="H83" s="33" t="s">
        <v>156</v>
      </c>
      <c r="I83">
        <v>21</v>
      </c>
      <c r="J83">
        <v>9</v>
      </c>
    </row>
    <row r="84" spans="1:10">
      <c r="H84" s="33" t="s">
        <v>162</v>
      </c>
      <c r="I84">
        <v>266.79024943310657</v>
      </c>
    </row>
    <row r="85" spans="1:10">
      <c r="H85" s="33" t="s">
        <v>163</v>
      </c>
      <c r="I85">
        <v>0</v>
      </c>
    </row>
    <row r="86" spans="1:10">
      <c r="H86" s="33" t="s">
        <v>157</v>
      </c>
      <c r="I86">
        <v>28</v>
      </c>
    </row>
    <row r="87" spans="1:10">
      <c r="H87" t="s">
        <v>164</v>
      </c>
      <c r="I87">
        <v>0.71224203329264446</v>
      </c>
    </row>
    <row r="88" spans="1:10">
      <c r="H88" t="s">
        <v>165</v>
      </c>
      <c r="I88">
        <v>0.24110403869617197</v>
      </c>
    </row>
    <row r="89" spans="1:10">
      <c r="H89" t="s">
        <v>166</v>
      </c>
      <c r="I89">
        <v>1.7011309342659326</v>
      </c>
    </row>
    <row r="90" spans="1:10">
      <c r="H90" t="s">
        <v>167</v>
      </c>
      <c r="I90">
        <v>0.48220807739234395</v>
      </c>
    </row>
    <row r="91" spans="1:10" ht="14" thickBot="1">
      <c r="H91" s="34" t="s">
        <v>168</v>
      </c>
      <c r="I91" s="34">
        <v>2.0484071417952445</v>
      </c>
      <c r="J91" s="34"/>
    </row>
    <row r="96" spans="1:10" ht="14">
      <c r="A96" s="31" t="s">
        <v>212</v>
      </c>
    </row>
    <row r="97" spans="1:2" ht="14">
      <c r="A97" s="33" t="s">
        <v>216</v>
      </c>
      <c r="B97" s="31" t="s">
        <v>217</v>
      </c>
    </row>
    <row r="98" spans="1:2">
      <c r="A98">
        <v>10</v>
      </c>
      <c r="B98">
        <v>10</v>
      </c>
    </row>
    <row r="99" spans="1:2">
      <c r="A99">
        <v>35</v>
      </c>
      <c r="B99">
        <v>64</v>
      </c>
    </row>
    <row r="100" spans="1:2">
      <c r="A100">
        <v>31</v>
      </c>
      <c r="B100">
        <v>32</v>
      </c>
    </row>
    <row r="101" spans="1:2">
      <c r="A101">
        <v>10</v>
      </c>
    </row>
    <row r="102" spans="1:2">
      <c r="A102">
        <v>10</v>
      </c>
    </row>
    <row r="103" spans="1:2">
      <c r="A103">
        <v>62</v>
      </c>
    </row>
    <row r="104" spans="1:2">
      <c r="A104">
        <v>27</v>
      </c>
    </row>
    <row r="105" spans="1:2">
      <c r="A105">
        <v>10</v>
      </c>
    </row>
    <row r="106" spans="1:2">
      <c r="A106">
        <v>10</v>
      </c>
    </row>
    <row r="107" spans="1:2">
      <c r="A107">
        <v>47</v>
      </c>
    </row>
    <row r="108" spans="1:2">
      <c r="A108">
        <v>44</v>
      </c>
    </row>
    <row r="109" spans="1:2">
      <c r="A109">
        <v>48</v>
      </c>
    </row>
    <row r="110" spans="1:2">
      <c r="A110">
        <v>50</v>
      </c>
    </row>
    <row r="111" spans="1:2">
      <c r="A111">
        <v>10</v>
      </c>
    </row>
    <row r="112" spans="1:2">
      <c r="A112">
        <v>44</v>
      </c>
    </row>
    <row r="113" spans="1:1">
      <c r="A113">
        <v>10</v>
      </c>
    </row>
    <row r="114" spans="1:1">
      <c r="A114">
        <v>26</v>
      </c>
    </row>
    <row r="115" spans="1:1">
      <c r="A115">
        <v>46</v>
      </c>
    </row>
    <row r="116" spans="1:1">
      <c r="A116">
        <v>10</v>
      </c>
    </row>
    <row r="117" spans="1:1">
      <c r="A117">
        <v>34</v>
      </c>
    </row>
    <row r="118" spans="1:1">
      <c r="A118">
        <v>35</v>
      </c>
    </row>
    <row r="119" spans="1:1">
      <c r="A119">
        <v>26</v>
      </c>
    </row>
    <row r="120" spans="1:1">
      <c r="A120">
        <v>36</v>
      </c>
    </row>
    <row r="121" spans="1:1">
      <c r="A121">
        <v>30</v>
      </c>
    </row>
    <row r="122" spans="1:1">
      <c r="A122">
        <v>32</v>
      </c>
    </row>
    <row r="123" spans="1:1">
      <c r="A123">
        <v>32</v>
      </c>
    </row>
    <row r="124" spans="1:1">
      <c r="A124">
        <v>33</v>
      </c>
    </row>
    <row r="127" spans="1:1">
      <c r="A127" t="s">
        <v>151</v>
      </c>
    </row>
    <row r="128" spans="1:1" ht="14" thickBot="1"/>
    <row r="129" spans="1:3">
      <c r="A129" s="35"/>
      <c r="B129" s="35" t="s">
        <v>152</v>
      </c>
      <c r="C129" s="35" t="s">
        <v>153</v>
      </c>
    </row>
    <row r="130" spans="1:3">
      <c r="A130" s="33" t="s">
        <v>154</v>
      </c>
      <c r="B130">
        <v>35.333333333333336</v>
      </c>
      <c r="C130">
        <v>29.555555555555557</v>
      </c>
    </row>
    <row r="131" spans="1:3">
      <c r="A131" s="33" t="s">
        <v>155</v>
      </c>
      <c r="B131">
        <v>737.33333333333326</v>
      </c>
      <c r="C131">
        <v>232.33333333333337</v>
      </c>
    </row>
    <row r="132" spans="1:3">
      <c r="A132" s="33" t="s">
        <v>156</v>
      </c>
      <c r="B132">
        <v>3</v>
      </c>
      <c r="C132">
        <v>27</v>
      </c>
    </row>
    <row r="133" spans="1:3">
      <c r="A133" s="33" t="s">
        <v>157</v>
      </c>
      <c r="B133">
        <v>2</v>
      </c>
      <c r="C133">
        <v>26</v>
      </c>
    </row>
    <row r="134" spans="1:3">
      <c r="A134" s="33" t="s">
        <v>158</v>
      </c>
      <c r="B134">
        <v>3.173601147776183</v>
      </c>
    </row>
    <row r="135" spans="1:3">
      <c r="A135" t="s">
        <v>159</v>
      </c>
      <c r="B135">
        <v>5.8448867973102343E-2</v>
      </c>
    </row>
    <row r="136" spans="1:3" ht="14" thickBot="1">
      <c r="A136" s="34" t="s">
        <v>160</v>
      </c>
      <c r="B136" s="34">
        <v>3.3690163594954443</v>
      </c>
      <c r="C136" s="34"/>
    </row>
    <row r="138" spans="1:3">
      <c r="A138" t="s">
        <v>161</v>
      </c>
    </row>
    <row r="139" spans="1:3" ht="14" thickBot="1"/>
    <row r="140" spans="1:3">
      <c r="A140" s="35"/>
      <c r="B140" s="35" t="s">
        <v>152</v>
      </c>
      <c r="C140" s="35" t="s">
        <v>153</v>
      </c>
    </row>
    <row r="141" spans="1:3">
      <c r="A141" s="33" t="s">
        <v>154</v>
      </c>
      <c r="B141">
        <v>35.333333333333336</v>
      </c>
      <c r="C141">
        <v>29.555555555555557</v>
      </c>
    </row>
    <row r="142" spans="1:3">
      <c r="A142" s="33" t="s">
        <v>155</v>
      </c>
      <c r="B142">
        <v>737.33333333333326</v>
      </c>
      <c r="C142">
        <v>232.33333333333337</v>
      </c>
    </row>
    <row r="143" spans="1:3">
      <c r="A143" s="33" t="s">
        <v>156</v>
      </c>
      <c r="B143">
        <v>3</v>
      </c>
      <c r="C143">
        <v>27</v>
      </c>
    </row>
    <row r="144" spans="1:3">
      <c r="A144" s="33" t="s">
        <v>162</v>
      </c>
      <c r="B144">
        <v>268.40476190476193</v>
      </c>
    </row>
    <row r="145" spans="1:3">
      <c r="A145" s="33" t="s">
        <v>163</v>
      </c>
      <c r="B145">
        <v>0</v>
      </c>
    </row>
    <row r="146" spans="1:3">
      <c r="A146" s="33" t="s">
        <v>157</v>
      </c>
      <c r="B146">
        <v>28</v>
      </c>
    </row>
    <row r="147" spans="1:3">
      <c r="A147" t="s">
        <v>164</v>
      </c>
      <c r="B147">
        <v>0.57949221769878745</v>
      </c>
    </row>
    <row r="148" spans="1:3">
      <c r="A148" t="s">
        <v>165</v>
      </c>
      <c r="B148">
        <v>0.28344541866432726</v>
      </c>
    </row>
    <row r="149" spans="1:3">
      <c r="A149" t="s">
        <v>166</v>
      </c>
      <c r="B149">
        <v>1.7011309342659326</v>
      </c>
    </row>
    <row r="150" spans="1:3">
      <c r="A150" t="s">
        <v>167</v>
      </c>
      <c r="B150">
        <v>0.56689083732865453</v>
      </c>
    </row>
    <row r="151" spans="1:3" ht="14" thickBot="1">
      <c r="A151" s="34" t="s">
        <v>168</v>
      </c>
      <c r="B151" s="34">
        <v>2.0484071417952445</v>
      </c>
      <c r="C151" s="34"/>
    </row>
    <row r="153" spans="1:3" ht="14">
      <c r="A153" s="31" t="s">
        <v>223</v>
      </c>
    </row>
    <row r="154" spans="1:3" ht="14">
      <c r="A154" s="31" t="s">
        <v>216</v>
      </c>
      <c r="B154" s="31" t="s">
        <v>217</v>
      </c>
    </row>
    <row r="155" spans="1:3">
      <c r="A155">
        <v>34</v>
      </c>
      <c r="B155">
        <v>10</v>
      </c>
    </row>
    <row r="156" spans="1:3">
      <c r="A156">
        <v>26</v>
      </c>
      <c r="B156">
        <v>47</v>
      </c>
    </row>
    <row r="157" spans="1:3">
      <c r="A157">
        <v>44</v>
      </c>
      <c r="B157">
        <v>10</v>
      </c>
    </row>
    <row r="158" spans="1:3">
      <c r="A158">
        <v>27</v>
      </c>
      <c r="B158">
        <v>30</v>
      </c>
    </row>
    <row r="159" spans="1:3">
      <c r="A159">
        <v>10</v>
      </c>
      <c r="B159">
        <v>10</v>
      </c>
    </row>
    <row r="160" spans="1:3">
      <c r="A160">
        <v>32</v>
      </c>
      <c r="B160">
        <v>33</v>
      </c>
    </row>
    <row r="161" spans="1:4">
      <c r="A161">
        <v>48</v>
      </c>
    </row>
    <row r="162" spans="1:4">
      <c r="A162">
        <v>10</v>
      </c>
    </row>
    <row r="163" spans="1:4">
      <c r="A163">
        <v>36</v>
      </c>
    </row>
    <row r="164" spans="1:4">
      <c r="A164">
        <v>62</v>
      </c>
    </row>
    <row r="165" spans="1:4">
      <c r="A165">
        <v>32</v>
      </c>
    </row>
    <row r="166" spans="1:4">
      <c r="A166">
        <v>46</v>
      </c>
    </row>
    <row r="167" spans="1:4">
      <c r="A167">
        <v>10</v>
      </c>
    </row>
    <row r="168" spans="1:4">
      <c r="A168">
        <v>32</v>
      </c>
    </row>
    <row r="169" spans="1:4">
      <c r="A169">
        <v>10</v>
      </c>
    </row>
    <row r="170" spans="1:4" ht="14" thickBot="1">
      <c r="A170">
        <v>10</v>
      </c>
    </row>
    <row r="171" spans="1:4">
      <c r="A171">
        <v>50</v>
      </c>
      <c r="D171" s="35" t="s">
        <v>153</v>
      </c>
    </row>
    <row r="172" spans="1:4">
      <c r="A172">
        <v>31</v>
      </c>
      <c r="D172">
        <v>31.833333333333332</v>
      </c>
    </row>
    <row r="173" spans="1:4">
      <c r="A173">
        <v>26</v>
      </c>
      <c r="D173">
        <v>262.05797101449269</v>
      </c>
    </row>
    <row r="174" spans="1:4">
      <c r="A174">
        <v>35</v>
      </c>
      <c r="D174">
        <v>24</v>
      </c>
    </row>
    <row r="175" spans="1:4">
      <c r="A175">
        <v>10</v>
      </c>
      <c r="D175">
        <v>23</v>
      </c>
    </row>
    <row r="176" spans="1:4">
      <c r="A176">
        <v>35</v>
      </c>
    </row>
    <row r="177" spans="1:4">
      <c r="A177">
        <v>64</v>
      </c>
    </row>
    <row r="178" spans="1:4" ht="14" thickBot="1">
      <c r="A178">
        <v>44</v>
      </c>
      <c r="D178" s="34"/>
    </row>
    <row r="181" spans="1:4" ht="14" thickBot="1"/>
    <row r="182" spans="1:4">
      <c r="D182" s="35" t="s">
        <v>153</v>
      </c>
    </row>
    <row r="183" spans="1:4">
      <c r="D183">
        <v>31.833333333333332</v>
      </c>
    </row>
    <row r="184" spans="1:4">
      <c r="D184">
        <v>262.05797101449269</v>
      </c>
    </row>
    <row r="185" spans="1:4">
      <c r="D185">
        <v>24</v>
      </c>
    </row>
    <row r="193" spans="4:4" ht="14" thickBot="1">
      <c r="D193" s="34"/>
    </row>
  </sheetData>
  <autoFilter ref="A51:B51" xr:uid="{6AEAA126-94D2-4354-9A9D-7C9860CCE8BE}">
    <sortState xmlns:xlrd2="http://schemas.microsoft.com/office/spreadsheetml/2017/richdata2" ref="A52:B81">
      <sortCondition descending="1" ref="A51"/>
    </sortState>
  </autoFilter>
  <phoneticPr fontId="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3B6C-E34E-4D55-8C1C-A35F94EAD484}">
  <dimension ref="A1:K45"/>
  <sheetViews>
    <sheetView workbookViewId="0">
      <selection activeCell="J3" sqref="J3:J19"/>
    </sheetView>
  </sheetViews>
  <sheetFormatPr baseColWidth="10" defaultColWidth="8.83203125" defaultRowHeight="13"/>
  <sheetData>
    <row r="1" spans="1:10" ht="14">
      <c r="A1" s="31" t="s">
        <v>259</v>
      </c>
      <c r="I1" s="31" t="s">
        <v>260</v>
      </c>
    </row>
    <row r="2" spans="1:10" ht="14">
      <c r="A2" s="31" t="s">
        <v>225</v>
      </c>
      <c r="B2" s="31" t="s">
        <v>224</v>
      </c>
      <c r="I2" t="s">
        <v>225</v>
      </c>
      <c r="J2" t="s">
        <v>224</v>
      </c>
    </row>
    <row r="3" spans="1:10">
      <c r="A3">
        <v>34</v>
      </c>
      <c r="B3">
        <v>26</v>
      </c>
      <c r="I3">
        <v>50</v>
      </c>
      <c r="J3">
        <v>77</v>
      </c>
    </row>
    <row r="4" spans="1:10">
      <c r="A4">
        <v>47</v>
      </c>
      <c r="B4">
        <v>44</v>
      </c>
      <c r="I4">
        <v>52</v>
      </c>
      <c r="J4">
        <v>30</v>
      </c>
    </row>
    <row r="5" spans="1:10">
      <c r="A5">
        <v>62</v>
      </c>
      <c r="B5">
        <v>10</v>
      </c>
      <c r="I5">
        <v>78</v>
      </c>
      <c r="J5">
        <v>27</v>
      </c>
    </row>
    <row r="6" spans="1:10">
      <c r="A6">
        <v>46</v>
      </c>
      <c r="B6">
        <v>27</v>
      </c>
      <c r="I6">
        <v>43</v>
      </c>
      <c r="J6">
        <v>10</v>
      </c>
    </row>
    <row r="7" spans="1:10">
      <c r="A7">
        <v>32</v>
      </c>
      <c r="B7">
        <v>10</v>
      </c>
      <c r="I7">
        <v>44</v>
      </c>
      <c r="J7">
        <v>61</v>
      </c>
    </row>
    <row r="8" spans="1:10">
      <c r="A8">
        <v>10</v>
      </c>
      <c r="B8">
        <v>32</v>
      </c>
      <c r="I8">
        <v>40</v>
      </c>
      <c r="J8">
        <v>34</v>
      </c>
    </row>
    <row r="9" spans="1:10">
      <c r="A9">
        <v>10</v>
      </c>
      <c r="B9">
        <v>48</v>
      </c>
      <c r="I9">
        <v>57</v>
      </c>
      <c r="J9">
        <v>10</v>
      </c>
    </row>
    <row r="10" spans="1:10">
      <c r="A10">
        <v>35</v>
      </c>
      <c r="B10">
        <v>10</v>
      </c>
      <c r="D10" t="s">
        <v>161</v>
      </c>
      <c r="I10">
        <v>38</v>
      </c>
      <c r="J10">
        <v>55</v>
      </c>
    </row>
    <row r="11" spans="1:10" ht="14" thickBot="1">
      <c r="B11">
        <v>30</v>
      </c>
      <c r="I11">
        <v>47</v>
      </c>
      <c r="J11">
        <v>38</v>
      </c>
    </row>
    <row r="12" spans="1:10">
      <c r="B12">
        <v>10</v>
      </c>
      <c r="D12" s="35"/>
      <c r="E12" s="35" t="s">
        <v>152</v>
      </c>
      <c r="F12" s="35" t="s">
        <v>153</v>
      </c>
      <c r="I12">
        <v>54</v>
      </c>
      <c r="J12">
        <v>42</v>
      </c>
    </row>
    <row r="13" spans="1:10">
      <c r="B13">
        <v>36</v>
      </c>
      <c r="D13" s="33" t="s">
        <v>154</v>
      </c>
      <c r="E13">
        <v>28.545454545454547</v>
      </c>
      <c r="F13">
        <v>34.5</v>
      </c>
      <c r="I13">
        <v>10</v>
      </c>
      <c r="J13">
        <v>81</v>
      </c>
    </row>
    <row r="14" spans="1:10">
      <c r="B14">
        <v>32</v>
      </c>
      <c r="D14" s="33" t="s">
        <v>155</v>
      </c>
      <c r="E14">
        <v>245.02164502164496</v>
      </c>
      <c r="F14">
        <v>321.71428571428572</v>
      </c>
      <c r="J14">
        <v>54</v>
      </c>
    </row>
    <row r="15" spans="1:10">
      <c r="B15">
        <v>10</v>
      </c>
      <c r="D15" s="33" t="s">
        <v>156</v>
      </c>
      <c r="E15">
        <v>22</v>
      </c>
      <c r="F15">
        <v>8</v>
      </c>
      <c r="J15">
        <v>51</v>
      </c>
    </row>
    <row r="16" spans="1:10">
      <c r="B16">
        <v>10</v>
      </c>
      <c r="D16" s="33" t="s">
        <v>162</v>
      </c>
      <c r="E16">
        <v>264.19480519480516</v>
      </c>
      <c r="J16">
        <v>68</v>
      </c>
    </row>
    <row r="17" spans="2:11">
      <c r="B17">
        <v>50</v>
      </c>
      <c r="D17" s="33" t="s">
        <v>163</v>
      </c>
      <c r="E17">
        <v>0</v>
      </c>
      <c r="J17">
        <v>65</v>
      </c>
    </row>
    <row r="18" spans="2:11">
      <c r="B18">
        <v>31</v>
      </c>
      <c r="D18" s="33" t="s">
        <v>157</v>
      </c>
      <c r="E18">
        <v>28</v>
      </c>
      <c r="J18">
        <v>49</v>
      </c>
    </row>
    <row r="19" spans="2:11">
      <c r="B19">
        <v>26</v>
      </c>
      <c r="D19" t="s">
        <v>164</v>
      </c>
      <c r="E19">
        <v>-0.88732391032652724</v>
      </c>
      <c r="J19">
        <v>52</v>
      </c>
    </row>
    <row r="20" spans="2:11">
      <c r="B20">
        <v>35</v>
      </c>
      <c r="D20" t="s">
        <v>165</v>
      </c>
      <c r="E20">
        <v>0.19123160837688363</v>
      </c>
    </row>
    <row r="21" spans="2:11">
      <c r="B21">
        <v>10</v>
      </c>
      <c r="D21" t="s">
        <v>166</v>
      </c>
      <c r="E21">
        <v>1.7011309342659326</v>
      </c>
      <c r="I21" t="s">
        <v>151</v>
      </c>
    </row>
    <row r="22" spans="2:11" ht="14" thickBot="1">
      <c r="B22">
        <v>33</v>
      </c>
      <c r="D22" t="s">
        <v>167</v>
      </c>
      <c r="E22">
        <v>0.38246321675376727</v>
      </c>
    </row>
    <row r="23" spans="2:11" ht="14" thickBot="1">
      <c r="B23">
        <v>64</v>
      </c>
      <c r="D23" s="34" t="s">
        <v>168</v>
      </c>
      <c r="E23" s="34">
        <v>2.0484071417952445</v>
      </c>
      <c r="F23" s="34"/>
      <c r="I23" s="35"/>
      <c r="J23" s="35" t="s">
        <v>152</v>
      </c>
      <c r="K23" s="35" t="s">
        <v>153</v>
      </c>
    </row>
    <row r="24" spans="2:11">
      <c r="B24">
        <v>44</v>
      </c>
      <c r="D24" t="s">
        <v>151</v>
      </c>
      <c r="I24" s="33" t="s">
        <v>154</v>
      </c>
      <c r="J24">
        <v>46.636363636363633</v>
      </c>
      <c r="K24">
        <v>47.294117647058826</v>
      </c>
    </row>
    <row r="25" spans="2:11" ht="14" thickBot="1">
      <c r="I25" s="33" t="s">
        <v>155</v>
      </c>
      <c r="J25">
        <v>266.6545454545456</v>
      </c>
      <c r="K25">
        <v>429.72058823529414</v>
      </c>
    </row>
    <row r="26" spans="2:11">
      <c r="D26" s="35"/>
      <c r="E26" s="35" t="s">
        <v>152</v>
      </c>
      <c r="F26" s="35" t="s">
        <v>153</v>
      </c>
      <c r="I26" s="33" t="s">
        <v>156</v>
      </c>
      <c r="J26">
        <v>11</v>
      </c>
      <c r="K26">
        <v>17</v>
      </c>
    </row>
    <row r="27" spans="2:11">
      <c r="D27" s="33" t="s">
        <v>154</v>
      </c>
      <c r="E27">
        <v>28.545454545454547</v>
      </c>
      <c r="F27">
        <v>34.5</v>
      </c>
      <c r="I27" s="33" t="s">
        <v>157</v>
      </c>
      <c r="J27">
        <v>10</v>
      </c>
      <c r="K27">
        <v>16</v>
      </c>
    </row>
    <row r="28" spans="2:11">
      <c r="D28" s="33" t="s">
        <v>155</v>
      </c>
      <c r="E28">
        <v>245.02164502164496</v>
      </c>
      <c r="F28">
        <v>321.71428571428572</v>
      </c>
      <c r="I28" s="33" t="s">
        <v>158</v>
      </c>
      <c r="J28">
        <v>0.62053006710615999</v>
      </c>
    </row>
    <row r="29" spans="2:11">
      <c r="D29" s="33" t="s">
        <v>156</v>
      </c>
      <c r="E29">
        <v>22</v>
      </c>
      <c r="F29">
        <v>8</v>
      </c>
      <c r="I29" t="s">
        <v>159</v>
      </c>
      <c r="J29">
        <v>0.22409781056080547</v>
      </c>
    </row>
    <row r="30" spans="2:11" ht="14" thickBot="1">
      <c r="D30" s="33" t="s">
        <v>157</v>
      </c>
      <c r="E30">
        <v>21</v>
      </c>
      <c r="F30">
        <v>7</v>
      </c>
      <c r="I30" s="34" t="s">
        <v>160</v>
      </c>
      <c r="J30" s="34">
        <v>0.3536610100842974</v>
      </c>
      <c r="K30" s="34"/>
    </row>
    <row r="31" spans="2:11">
      <c r="D31" s="33" t="s">
        <v>158</v>
      </c>
      <c r="E31">
        <v>0.76161257333548604</v>
      </c>
    </row>
    <row r="32" spans="2:11">
      <c r="D32" t="s">
        <v>159</v>
      </c>
      <c r="E32">
        <v>0.29261074636421558</v>
      </c>
    </row>
    <row r="33" spans="4:11" ht="14" thickBot="1">
      <c r="D33" s="34" t="s">
        <v>160</v>
      </c>
      <c r="E33" s="34">
        <v>0.40199749278334068</v>
      </c>
      <c r="F33" s="34"/>
      <c r="I33" t="s">
        <v>256</v>
      </c>
    </row>
    <row r="34" spans="4:11" ht="14" thickBot="1"/>
    <row r="35" spans="4:11">
      <c r="I35" s="35"/>
      <c r="J35" s="35" t="s">
        <v>152</v>
      </c>
      <c r="K35" s="35" t="s">
        <v>153</v>
      </c>
    </row>
    <row r="36" spans="4:11">
      <c r="I36" s="33" t="s">
        <v>154</v>
      </c>
      <c r="J36">
        <v>46.636363636363633</v>
      </c>
      <c r="K36">
        <v>47.294117647058826</v>
      </c>
    </row>
    <row r="37" spans="4:11">
      <c r="I37" s="33" t="s">
        <v>155</v>
      </c>
      <c r="J37">
        <v>266.6545454545456</v>
      </c>
      <c r="K37">
        <v>429.72058823529414</v>
      </c>
    </row>
    <row r="38" spans="4:11">
      <c r="I38" s="33" t="s">
        <v>156</v>
      </c>
      <c r="J38">
        <v>11</v>
      </c>
      <c r="K38">
        <v>17</v>
      </c>
    </row>
    <row r="39" spans="4:11">
      <c r="I39" s="33" t="s">
        <v>163</v>
      </c>
      <c r="J39">
        <v>0</v>
      </c>
    </row>
    <row r="40" spans="4:11">
      <c r="I40" s="33" t="s">
        <v>157</v>
      </c>
      <c r="J40">
        <v>25</v>
      </c>
    </row>
    <row r="41" spans="4:11">
      <c r="I41" t="s">
        <v>164</v>
      </c>
      <c r="J41">
        <v>-9.3471143239888879E-2</v>
      </c>
    </row>
    <row r="42" spans="4:11">
      <c r="I42" t="s">
        <v>165</v>
      </c>
      <c r="J42">
        <v>0.46313717554019995</v>
      </c>
    </row>
    <row r="43" spans="4:11">
      <c r="I43" t="s">
        <v>166</v>
      </c>
      <c r="J43">
        <v>1.7081407612518986</v>
      </c>
    </row>
    <row r="44" spans="4:11">
      <c r="I44" t="s">
        <v>167</v>
      </c>
      <c r="J44">
        <v>0.9262743510803999</v>
      </c>
    </row>
    <row r="45" spans="4:11" ht="14" thickBot="1">
      <c r="I45" s="34" t="s">
        <v>168</v>
      </c>
      <c r="J45" s="34">
        <v>2.0595385527532977</v>
      </c>
      <c r="K45" s="34"/>
    </row>
  </sheetData>
  <phoneticPr fontId="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5B42-F214-4E49-9ACA-17FFD3BD1F24}">
  <dimension ref="A1:P40"/>
  <sheetViews>
    <sheetView topLeftCell="C1" workbookViewId="0">
      <selection activeCell="L4" sqref="L4:L25"/>
    </sheetView>
  </sheetViews>
  <sheetFormatPr baseColWidth="10" defaultColWidth="8.83203125" defaultRowHeight="13"/>
  <sheetData>
    <row r="1" spans="1:16" ht="14">
      <c r="A1" s="31" t="s">
        <v>254</v>
      </c>
      <c r="K1" s="31" t="s">
        <v>255</v>
      </c>
    </row>
    <row r="2" spans="1:16" ht="14">
      <c r="A2" s="31" t="s">
        <v>183</v>
      </c>
      <c r="B2" s="31" t="s">
        <v>116</v>
      </c>
    </row>
    <row r="3" spans="1:16" ht="14">
      <c r="A3">
        <v>47</v>
      </c>
      <c r="B3" s="44">
        <v>0</v>
      </c>
      <c r="E3" s="31" t="s">
        <v>226</v>
      </c>
      <c r="F3" s="33" t="s">
        <v>227</v>
      </c>
      <c r="K3" t="s">
        <v>226</v>
      </c>
      <c r="L3" t="s">
        <v>227</v>
      </c>
    </row>
    <row r="4" spans="1:16" ht="14">
      <c r="A4">
        <v>35</v>
      </c>
      <c r="B4" s="44">
        <v>0</v>
      </c>
      <c r="E4" s="31">
        <v>47</v>
      </c>
      <c r="F4">
        <v>27</v>
      </c>
      <c r="K4">
        <v>50</v>
      </c>
      <c r="L4">
        <v>77</v>
      </c>
      <c r="N4" t="s">
        <v>151</v>
      </c>
    </row>
    <row r="5" spans="1:16" ht="14" thickBot="1">
      <c r="A5">
        <v>34</v>
      </c>
      <c r="B5" s="44">
        <v>9.9999999999999978E-2</v>
      </c>
      <c r="E5">
        <v>35</v>
      </c>
      <c r="F5">
        <v>62</v>
      </c>
      <c r="K5">
        <v>44</v>
      </c>
      <c r="L5">
        <v>30</v>
      </c>
    </row>
    <row r="6" spans="1:16">
      <c r="A6">
        <v>32</v>
      </c>
      <c r="B6" s="44">
        <v>9.9999999999999978E-2</v>
      </c>
      <c r="E6">
        <v>34</v>
      </c>
      <c r="F6">
        <v>32</v>
      </c>
      <c r="K6">
        <v>40</v>
      </c>
      <c r="L6">
        <v>27</v>
      </c>
      <c r="N6" s="35"/>
      <c r="O6" s="35" t="s">
        <v>152</v>
      </c>
      <c r="P6" s="35" t="s">
        <v>153</v>
      </c>
    </row>
    <row r="7" spans="1:16">
      <c r="A7">
        <v>48</v>
      </c>
      <c r="B7" s="44">
        <v>0.15000000000000002</v>
      </c>
      <c r="E7">
        <v>32</v>
      </c>
      <c r="F7">
        <v>32</v>
      </c>
      <c r="K7">
        <v>57</v>
      </c>
      <c r="L7">
        <v>52</v>
      </c>
      <c r="N7" s="33" t="s">
        <v>154</v>
      </c>
      <c r="O7">
        <v>49.5</v>
      </c>
      <c r="P7">
        <v>46.363636363636367</v>
      </c>
    </row>
    <row r="8" spans="1:16">
      <c r="A8">
        <v>27</v>
      </c>
      <c r="B8" s="44">
        <v>0.19999999999999996</v>
      </c>
      <c r="E8">
        <v>48</v>
      </c>
      <c r="F8">
        <v>10</v>
      </c>
      <c r="K8">
        <v>38</v>
      </c>
      <c r="L8">
        <v>10</v>
      </c>
      <c r="N8" s="33" t="s">
        <v>155</v>
      </c>
      <c r="O8">
        <v>130.30000000000001</v>
      </c>
      <c r="P8">
        <v>421.2900432900434</v>
      </c>
    </row>
    <row r="9" spans="1:16">
      <c r="A9">
        <v>62</v>
      </c>
      <c r="B9" s="44">
        <v>0.19999999999999996</v>
      </c>
      <c r="F9">
        <v>10</v>
      </c>
      <c r="K9">
        <v>68</v>
      </c>
      <c r="L9">
        <v>61</v>
      </c>
      <c r="N9" s="33" t="s">
        <v>156</v>
      </c>
      <c r="O9">
        <v>6</v>
      </c>
      <c r="P9">
        <v>22</v>
      </c>
    </row>
    <row r="10" spans="1:16">
      <c r="A10">
        <v>32</v>
      </c>
      <c r="B10" s="44">
        <v>0.19999999999999996</v>
      </c>
      <c r="F10">
        <v>46</v>
      </c>
      <c r="L10">
        <v>34</v>
      </c>
      <c r="N10" s="33" t="s">
        <v>157</v>
      </c>
      <c r="O10">
        <v>5</v>
      </c>
      <c r="P10">
        <v>21</v>
      </c>
    </row>
    <row r="11" spans="1:16">
      <c r="A11">
        <v>32</v>
      </c>
      <c r="B11" s="44">
        <v>0.19999999999999996</v>
      </c>
      <c r="F11">
        <v>10</v>
      </c>
      <c r="L11">
        <v>78</v>
      </c>
      <c r="N11" s="33" t="s">
        <v>158</v>
      </c>
      <c r="O11">
        <v>0.30928810703055953</v>
      </c>
    </row>
    <row r="12" spans="1:16">
      <c r="A12">
        <v>10</v>
      </c>
      <c r="B12" s="44">
        <v>0.19999999999999996</v>
      </c>
      <c r="F12">
        <v>10</v>
      </c>
      <c r="L12">
        <v>43</v>
      </c>
      <c r="N12" t="s">
        <v>159</v>
      </c>
      <c r="O12">
        <v>9.8187009184692697E-2</v>
      </c>
    </row>
    <row r="13" spans="1:16" ht="14" thickBot="1">
      <c r="A13">
        <v>10</v>
      </c>
      <c r="B13" s="44">
        <v>0.19999999999999996</v>
      </c>
      <c r="F13">
        <v>26</v>
      </c>
      <c r="L13">
        <v>10</v>
      </c>
      <c r="N13" s="34" t="s">
        <v>160</v>
      </c>
      <c r="O13" s="34">
        <v>0.21981274036349926</v>
      </c>
      <c r="P13" s="34"/>
    </row>
    <row r="14" spans="1:16">
      <c r="A14">
        <v>46</v>
      </c>
      <c r="B14" s="44">
        <v>0.25</v>
      </c>
      <c r="F14">
        <v>10</v>
      </c>
      <c r="L14">
        <v>55</v>
      </c>
    </row>
    <row r="15" spans="1:16">
      <c r="A15">
        <v>10</v>
      </c>
      <c r="B15" s="44">
        <v>0.25</v>
      </c>
      <c r="F15">
        <v>10</v>
      </c>
      <c r="L15">
        <v>38</v>
      </c>
      <c r="N15" t="s">
        <v>256</v>
      </c>
    </row>
    <row r="16" spans="1:16" ht="14" thickBot="1">
      <c r="A16">
        <v>10</v>
      </c>
      <c r="B16" s="44">
        <v>0.25</v>
      </c>
      <c r="F16">
        <v>10</v>
      </c>
      <c r="L16">
        <v>42</v>
      </c>
    </row>
    <row r="17" spans="1:16">
      <c r="A17">
        <v>26</v>
      </c>
      <c r="B17" s="44">
        <v>0.30000000000000004</v>
      </c>
      <c r="F17">
        <v>50</v>
      </c>
      <c r="L17">
        <v>81</v>
      </c>
      <c r="N17" s="35"/>
      <c r="O17" s="35" t="s">
        <v>152</v>
      </c>
      <c r="P17" s="35" t="s">
        <v>153</v>
      </c>
    </row>
    <row r="18" spans="1:16">
      <c r="A18">
        <v>10</v>
      </c>
      <c r="B18" s="44">
        <v>0.30000000000000004</v>
      </c>
      <c r="F18">
        <v>35</v>
      </c>
      <c r="L18">
        <v>54</v>
      </c>
      <c r="N18" s="33" t="s">
        <v>154</v>
      </c>
      <c r="O18">
        <v>49.5</v>
      </c>
      <c r="P18">
        <v>46.363636363636367</v>
      </c>
    </row>
    <row r="19" spans="1:16">
      <c r="A19">
        <v>10</v>
      </c>
      <c r="B19" s="44">
        <v>0.30000000000000004</v>
      </c>
      <c r="F19">
        <v>44</v>
      </c>
      <c r="L19">
        <v>51</v>
      </c>
      <c r="N19" s="33" t="s">
        <v>155</v>
      </c>
      <c r="O19">
        <v>130.30000000000001</v>
      </c>
      <c r="P19">
        <v>421.2900432900434</v>
      </c>
    </row>
    <row r="20" spans="1:16">
      <c r="A20">
        <v>10</v>
      </c>
      <c r="B20" s="44">
        <v>0.30000000000000004</v>
      </c>
      <c r="F20">
        <v>10</v>
      </c>
      <c r="L20">
        <v>47</v>
      </c>
      <c r="N20" s="33" t="s">
        <v>156</v>
      </c>
      <c r="O20">
        <v>6</v>
      </c>
      <c r="P20">
        <v>22</v>
      </c>
    </row>
    <row r="21" spans="1:16">
      <c r="A21">
        <v>50</v>
      </c>
      <c r="B21" s="44">
        <v>0.30000000000000004</v>
      </c>
      <c r="F21">
        <v>36</v>
      </c>
      <c r="L21">
        <v>54</v>
      </c>
      <c r="N21" s="33" t="s">
        <v>163</v>
      </c>
      <c r="O21">
        <v>0</v>
      </c>
    </row>
    <row r="22" spans="1:16">
      <c r="A22">
        <v>35</v>
      </c>
      <c r="B22" s="44">
        <v>0.30000000000000004</v>
      </c>
      <c r="F22">
        <v>31</v>
      </c>
      <c r="H22" t="s">
        <v>161</v>
      </c>
      <c r="L22">
        <v>65</v>
      </c>
      <c r="N22" s="33" t="s">
        <v>157</v>
      </c>
      <c r="O22">
        <v>15</v>
      </c>
    </row>
    <row r="23" spans="1:16" ht="14" thickBot="1">
      <c r="A23">
        <v>44</v>
      </c>
      <c r="B23" s="44">
        <v>0.4</v>
      </c>
      <c r="F23">
        <v>10</v>
      </c>
      <c r="L23">
        <v>49</v>
      </c>
      <c r="N23" t="s">
        <v>164</v>
      </c>
      <c r="O23">
        <v>0.49061882382859617</v>
      </c>
    </row>
    <row r="24" spans="1:16">
      <c r="A24">
        <v>10</v>
      </c>
      <c r="B24" s="44">
        <v>0.4</v>
      </c>
      <c r="F24">
        <v>33</v>
      </c>
      <c r="H24" s="35"/>
      <c r="I24" s="35" t="s">
        <v>152</v>
      </c>
      <c r="J24" s="35" t="s">
        <v>153</v>
      </c>
      <c r="L24">
        <v>52</v>
      </c>
      <c r="N24" t="s">
        <v>165</v>
      </c>
      <c r="O24">
        <v>0.31539777889184928</v>
      </c>
    </row>
    <row r="25" spans="1:16">
      <c r="A25">
        <v>36</v>
      </c>
      <c r="B25" s="44">
        <v>0.4</v>
      </c>
      <c r="F25">
        <v>44</v>
      </c>
      <c r="H25" s="33" t="s">
        <v>154</v>
      </c>
      <c r="I25">
        <v>39.200000000000003</v>
      </c>
      <c r="J25">
        <v>28.32</v>
      </c>
      <c r="L25">
        <v>10</v>
      </c>
      <c r="N25" t="s">
        <v>166</v>
      </c>
      <c r="O25">
        <v>1.7530503556925723</v>
      </c>
    </row>
    <row r="26" spans="1:16">
      <c r="A26">
        <v>31</v>
      </c>
      <c r="B26" s="44">
        <v>0.4</v>
      </c>
      <c r="F26">
        <v>26</v>
      </c>
      <c r="H26" s="33" t="s">
        <v>155</v>
      </c>
      <c r="I26">
        <v>58.700000000000045</v>
      </c>
      <c r="J26">
        <v>286.55999999999995</v>
      </c>
      <c r="N26" t="s">
        <v>167</v>
      </c>
      <c r="O26">
        <v>0.63079555778369856</v>
      </c>
    </row>
    <row r="27" spans="1:16" ht="14" thickBot="1">
      <c r="A27">
        <v>10</v>
      </c>
      <c r="B27" s="44">
        <v>0.4</v>
      </c>
      <c r="F27">
        <v>64</v>
      </c>
      <c r="H27" s="33" t="s">
        <v>156</v>
      </c>
      <c r="I27">
        <v>5</v>
      </c>
      <c r="J27">
        <v>25</v>
      </c>
      <c r="N27" s="34" t="s">
        <v>168</v>
      </c>
      <c r="O27" s="34">
        <v>2.1314495455597742</v>
      </c>
      <c r="P27" s="34"/>
    </row>
    <row r="28" spans="1:16">
      <c r="A28">
        <v>33</v>
      </c>
      <c r="B28" s="44">
        <v>0.4</v>
      </c>
      <c r="F28">
        <v>30</v>
      </c>
      <c r="H28" s="33" t="s">
        <v>162</v>
      </c>
      <c r="I28">
        <v>254.0085714285714</v>
      </c>
    </row>
    <row r="29" spans="1:16">
      <c r="A29">
        <v>44</v>
      </c>
      <c r="B29" s="44">
        <v>0.4</v>
      </c>
      <c r="H29" s="33" t="s">
        <v>163</v>
      </c>
      <c r="I29">
        <v>0</v>
      </c>
    </row>
    <row r="30" spans="1:16">
      <c r="A30">
        <v>26</v>
      </c>
      <c r="B30" s="44">
        <v>0.5</v>
      </c>
      <c r="H30" s="33" t="s">
        <v>157</v>
      </c>
      <c r="I30">
        <v>28</v>
      </c>
    </row>
    <row r="31" spans="1:16">
      <c r="A31">
        <v>64</v>
      </c>
      <c r="B31" s="44">
        <v>0.6</v>
      </c>
      <c r="E31" t="s">
        <v>151</v>
      </c>
      <c r="H31" t="s">
        <v>164</v>
      </c>
      <c r="I31">
        <v>1.3934747015054429</v>
      </c>
    </row>
    <row r="32" spans="1:16" ht="14" thickBot="1">
      <c r="A32">
        <v>30</v>
      </c>
      <c r="B32" s="44">
        <v>0.7</v>
      </c>
      <c r="H32" t="s">
        <v>165</v>
      </c>
      <c r="I32">
        <v>8.7219930777272192E-2</v>
      </c>
    </row>
    <row r="33" spans="5:10">
      <c r="E33" s="35"/>
      <c r="F33" s="35" t="s">
        <v>152</v>
      </c>
      <c r="G33" s="35" t="s">
        <v>153</v>
      </c>
      <c r="H33" t="s">
        <v>166</v>
      </c>
      <c r="I33">
        <v>1.7011309342659326</v>
      </c>
    </row>
    <row r="34" spans="5:10">
      <c r="E34" s="33" t="s">
        <v>154</v>
      </c>
      <c r="F34">
        <v>39.200000000000003</v>
      </c>
      <c r="G34">
        <v>28.32</v>
      </c>
      <c r="H34" t="s">
        <v>167</v>
      </c>
      <c r="I34">
        <v>0.17443986155454438</v>
      </c>
    </row>
    <row r="35" spans="5:10" ht="14" thickBot="1">
      <c r="E35" s="33" t="s">
        <v>155</v>
      </c>
      <c r="F35">
        <v>58.700000000000045</v>
      </c>
      <c r="G35">
        <v>286.55999999999995</v>
      </c>
      <c r="H35" s="34" t="s">
        <v>168</v>
      </c>
      <c r="I35" s="34">
        <v>2.0484071417952445</v>
      </c>
      <c r="J35" s="34"/>
    </row>
    <row r="36" spans="5:10">
      <c r="E36" s="33" t="s">
        <v>156</v>
      </c>
      <c r="F36">
        <v>5</v>
      </c>
      <c r="G36">
        <v>25</v>
      </c>
    </row>
    <row r="37" spans="5:10">
      <c r="E37" s="33" t="s">
        <v>157</v>
      </c>
      <c r="F37">
        <v>4</v>
      </c>
      <c r="G37">
        <v>24</v>
      </c>
    </row>
    <row r="38" spans="5:10">
      <c r="E38" s="33" t="s">
        <v>158</v>
      </c>
      <c r="F38">
        <v>0.20484366275823582</v>
      </c>
    </row>
    <row r="39" spans="5:10">
      <c r="E39" t="s">
        <v>159</v>
      </c>
      <c r="F39">
        <v>6.6787107193890471E-2</v>
      </c>
    </row>
    <row r="40" spans="5:10" ht="14" thickBot="1">
      <c r="E40" s="34" t="s">
        <v>160</v>
      </c>
      <c r="F40" s="34">
        <v>0.17317850589054692</v>
      </c>
      <c r="G40" s="34"/>
    </row>
  </sheetData>
  <autoFilter ref="A2:B2" xr:uid="{B39A5B42-F214-4E49-9ACA-17FFD3BD1F24}">
    <sortState xmlns:xlrd2="http://schemas.microsoft.com/office/spreadsheetml/2017/richdata2" ref="A3:B32">
      <sortCondition ref="B2"/>
    </sortState>
  </autoFilter>
  <phoneticPr fontId="8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F21-A7A4-493A-8E36-AE4AFECC7A89}">
  <dimension ref="A1:I24"/>
  <sheetViews>
    <sheetView topLeftCell="A5" workbookViewId="0">
      <selection activeCell="I26" sqref="I26"/>
    </sheetView>
  </sheetViews>
  <sheetFormatPr baseColWidth="10" defaultColWidth="8.83203125" defaultRowHeight="13"/>
  <sheetData>
    <row r="1" spans="1:9" ht="17">
      <c r="A1" s="33" t="s">
        <v>277</v>
      </c>
      <c r="H1" s="31" t="s">
        <v>278</v>
      </c>
    </row>
    <row r="2" spans="1:9" ht="14">
      <c r="A2" s="31" t="s">
        <v>175</v>
      </c>
      <c r="B2" s="31" t="s">
        <v>174</v>
      </c>
      <c r="E2" s="31" t="s">
        <v>175</v>
      </c>
      <c r="F2" s="31" t="s">
        <v>174</v>
      </c>
      <c r="H2" s="31" t="s">
        <v>279</v>
      </c>
      <c r="I2" s="31" t="s">
        <v>280</v>
      </c>
    </row>
    <row r="3" spans="1:9" ht="14">
      <c r="A3">
        <v>39</v>
      </c>
      <c r="B3">
        <v>24</v>
      </c>
      <c r="D3" s="31" t="s">
        <v>176</v>
      </c>
      <c r="E3">
        <v>2</v>
      </c>
      <c r="F3">
        <v>2</v>
      </c>
      <c r="H3">
        <v>42</v>
      </c>
      <c r="I3">
        <v>30</v>
      </c>
    </row>
    <row r="4" spans="1:9" ht="14">
      <c r="A4">
        <v>45</v>
      </c>
      <c r="B4">
        <v>24</v>
      </c>
      <c r="D4" s="31" t="s">
        <v>177</v>
      </c>
      <c r="E4">
        <v>4</v>
      </c>
      <c r="F4">
        <v>5</v>
      </c>
      <c r="H4">
        <v>29</v>
      </c>
      <c r="I4">
        <v>35</v>
      </c>
    </row>
    <row r="5" spans="1:9" ht="14">
      <c r="A5">
        <v>24</v>
      </c>
      <c r="B5">
        <v>25</v>
      </c>
      <c r="D5" s="31" t="s">
        <v>178</v>
      </c>
      <c r="E5">
        <v>5</v>
      </c>
      <c r="F5">
        <v>2</v>
      </c>
      <c r="H5">
        <v>47</v>
      </c>
      <c r="I5">
        <v>26</v>
      </c>
    </row>
    <row r="6" spans="1:9" ht="14">
      <c r="A6">
        <v>28</v>
      </c>
      <c r="B6">
        <v>25</v>
      </c>
      <c r="D6" s="31" t="s">
        <v>179</v>
      </c>
      <c r="E6">
        <v>2</v>
      </c>
      <c r="H6">
        <v>34</v>
      </c>
      <c r="I6">
        <v>25</v>
      </c>
    </row>
    <row r="7" spans="1:9" ht="14">
      <c r="A7">
        <v>34</v>
      </c>
      <c r="B7">
        <v>25</v>
      </c>
      <c r="D7" s="31" t="s">
        <v>180</v>
      </c>
      <c r="E7">
        <v>3</v>
      </c>
      <c r="H7">
        <v>39</v>
      </c>
      <c r="I7">
        <v>25</v>
      </c>
    </row>
    <row r="8" spans="1:9" ht="14">
      <c r="A8">
        <v>27</v>
      </c>
      <c r="B8">
        <v>26</v>
      </c>
      <c r="D8" s="31" t="s">
        <v>181</v>
      </c>
      <c r="E8">
        <v>3</v>
      </c>
      <c r="H8">
        <v>26</v>
      </c>
      <c r="I8">
        <v>25</v>
      </c>
    </row>
    <row r="9" spans="1:9" ht="14">
      <c r="A9">
        <v>50</v>
      </c>
      <c r="B9">
        <v>29</v>
      </c>
      <c r="D9" s="31" t="s">
        <v>182</v>
      </c>
      <c r="E9">
        <v>2</v>
      </c>
      <c r="H9">
        <v>28</v>
      </c>
      <c r="I9">
        <v>24</v>
      </c>
    </row>
    <row r="10" spans="1:9">
      <c r="A10">
        <v>26</v>
      </c>
      <c r="B10">
        <v>30</v>
      </c>
      <c r="H10">
        <v>45</v>
      </c>
      <c r="I10">
        <v>29</v>
      </c>
    </row>
    <row r="11" spans="1:9">
      <c r="A11">
        <v>32</v>
      </c>
      <c r="B11">
        <v>34</v>
      </c>
      <c r="H11">
        <v>32</v>
      </c>
    </row>
    <row r="12" spans="1:9">
      <c r="A12">
        <v>24</v>
      </c>
      <c r="H12">
        <v>25</v>
      </c>
    </row>
    <row r="13" spans="1:9">
      <c r="A13">
        <v>25</v>
      </c>
      <c r="H13">
        <v>27</v>
      </c>
    </row>
    <row r="14" spans="1:9">
      <c r="A14">
        <v>30</v>
      </c>
      <c r="H14">
        <v>47</v>
      </c>
    </row>
    <row r="15" spans="1:9">
      <c r="A15">
        <v>34</v>
      </c>
      <c r="H15">
        <v>39</v>
      </c>
    </row>
    <row r="16" spans="1:9">
      <c r="A16">
        <v>34</v>
      </c>
      <c r="H16">
        <v>45</v>
      </c>
    </row>
    <row r="17" spans="1:9">
      <c r="A17">
        <v>39</v>
      </c>
      <c r="H17">
        <v>30</v>
      </c>
    </row>
    <row r="18" spans="1:9">
      <c r="A18">
        <v>42</v>
      </c>
      <c r="H18">
        <v>32</v>
      </c>
    </row>
    <row r="19" spans="1:9">
      <c r="A19">
        <v>44</v>
      </c>
      <c r="H19">
        <v>24</v>
      </c>
    </row>
    <row r="20" spans="1:9">
      <c r="A20">
        <v>44</v>
      </c>
      <c r="H20">
        <v>44</v>
      </c>
    </row>
    <row r="21" spans="1:9">
      <c r="A21">
        <v>46</v>
      </c>
      <c r="H21">
        <v>34</v>
      </c>
    </row>
    <row r="22" spans="1:9">
      <c r="A22">
        <v>47</v>
      </c>
      <c r="H22">
        <v>50</v>
      </c>
    </row>
    <row r="23" spans="1:9">
      <c r="A23">
        <v>53</v>
      </c>
    </row>
    <row r="24" spans="1:9">
      <c r="H24">
        <f>_xlfn.STDEV.P(H3:H22)</f>
        <v>8.2248100282012597</v>
      </c>
      <c r="I24">
        <f>_xlfn.STDEV.P(I3:I10)</f>
        <v>3.4977671449083054</v>
      </c>
    </row>
  </sheetData>
  <autoFilter ref="A2:B2" xr:uid="{95777F21-A7A4-493A-8E36-AE4AFECC7A89}">
    <sortState xmlns:xlrd2="http://schemas.microsoft.com/office/spreadsheetml/2017/richdata2" ref="A3:B23">
      <sortCondition ref="B2"/>
    </sortState>
  </autoFilter>
  <phoneticPr fontId="8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2DA8-B4A5-441B-A8D5-A3D9B6BAC439}">
  <dimension ref="A1:M66"/>
  <sheetViews>
    <sheetView zoomScale="120" zoomScaleNormal="120" workbookViewId="0">
      <selection activeCell="M18" sqref="M18"/>
    </sheetView>
  </sheetViews>
  <sheetFormatPr baseColWidth="10" defaultColWidth="8.83203125" defaultRowHeight="13"/>
  <cols>
    <col min="6" max="6" width="12.5" customWidth="1"/>
  </cols>
  <sheetData>
    <row r="1" spans="1:13" ht="14">
      <c r="A1" s="31" t="s">
        <v>253</v>
      </c>
      <c r="C1" s="33" t="s">
        <v>247</v>
      </c>
      <c r="F1" s="31" t="s">
        <v>347</v>
      </c>
      <c r="G1" s="31" t="s">
        <v>348</v>
      </c>
      <c r="K1" s="31" t="s">
        <v>349</v>
      </c>
    </row>
    <row r="2" spans="1:13" ht="14">
      <c r="A2">
        <v>10</v>
      </c>
      <c r="C2">
        <v>77</v>
      </c>
      <c r="G2">
        <v>26</v>
      </c>
      <c r="H2" s="95" t="s">
        <v>350</v>
      </c>
      <c r="I2" s="95"/>
      <c r="J2" s="95"/>
      <c r="K2">
        <v>27</v>
      </c>
      <c r="L2" t="s">
        <v>366</v>
      </c>
    </row>
    <row r="3" spans="1:13">
      <c r="A3">
        <v>10</v>
      </c>
      <c r="C3">
        <v>30</v>
      </c>
      <c r="G3">
        <v>26</v>
      </c>
      <c r="H3" s="95" t="s">
        <v>351</v>
      </c>
      <c r="I3" s="95"/>
      <c r="J3" s="95"/>
      <c r="K3">
        <v>30</v>
      </c>
      <c r="L3" t="s">
        <v>351</v>
      </c>
    </row>
    <row r="4" spans="1:13" ht="14">
      <c r="A4">
        <v>10</v>
      </c>
      <c r="C4">
        <v>27</v>
      </c>
      <c r="G4">
        <v>27</v>
      </c>
      <c r="H4" s="95" t="s">
        <v>352</v>
      </c>
      <c r="I4" s="93">
        <v>4</v>
      </c>
      <c r="J4" s="95"/>
      <c r="K4">
        <v>34</v>
      </c>
      <c r="L4" t="s">
        <v>367</v>
      </c>
      <c r="M4">
        <v>2</v>
      </c>
    </row>
    <row r="5" spans="1:13">
      <c r="A5">
        <v>10</v>
      </c>
      <c r="C5">
        <v>50</v>
      </c>
      <c r="G5">
        <v>30</v>
      </c>
      <c r="H5" s="95" t="s">
        <v>353</v>
      </c>
      <c r="I5" s="93">
        <v>8</v>
      </c>
      <c r="J5" s="95"/>
      <c r="K5">
        <v>38</v>
      </c>
      <c r="L5" t="s">
        <v>353</v>
      </c>
      <c r="M5">
        <v>1</v>
      </c>
    </row>
    <row r="6" spans="1:13">
      <c r="A6">
        <v>10</v>
      </c>
      <c r="C6">
        <v>52</v>
      </c>
      <c r="G6">
        <v>31</v>
      </c>
      <c r="H6" s="95" t="s">
        <v>354</v>
      </c>
      <c r="I6" s="93">
        <v>1</v>
      </c>
      <c r="J6" s="95"/>
      <c r="K6">
        <v>38</v>
      </c>
      <c r="L6" t="s">
        <v>354</v>
      </c>
      <c r="M6">
        <v>3</v>
      </c>
    </row>
    <row r="7" spans="1:13">
      <c r="A7">
        <v>10</v>
      </c>
      <c r="C7">
        <v>10</v>
      </c>
      <c r="G7">
        <v>32</v>
      </c>
      <c r="H7" s="95" t="s">
        <v>355</v>
      </c>
      <c r="I7" s="93">
        <v>2</v>
      </c>
      <c r="J7" s="95"/>
      <c r="K7">
        <v>40</v>
      </c>
      <c r="L7" t="s">
        <v>355</v>
      </c>
      <c r="M7">
        <v>3</v>
      </c>
    </row>
    <row r="8" spans="1:13">
      <c r="A8">
        <v>10</v>
      </c>
      <c r="C8">
        <v>61</v>
      </c>
      <c r="G8">
        <v>32</v>
      </c>
      <c r="H8" s="94" t="s">
        <v>356</v>
      </c>
      <c r="I8" s="78">
        <v>4</v>
      </c>
      <c r="J8" s="94"/>
      <c r="K8">
        <v>42</v>
      </c>
      <c r="L8" t="s">
        <v>356</v>
      </c>
      <c r="M8">
        <v>3</v>
      </c>
    </row>
    <row r="9" spans="1:13">
      <c r="A9">
        <v>10</v>
      </c>
      <c r="C9">
        <v>34</v>
      </c>
      <c r="G9">
        <v>32</v>
      </c>
      <c r="H9" s="94" t="s">
        <v>357</v>
      </c>
      <c r="I9" s="94"/>
      <c r="J9" s="94"/>
      <c r="K9">
        <v>43</v>
      </c>
      <c r="L9" t="s">
        <v>357</v>
      </c>
      <c r="M9">
        <v>6</v>
      </c>
    </row>
    <row r="10" spans="1:13">
      <c r="A10">
        <v>10</v>
      </c>
      <c r="C10">
        <v>78</v>
      </c>
      <c r="G10">
        <v>33</v>
      </c>
      <c r="H10" s="94" t="s">
        <v>358</v>
      </c>
      <c r="I10" s="94"/>
      <c r="J10" s="94"/>
      <c r="K10">
        <v>44</v>
      </c>
      <c r="L10" t="s">
        <v>358</v>
      </c>
      <c r="M10">
        <v>1</v>
      </c>
    </row>
    <row r="11" spans="1:13">
      <c r="A11">
        <v>26</v>
      </c>
      <c r="C11">
        <v>43</v>
      </c>
      <c r="G11">
        <v>34</v>
      </c>
      <c r="H11" s="94" t="s">
        <v>359</v>
      </c>
      <c r="I11" s="78">
        <v>2</v>
      </c>
      <c r="J11" s="94"/>
      <c r="K11">
        <v>47</v>
      </c>
      <c r="L11" t="s">
        <v>359</v>
      </c>
      <c r="M11">
        <v>2</v>
      </c>
    </row>
    <row r="12" spans="1:13">
      <c r="A12">
        <v>26</v>
      </c>
      <c r="C12">
        <v>44</v>
      </c>
      <c r="G12">
        <v>35</v>
      </c>
      <c r="H12" s="94" t="s">
        <v>360</v>
      </c>
      <c r="I12" s="94"/>
      <c r="J12" s="94"/>
      <c r="K12">
        <v>49</v>
      </c>
      <c r="L12" t="s">
        <v>360</v>
      </c>
      <c r="M12">
        <v>1</v>
      </c>
    </row>
    <row r="13" spans="1:13">
      <c r="A13">
        <v>27</v>
      </c>
      <c r="C13">
        <v>10</v>
      </c>
      <c r="G13">
        <v>35</v>
      </c>
      <c r="H13" s="94" t="s">
        <v>361</v>
      </c>
      <c r="I13" s="94"/>
      <c r="J13" s="94"/>
      <c r="K13">
        <v>50</v>
      </c>
      <c r="L13" t="s">
        <v>361</v>
      </c>
    </row>
    <row r="14" spans="1:13">
      <c r="A14">
        <v>30</v>
      </c>
      <c r="C14">
        <v>55</v>
      </c>
      <c r="G14">
        <v>36</v>
      </c>
      <c r="H14" s="94" t="s">
        <v>362</v>
      </c>
      <c r="I14" s="94"/>
      <c r="J14" s="94"/>
      <c r="K14">
        <v>51</v>
      </c>
      <c r="L14" t="s">
        <v>362</v>
      </c>
      <c r="M14">
        <v>2</v>
      </c>
    </row>
    <row r="15" spans="1:13">
      <c r="A15">
        <v>31</v>
      </c>
      <c r="C15">
        <v>38</v>
      </c>
      <c r="G15">
        <v>44</v>
      </c>
      <c r="H15" s="94" t="s">
        <v>363</v>
      </c>
      <c r="I15" s="94"/>
      <c r="J15" s="94"/>
      <c r="K15">
        <v>52</v>
      </c>
      <c r="L15" t="s">
        <v>363</v>
      </c>
      <c r="M15">
        <v>1</v>
      </c>
    </row>
    <row r="16" spans="1:13">
      <c r="A16">
        <v>32</v>
      </c>
      <c r="C16">
        <v>42</v>
      </c>
      <c r="G16">
        <v>44</v>
      </c>
      <c r="H16" s="94" t="s">
        <v>364</v>
      </c>
      <c r="I16" s="94"/>
      <c r="J16" s="94"/>
      <c r="K16">
        <v>52</v>
      </c>
      <c r="L16" t="s">
        <v>364</v>
      </c>
    </row>
    <row r="17" spans="1:12">
      <c r="A17">
        <v>32</v>
      </c>
      <c r="C17">
        <v>81</v>
      </c>
      <c r="G17">
        <v>46</v>
      </c>
      <c r="H17" s="94" t="s">
        <v>365</v>
      </c>
      <c r="I17" s="94"/>
      <c r="J17" s="94"/>
      <c r="K17">
        <v>54</v>
      </c>
      <c r="L17" t="s">
        <v>365</v>
      </c>
    </row>
    <row r="18" spans="1:12">
      <c r="A18">
        <v>32</v>
      </c>
      <c r="C18">
        <v>40</v>
      </c>
      <c r="G18">
        <v>47</v>
      </c>
      <c r="K18">
        <v>54</v>
      </c>
    </row>
    <row r="19" spans="1:12">
      <c r="A19">
        <v>33</v>
      </c>
      <c r="C19">
        <v>54</v>
      </c>
      <c r="G19">
        <v>48</v>
      </c>
      <c r="K19">
        <v>55</v>
      </c>
    </row>
    <row r="20" spans="1:12">
      <c r="A20">
        <v>34</v>
      </c>
      <c r="C20">
        <v>57</v>
      </c>
      <c r="G20">
        <v>50</v>
      </c>
      <c r="K20">
        <v>57</v>
      </c>
    </row>
    <row r="21" spans="1:12">
      <c r="A21">
        <v>35</v>
      </c>
      <c r="C21">
        <v>51</v>
      </c>
      <c r="G21">
        <v>62</v>
      </c>
      <c r="K21">
        <v>61</v>
      </c>
    </row>
    <row r="22" spans="1:12">
      <c r="A22">
        <v>35</v>
      </c>
      <c r="C22">
        <v>38</v>
      </c>
      <c r="G22">
        <v>64</v>
      </c>
      <c r="K22">
        <v>65</v>
      </c>
    </row>
    <row r="23" spans="1:12">
      <c r="A23">
        <v>36</v>
      </c>
      <c r="C23">
        <v>47</v>
      </c>
      <c r="K23">
        <v>68</v>
      </c>
    </row>
    <row r="24" spans="1:12">
      <c r="A24">
        <v>44</v>
      </c>
      <c r="C24">
        <v>68</v>
      </c>
      <c r="G24">
        <f>MEDIAN(G2:G22)</f>
        <v>35</v>
      </c>
      <c r="K24">
        <v>77</v>
      </c>
    </row>
    <row r="25" spans="1:12">
      <c r="A25">
        <v>44</v>
      </c>
      <c r="C25">
        <v>54</v>
      </c>
      <c r="K25">
        <v>78</v>
      </c>
    </row>
    <row r="26" spans="1:12">
      <c r="A26">
        <v>46</v>
      </c>
      <c r="C26">
        <v>65</v>
      </c>
      <c r="K26">
        <v>81</v>
      </c>
    </row>
    <row r="27" spans="1:12">
      <c r="A27">
        <v>47</v>
      </c>
      <c r="C27">
        <v>49</v>
      </c>
    </row>
    <row r="28" spans="1:12">
      <c r="A28">
        <v>48</v>
      </c>
      <c r="C28">
        <v>52</v>
      </c>
      <c r="K28">
        <f>MEDIAN(K2:K26)</f>
        <v>51</v>
      </c>
    </row>
    <row r="29" spans="1:12">
      <c r="A29">
        <v>50</v>
      </c>
      <c r="C29">
        <v>10</v>
      </c>
    </row>
    <row r="30" spans="1:12" ht="14">
      <c r="A30">
        <v>62</v>
      </c>
      <c r="C30" s="31" t="s">
        <v>248</v>
      </c>
      <c r="D30">
        <f>MEDIAN(C2:C29)</f>
        <v>49.5</v>
      </c>
    </row>
    <row r="31" spans="1:12">
      <c r="A31">
        <v>64</v>
      </c>
    </row>
    <row r="32" spans="1:12" ht="14">
      <c r="A32" s="31" t="s">
        <v>184</v>
      </c>
      <c r="B32">
        <f>MEDIAN(A2:A31)</f>
        <v>32</v>
      </c>
    </row>
    <row r="34" spans="1:3" ht="17">
      <c r="A34" s="40" t="s">
        <v>186</v>
      </c>
      <c r="B34" s="31" t="s">
        <v>185</v>
      </c>
    </row>
    <row r="35" spans="1:3">
      <c r="A35">
        <v>0.1</v>
      </c>
      <c r="C35">
        <v>1.61</v>
      </c>
    </row>
    <row r="36" spans="1:3">
      <c r="A36">
        <v>0.47</v>
      </c>
      <c r="C36">
        <v>0.59</v>
      </c>
    </row>
    <row r="37" spans="1:3">
      <c r="A37">
        <v>0.51</v>
      </c>
      <c r="C37">
        <v>0.53</v>
      </c>
    </row>
    <row r="38" spans="1:3">
      <c r="A38">
        <v>0.52</v>
      </c>
      <c r="C38">
        <v>0.99</v>
      </c>
    </row>
    <row r="39" spans="1:3">
      <c r="A39">
        <v>0.52</v>
      </c>
      <c r="C39">
        <v>1.03</v>
      </c>
    </row>
    <row r="40" spans="1:3">
      <c r="A40">
        <v>0.54</v>
      </c>
      <c r="C40">
        <v>0.52</v>
      </c>
    </row>
    <row r="41" spans="1:3">
      <c r="A41">
        <v>0.54</v>
      </c>
      <c r="C41">
        <v>1.22</v>
      </c>
    </row>
    <row r="42" spans="1:3">
      <c r="A42">
        <v>0.56000000000000005</v>
      </c>
      <c r="C42">
        <v>0.68</v>
      </c>
    </row>
    <row r="43" spans="1:3">
      <c r="A43">
        <v>0.59</v>
      </c>
      <c r="C43">
        <v>1.74</v>
      </c>
    </row>
    <row r="44" spans="1:3">
      <c r="A44">
        <v>0.6</v>
      </c>
      <c r="C44">
        <v>0.85</v>
      </c>
    </row>
    <row r="45" spans="1:3">
      <c r="A45">
        <v>0.62</v>
      </c>
      <c r="C45">
        <v>0.88</v>
      </c>
    </row>
    <row r="46" spans="1:3">
      <c r="A46">
        <v>0.62</v>
      </c>
      <c r="C46">
        <v>0.15</v>
      </c>
    </row>
    <row r="47" spans="1:3">
      <c r="A47">
        <v>0.63</v>
      </c>
      <c r="C47">
        <v>1.0900000000000001</v>
      </c>
    </row>
    <row r="48" spans="1:3">
      <c r="A48">
        <v>0.63</v>
      </c>
      <c r="C48">
        <v>0.75</v>
      </c>
    </row>
    <row r="49" spans="1:4">
      <c r="A49">
        <v>0.64</v>
      </c>
      <c r="C49">
        <v>0.83</v>
      </c>
    </row>
    <row r="50" spans="1:4">
      <c r="A50">
        <v>0.65</v>
      </c>
      <c r="C50">
        <v>2.0699999999999998</v>
      </c>
    </row>
    <row r="51" spans="1:4">
      <c r="A51">
        <v>0.68</v>
      </c>
      <c r="C51">
        <v>0.8</v>
      </c>
    </row>
    <row r="52" spans="1:4">
      <c r="A52">
        <v>0.69</v>
      </c>
      <c r="C52">
        <v>1.07</v>
      </c>
    </row>
    <row r="53" spans="1:4">
      <c r="A53">
        <v>0.69</v>
      </c>
      <c r="C53">
        <v>1.1299999999999999</v>
      </c>
    </row>
    <row r="54" spans="1:4">
      <c r="A54">
        <v>0.71</v>
      </c>
      <c r="C54">
        <v>1.01</v>
      </c>
    </row>
    <row r="55" spans="1:4">
      <c r="A55">
        <v>0.87</v>
      </c>
      <c r="C55">
        <v>0.76</v>
      </c>
    </row>
    <row r="56" spans="1:4">
      <c r="A56">
        <v>0.88</v>
      </c>
      <c r="C56">
        <v>0.94</v>
      </c>
    </row>
    <row r="57" spans="1:4">
      <c r="A57">
        <v>0.9</v>
      </c>
      <c r="C57">
        <v>1.35</v>
      </c>
    </row>
    <row r="58" spans="1:4">
      <c r="A58">
        <v>0.91</v>
      </c>
      <c r="C58">
        <v>1.08</v>
      </c>
    </row>
    <row r="59" spans="1:4">
      <c r="A59">
        <v>0.94</v>
      </c>
      <c r="C59">
        <v>1.3</v>
      </c>
    </row>
    <row r="60" spans="1:4">
      <c r="A60">
        <v>0.96</v>
      </c>
      <c r="C60">
        <v>0.97</v>
      </c>
    </row>
    <row r="61" spans="1:4">
      <c r="A61">
        <v>0.99</v>
      </c>
      <c r="C61">
        <v>1.04</v>
      </c>
    </row>
    <row r="62" spans="1:4">
      <c r="A62">
        <v>1.06</v>
      </c>
      <c r="C62">
        <v>3.07</v>
      </c>
    </row>
    <row r="63" spans="1:4" ht="14">
      <c r="A63">
        <v>1.24</v>
      </c>
      <c r="C63" s="31" t="s">
        <v>248</v>
      </c>
      <c r="D63">
        <f>MEDIAN(C35:C62)</f>
        <v>1</v>
      </c>
    </row>
    <row r="64" spans="1:4">
      <c r="A64">
        <v>1.27</v>
      </c>
    </row>
    <row r="66" spans="1:2" ht="14">
      <c r="A66" s="31" t="s">
        <v>184</v>
      </c>
      <c r="B66">
        <f>MEDIAN(A35:A64)</f>
        <v>0.64500000000000002</v>
      </c>
    </row>
  </sheetData>
  <autoFilter ref="K1:K26" xr:uid="{80AE2DA8-B4A5-441B-A8D5-A3D9B6BAC439}">
    <sortState xmlns:xlrd2="http://schemas.microsoft.com/office/spreadsheetml/2017/richdata2" ref="K2:K26">
      <sortCondition ref="K1:K26"/>
    </sortState>
  </autoFilter>
  <phoneticPr fontId="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2回目結果</vt:lpstr>
      <vt:lpstr>ストレスチェック小項目との相関解析</vt:lpstr>
      <vt:lpstr>ストレスチェック小項目との相関解析（pp転記用）</vt:lpstr>
      <vt:lpstr>2回目労務管理データ</vt:lpstr>
      <vt:lpstr>2回目フォームの回答 </vt:lpstr>
      <vt:lpstr>1回目→2回目の変化</vt:lpstr>
      <vt:lpstr>1回目結果</vt:lpstr>
      <vt:lpstr>1回目労務管理データ</vt:lpstr>
      <vt:lpstr>2回目相関係数解析</vt:lpstr>
      <vt:lpstr>解析（ストレススコア）</vt:lpstr>
      <vt:lpstr>解析（労務情報）</vt:lpstr>
      <vt:lpstr>解析（アテネ不眠尺度）</vt:lpstr>
      <vt:lpstr>解析（プレゼンティーズム）</vt:lpstr>
      <vt:lpstr>年齢分布</vt:lpstr>
      <vt:lpstr>スコア分布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HIROFUMI SHIBA</cp:lastModifiedBy>
  <dcterms:created xsi:type="dcterms:W3CDTF">2024-07-25T05:12:43Z</dcterms:created>
  <dcterms:modified xsi:type="dcterms:W3CDTF">2025-02-27T02:13:14Z</dcterms:modified>
</cp:coreProperties>
</file>